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كمبيوتري\ملفاتي\قيم\جامعة البخاري\"/>
    </mc:Choice>
  </mc:AlternateContent>
  <xr:revisionPtr revIDLastSave="0" documentId="13_ncr:1_{0FB679EC-51A2-42D4-9BE0-181C00E805A2}" xr6:coauthVersionLast="47" xr6:coauthVersionMax="47" xr10:uidLastSave="{00000000-0000-0000-0000-000000000000}"/>
  <bookViews>
    <workbookView xWindow="-103" yWindow="-103" windowWidth="22149" windowHeight="13200" xr2:uid="{A32F2627-19E7-4CFB-9AB0-B54B2D3B4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E10" i="1"/>
  <c r="K10" i="1"/>
  <c r="H10" i="1"/>
  <c r="V11" i="1"/>
  <c r="U11" i="1"/>
  <c r="N10" i="1"/>
</calcChain>
</file>

<file path=xl/sharedStrings.xml><?xml version="1.0" encoding="utf-8"?>
<sst xmlns="http://schemas.openxmlformats.org/spreadsheetml/2006/main" count="114" uniqueCount="44">
  <si>
    <t>القبول وفتح الملف</t>
  </si>
  <si>
    <t>المقررات الدراسية – 40 ساعة</t>
  </si>
  <si>
    <t>البحث التكميلي – 9 ساعات</t>
  </si>
  <si>
    <t>الخدمات الأكاديمية والإلكترونية</t>
  </si>
  <si>
    <t>الإجمالي</t>
  </si>
  <si>
    <t>المقررات الدراسية – 25 ساعة</t>
  </si>
  <si>
    <t>ماجستير الفقه وأصوله</t>
  </si>
  <si>
    <t>مسار الرسالة</t>
  </si>
  <si>
    <t>المسار الشامل</t>
  </si>
  <si>
    <t>ماجستير الحديث الشريف وعلومه</t>
  </si>
  <si>
    <t>المقررات الدراسية – 41 ساعة</t>
  </si>
  <si>
    <t>دكتوراه الفقه وأصوله</t>
  </si>
  <si>
    <t>الرسالة العلمية – 24 ساعات</t>
  </si>
  <si>
    <t>الرسالة العلمية – سنتين</t>
  </si>
  <si>
    <t>سنة إضافية</t>
  </si>
  <si>
    <t>كلية الشريعة</t>
  </si>
  <si>
    <t>مسار الرسالة عن بعد</t>
  </si>
  <si>
    <t>برنامج بكالوريوس الحديث - حضوري</t>
  </si>
  <si>
    <t>برنامج بكالوريوس الفقه -عن بعد</t>
  </si>
  <si>
    <t>30 د.ك</t>
  </si>
  <si>
    <t>قيمة الكفالة الشهرية</t>
  </si>
  <si>
    <t>البند</t>
  </si>
  <si>
    <t>إجمالي القيمة</t>
  </si>
  <si>
    <t>القسط من 8 دفعات</t>
  </si>
  <si>
    <t>الرسوم الدراسية – 126 ساعة × $25</t>
  </si>
  <si>
    <t>الاختبارات والتقييم</t>
  </si>
  <si>
    <t>المصادر والمكتبة الرقمية</t>
  </si>
  <si>
    <t>السجل الأكاديمي والخدمات الطلابية</t>
  </si>
  <si>
    <t>إصدار وثائق التخرج</t>
  </si>
  <si>
    <t>اجمالي القيمة</t>
  </si>
  <si>
    <t>25 دولار</t>
  </si>
  <si>
    <t>30 دولار</t>
  </si>
  <si>
    <t>كلية الأعمال</t>
  </si>
  <si>
    <t>برنامج بكالوريوس الاقتصاد - حضوري</t>
  </si>
  <si>
    <t>الساعة الدراسية كلية الشريعة عن بعد</t>
  </si>
  <si>
    <t>الساعة الدراسية كلية الشريعة حضوري</t>
  </si>
  <si>
    <t>الساعة الدراسية كلية الأعمال حضوري</t>
  </si>
  <si>
    <t>32 دولار</t>
  </si>
  <si>
    <t>المجموع</t>
  </si>
  <si>
    <t>الرسوم الدراسية – 127 ساعة × $32</t>
  </si>
  <si>
    <t>الرسوم الدراسية – 131 ساعة × $30</t>
  </si>
  <si>
    <t>الرسوم الدراسية – 135 ساعة × $30</t>
  </si>
  <si>
    <t>برنامج بكالوريوس العقيدة وأصول الدين - حضوري</t>
  </si>
  <si>
    <t>قيمة القسط من 4 دفعات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</si>
</sst>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0" fontId="0" fillId="0" borderId="1" xfId="0" applyBorder="1"/>
    <xf numFmtId="0" fontId="1" fillId="3" borderId="1" xfId="0" applyFont="1" applyFill="1" applyBorder="1" applyAlignment="1">
      <alignment vertical="center" wrapText="1"/>
    </xf>
    <xf numFmtId="6" fontId="1" fillId="3" borderId="1" xfId="0" applyNumberFormat="1" applyFont="1" applyFill="1" applyBorder="1" applyAlignment="1">
      <alignment vertical="center" wrapText="1"/>
    </xf>
    <xf numFmtId="0" fontId="1" fillId="3" borderId="1" xfId="0" applyFont="1" applyFill="1" applyBorder="1"/>
    <xf numFmtId="0" fontId="0" fillId="4" borderId="0" xfId="0" applyFill="1"/>
    <xf numFmtId="0" fontId="0" fillId="2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6" fontId="1" fillId="0" borderId="0" xfId="0" applyNumberFormat="1" applyFont="1" applyAlignment="1">
      <alignment horizontal="right" vertical="center" wrapText="1"/>
    </xf>
    <xf numFmtId="0" fontId="0" fillId="0" borderId="0" xfId="0" applyAlignment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6" fontId="0" fillId="0" borderId="0" xfId="0" applyNumberFormat="1" applyBorder="1" applyAlignment="1">
      <alignment horizontal="right" vertical="center" wrapText="1"/>
    </xf>
    <xf numFmtId="8" fontId="0" fillId="0" borderId="5" xfId="0" applyNumberFormat="1" applyBorder="1" applyAlignment="1">
      <alignment horizontal="right" vertical="center" wrapText="1"/>
    </xf>
    <xf numFmtId="6" fontId="1" fillId="0" borderId="0" xfId="0" applyNumberFormat="1" applyFont="1" applyBorder="1" applyAlignment="1">
      <alignment horizontal="right" vertical="center" wrapText="1"/>
    </xf>
    <xf numFmtId="8" fontId="1" fillId="0" borderId="5" xfId="0" applyNumberFormat="1" applyFont="1" applyBorder="1" applyAlignment="1">
      <alignment horizontal="right" vertical="center" wrapText="1"/>
    </xf>
    <xf numFmtId="0" fontId="0" fillId="0" borderId="4" xfId="0" applyBorder="1"/>
    <xf numFmtId="0" fontId="0" fillId="0" borderId="0" xfId="0" applyBorder="1"/>
    <xf numFmtId="0" fontId="1" fillId="5" borderId="6" xfId="0" applyFont="1" applyFill="1" applyBorder="1" applyAlignment="1">
      <alignment vertical="center" wrapText="1"/>
    </xf>
    <xf numFmtId="6" fontId="0" fillId="5" borderId="7" xfId="0" applyNumberFormat="1" applyFill="1" applyBorder="1"/>
    <xf numFmtId="8" fontId="0" fillId="5" borderId="8" xfId="0" applyNumberFormat="1" applyFill="1" applyBorder="1"/>
    <xf numFmtId="0" fontId="0" fillId="6" borderId="0" xfId="0" applyFill="1"/>
    <xf numFmtId="0" fontId="1" fillId="6" borderId="0" xfId="0" applyFont="1" applyFill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6" fontId="1" fillId="5" borderId="7" xfId="0" applyNumberFormat="1" applyFont="1" applyFill="1" applyBorder="1" applyAlignment="1">
      <alignment horizontal="right" vertical="center" wrapText="1"/>
    </xf>
    <xf numFmtId="6" fontId="1" fillId="5" borderId="8" xfId="0" applyNumberFormat="1" applyFont="1" applyFill="1" applyBorder="1" applyAlignment="1">
      <alignment horizontal="right" vertical="center" wrapText="1"/>
    </xf>
    <xf numFmtId="8" fontId="1" fillId="5" borderId="8" xfId="0" applyNumberFormat="1" applyFont="1" applyFill="1" applyBorder="1" applyAlignment="1">
      <alignment horizontal="right" vertical="center" wrapText="1"/>
    </xf>
    <xf numFmtId="0" fontId="1" fillId="0" borderId="4" xfId="0" applyFont="1" applyFill="1" applyBorder="1" applyAlignment="1">
      <alignment vertical="center" wrapText="1"/>
    </xf>
    <xf numFmtId="6" fontId="0" fillId="0" borderId="0" xfId="0" applyNumberFormat="1" applyFill="1" applyBorder="1" applyAlignment="1">
      <alignment horizontal="right" vertical="center" wrapText="1"/>
    </xf>
    <xf numFmtId="8" fontId="0" fillId="0" borderId="0" xfId="0" applyNumberFormat="1" applyFill="1" applyBorder="1" applyAlignment="1">
      <alignment horizontal="right" vertical="center" wrapText="1"/>
    </xf>
    <xf numFmtId="0" fontId="1" fillId="3" borderId="9" xfId="0" applyFont="1" applyFill="1" applyBorder="1" applyAlignment="1">
      <alignment vertical="center" wrapText="1"/>
    </xf>
    <xf numFmtId="6" fontId="1" fillId="3" borderId="9" xfId="0" applyNumberFormat="1" applyFont="1" applyFill="1" applyBorder="1" applyAlignment="1">
      <alignment vertical="center" wrapText="1"/>
    </xf>
    <xf numFmtId="0" fontId="1" fillId="3" borderId="9" xfId="0" applyFont="1" applyFill="1" applyBorder="1"/>
    <xf numFmtId="0" fontId="1" fillId="7" borderId="2" xfId="0" applyFont="1" applyFill="1" applyBorder="1" applyAlignment="1">
      <alignment vertical="center" wrapText="1"/>
    </xf>
    <xf numFmtId="6" fontId="0" fillId="7" borderId="10" xfId="0" applyNumberFormat="1" applyFill="1" applyBorder="1" applyAlignment="1">
      <alignment horizontal="right" vertical="center" wrapText="1"/>
    </xf>
    <xf numFmtId="0" fontId="0" fillId="7" borderId="10" xfId="0" applyFill="1" applyBorder="1"/>
    <xf numFmtId="8" fontId="0" fillId="7" borderId="3" xfId="0" applyNumberForma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vertical="center" wrapText="1"/>
    </xf>
    <xf numFmtId="8" fontId="0" fillId="0" borderId="3" xfId="0" applyNumberForma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D3F5-8AB7-4114-AB58-7075A5181C9C}">
  <dimension ref="A1:AE25"/>
  <sheetViews>
    <sheetView tabSelected="1" topLeftCell="A6" workbookViewId="0">
      <selection activeCell="A15" sqref="A15"/>
    </sheetView>
  </sheetViews>
  <sheetFormatPr defaultRowHeight="14.6" x14ac:dyDescent="0.4"/>
  <cols>
    <col min="17" max="17" width="17" customWidth="1"/>
    <col min="19" max="19" width="16" customWidth="1"/>
    <col min="20" max="20" width="15.53515625" customWidth="1"/>
    <col min="21" max="21" width="9.23046875" customWidth="1"/>
    <col min="23" max="23" width="20.07421875" customWidth="1"/>
    <col min="24" max="24" width="20.765625" customWidth="1"/>
    <col min="28" max="28" width="9.23046875" customWidth="1"/>
    <col min="30" max="30" width="19.84375" customWidth="1"/>
  </cols>
  <sheetData>
    <row r="1" spans="1:31" x14ac:dyDescent="0.4">
      <c r="A1" s="8" t="s">
        <v>6</v>
      </c>
      <c r="B1" s="8"/>
      <c r="C1" s="8"/>
      <c r="D1" s="8"/>
      <c r="E1" s="8"/>
      <c r="G1" s="8" t="s">
        <v>9</v>
      </c>
      <c r="H1" s="8"/>
      <c r="I1" s="8"/>
      <c r="J1" s="8"/>
      <c r="K1" s="8"/>
      <c r="M1" s="8" t="s">
        <v>11</v>
      </c>
      <c r="N1" s="8"/>
      <c r="O1" s="7"/>
      <c r="P1" s="8" t="s">
        <v>15</v>
      </c>
      <c r="Q1" s="8"/>
      <c r="R1" s="8"/>
      <c r="T1" s="8" t="s">
        <v>15</v>
      </c>
      <c r="U1" s="8"/>
      <c r="V1" s="8"/>
      <c r="X1" s="8" t="s">
        <v>15</v>
      </c>
      <c r="Y1" s="8"/>
      <c r="Z1" s="8"/>
      <c r="AC1" s="8" t="s">
        <v>32</v>
      </c>
      <c r="AD1" s="8"/>
      <c r="AE1" s="8"/>
    </row>
    <row r="2" spans="1:31" ht="14.6" customHeight="1" x14ac:dyDescent="0.4">
      <c r="A2" s="9" t="s">
        <v>8</v>
      </c>
      <c r="B2" s="10"/>
      <c r="C2" s="32"/>
      <c r="D2" s="9" t="s">
        <v>7</v>
      </c>
      <c r="E2" s="10"/>
      <c r="G2" s="9" t="s">
        <v>8</v>
      </c>
      <c r="H2" s="10"/>
      <c r="I2" s="32"/>
      <c r="J2" s="9" t="s">
        <v>7</v>
      </c>
      <c r="K2" s="10"/>
      <c r="M2" s="11" t="s">
        <v>16</v>
      </c>
      <c r="N2" s="11"/>
      <c r="O2" s="7"/>
      <c r="P2" s="34" t="s">
        <v>17</v>
      </c>
      <c r="Q2" s="34"/>
      <c r="R2" s="34"/>
      <c r="T2" s="35" t="s">
        <v>18</v>
      </c>
      <c r="U2" s="35"/>
      <c r="V2" s="35"/>
      <c r="X2" s="34" t="s">
        <v>42</v>
      </c>
      <c r="Y2" s="34"/>
      <c r="Z2" s="34"/>
      <c r="AC2" s="34" t="s">
        <v>33</v>
      </c>
      <c r="AD2" s="34"/>
      <c r="AE2" s="34"/>
    </row>
    <row r="3" spans="1:31" ht="29.15" x14ac:dyDescent="0.4">
      <c r="A3" s="1" t="s">
        <v>0</v>
      </c>
      <c r="B3" s="2">
        <v>100</v>
      </c>
      <c r="C3" s="32"/>
      <c r="D3" s="1" t="s">
        <v>0</v>
      </c>
      <c r="E3" s="3">
        <v>100</v>
      </c>
      <c r="G3" s="1" t="s">
        <v>0</v>
      </c>
      <c r="H3" s="2">
        <v>100</v>
      </c>
      <c r="I3" s="32"/>
      <c r="J3" s="1" t="s">
        <v>0</v>
      </c>
      <c r="K3" s="3">
        <v>100</v>
      </c>
      <c r="M3" s="1" t="s">
        <v>0</v>
      </c>
      <c r="N3" s="3">
        <v>100</v>
      </c>
      <c r="P3" s="19" t="s">
        <v>21</v>
      </c>
      <c r="Q3" s="20" t="s">
        <v>22</v>
      </c>
      <c r="R3" s="21" t="s">
        <v>23</v>
      </c>
      <c r="T3" s="27" t="s">
        <v>21</v>
      </c>
      <c r="U3" s="28" t="s">
        <v>29</v>
      </c>
      <c r="V3" s="21" t="s">
        <v>23</v>
      </c>
      <c r="X3" s="19" t="s">
        <v>21</v>
      </c>
      <c r="Y3" s="20" t="s">
        <v>22</v>
      </c>
      <c r="Z3" s="21" t="s">
        <v>23</v>
      </c>
      <c r="AC3" s="19" t="s">
        <v>21</v>
      </c>
      <c r="AD3" s="20" t="s">
        <v>22</v>
      </c>
      <c r="AE3" s="21" t="s">
        <v>23</v>
      </c>
    </row>
    <row r="4" spans="1:31" ht="43.75" x14ac:dyDescent="0.4">
      <c r="A4" s="1" t="s">
        <v>1</v>
      </c>
      <c r="B4" s="2">
        <v>2050</v>
      </c>
      <c r="C4" s="32"/>
      <c r="D4" s="1" t="s">
        <v>5</v>
      </c>
      <c r="E4" s="3">
        <v>1225</v>
      </c>
      <c r="G4" s="1" t="s">
        <v>10</v>
      </c>
      <c r="H4" s="2">
        <v>2050</v>
      </c>
      <c r="I4" s="32"/>
      <c r="J4" s="1" t="s">
        <v>5</v>
      </c>
      <c r="K4" s="3">
        <v>1225</v>
      </c>
      <c r="M4" s="1" t="s">
        <v>13</v>
      </c>
      <c r="N4" s="3">
        <v>4000</v>
      </c>
      <c r="P4" s="22" t="s">
        <v>0</v>
      </c>
      <c r="Q4" s="23">
        <v>100</v>
      </c>
      <c r="R4" s="24">
        <v>12.5</v>
      </c>
      <c r="T4" s="22" t="s">
        <v>0</v>
      </c>
      <c r="U4" s="23">
        <v>100</v>
      </c>
      <c r="V4" s="26">
        <v>12.5</v>
      </c>
      <c r="X4" s="22" t="s">
        <v>0</v>
      </c>
      <c r="Y4" s="23">
        <v>100</v>
      </c>
      <c r="Z4" s="24">
        <v>12.5</v>
      </c>
      <c r="AC4" s="22" t="s">
        <v>0</v>
      </c>
      <c r="AD4" s="23">
        <v>100</v>
      </c>
      <c r="AE4" s="24">
        <v>12.5</v>
      </c>
    </row>
    <row r="5" spans="1:31" ht="58.3" x14ac:dyDescent="0.4">
      <c r="A5" s="1" t="s">
        <v>2</v>
      </c>
      <c r="B5" s="2">
        <v>450</v>
      </c>
      <c r="C5" s="32"/>
      <c r="D5" s="1" t="s">
        <v>12</v>
      </c>
      <c r="E5" s="3">
        <v>960</v>
      </c>
      <c r="G5" s="1" t="s">
        <v>2</v>
      </c>
      <c r="H5" s="2">
        <v>450</v>
      </c>
      <c r="I5" s="32"/>
      <c r="J5" s="1" t="s">
        <v>12</v>
      </c>
      <c r="K5" s="3">
        <v>960</v>
      </c>
      <c r="M5" s="1" t="s">
        <v>3</v>
      </c>
      <c r="N5" s="3">
        <v>250</v>
      </c>
      <c r="P5" s="22" t="s">
        <v>40</v>
      </c>
      <c r="Q5" s="25">
        <v>3930</v>
      </c>
      <c r="R5" s="26">
        <v>491.25</v>
      </c>
      <c r="T5" s="22" t="s">
        <v>24</v>
      </c>
      <c r="U5" s="23">
        <v>3150</v>
      </c>
      <c r="V5" s="26">
        <v>393.75</v>
      </c>
      <c r="X5" s="22" t="s">
        <v>41</v>
      </c>
      <c r="Y5" s="25">
        <v>4050</v>
      </c>
      <c r="Z5" s="26">
        <v>506.25</v>
      </c>
      <c r="AC5" s="22" t="s">
        <v>39</v>
      </c>
      <c r="AD5" s="25">
        <v>4064</v>
      </c>
      <c r="AE5" s="26">
        <v>508</v>
      </c>
    </row>
    <row r="6" spans="1:31" ht="43.75" x14ac:dyDescent="0.4">
      <c r="A6" s="1" t="s">
        <v>3</v>
      </c>
      <c r="B6" s="2">
        <v>250</v>
      </c>
      <c r="C6" s="32"/>
      <c r="D6" s="1" t="s">
        <v>3</v>
      </c>
      <c r="E6" s="3">
        <v>250</v>
      </c>
      <c r="G6" s="1" t="s">
        <v>3</v>
      </c>
      <c r="H6" s="2">
        <v>250</v>
      </c>
      <c r="I6" s="32"/>
      <c r="J6" s="1" t="s">
        <v>3</v>
      </c>
      <c r="K6" s="3">
        <v>250</v>
      </c>
      <c r="M6" s="22" t="s">
        <v>25</v>
      </c>
      <c r="N6" s="23">
        <v>100</v>
      </c>
      <c r="P6" s="22" t="s">
        <v>3</v>
      </c>
      <c r="Q6" s="23">
        <v>250</v>
      </c>
      <c r="R6" s="24">
        <v>31.25</v>
      </c>
      <c r="T6" s="22" t="s">
        <v>3</v>
      </c>
      <c r="U6" s="23">
        <v>250</v>
      </c>
      <c r="V6" s="26">
        <v>31.25</v>
      </c>
      <c r="X6" s="22" t="s">
        <v>3</v>
      </c>
      <c r="Y6" s="23">
        <v>250</v>
      </c>
      <c r="Z6" s="24">
        <v>31.25</v>
      </c>
      <c r="AC6" s="22" t="s">
        <v>3</v>
      </c>
      <c r="AD6" s="23">
        <v>250</v>
      </c>
      <c r="AE6" s="24">
        <v>31.25</v>
      </c>
    </row>
    <row r="7" spans="1:31" ht="43.75" x14ac:dyDescent="0.4">
      <c r="A7" s="22" t="s">
        <v>26</v>
      </c>
      <c r="B7" s="23">
        <v>50</v>
      </c>
      <c r="C7" s="32"/>
      <c r="D7" s="22" t="s">
        <v>26</v>
      </c>
      <c r="E7" s="23">
        <v>50</v>
      </c>
      <c r="G7" s="22" t="s">
        <v>26</v>
      </c>
      <c r="H7" s="23">
        <v>50</v>
      </c>
      <c r="I7" s="32"/>
      <c r="J7" s="22" t="s">
        <v>26</v>
      </c>
      <c r="K7" s="23">
        <v>50</v>
      </c>
      <c r="M7" s="22" t="s">
        <v>26</v>
      </c>
      <c r="N7" s="23">
        <v>50</v>
      </c>
      <c r="P7" s="22" t="s">
        <v>25</v>
      </c>
      <c r="Q7" s="23">
        <v>100</v>
      </c>
      <c r="R7" s="24">
        <v>12.5</v>
      </c>
      <c r="T7" s="22" t="s">
        <v>25</v>
      </c>
      <c r="U7" s="23">
        <v>100</v>
      </c>
      <c r="V7" s="26">
        <v>12.5</v>
      </c>
      <c r="X7" s="22" t="s">
        <v>25</v>
      </c>
      <c r="Y7" s="23">
        <v>100</v>
      </c>
      <c r="Z7" s="24">
        <v>12.5</v>
      </c>
      <c r="AC7" s="22" t="s">
        <v>25</v>
      </c>
      <c r="AD7" s="23">
        <v>100</v>
      </c>
      <c r="AE7" s="24">
        <v>12.5</v>
      </c>
    </row>
    <row r="8" spans="1:31" ht="58.3" x14ac:dyDescent="0.4">
      <c r="A8" s="22" t="s">
        <v>27</v>
      </c>
      <c r="B8" s="23">
        <v>50</v>
      </c>
      <c r="C8" s="32"/>
      <c r="D8" s="22" t="s">
        <v>27</v>
      </c>
      <c r="E8" s="23">
        <v>50</v>
      </c>
      <c r="G8" s="22" t="s">
        <v>27</v>
      </c>
      <c r="H8" s="23">
        <v>50</v>
      </c>
      <c r="I8" s="32"/>
      <c r="J8" s="22" t="s">
        <v>27</v>
      </c>
      <c r="K8" s="23">
        <v>50</v>
      </c>
      <c r="M8" s="22" t="s">
        <v>27</v>
      </c>
      <c r="N8" s="23">
        <v>50</v>
      </c>
      <c r="P8" s="22" t="s">
        <v>26</v>
      </c>
      <c r="Q8" s="23">
        <v>50</v>
      </c>
      <c r="R8" s="24">
        <v>6.25</v>
      </c>
      <c r="T8" s="22" t="s">
        <v>26</v>
      </c>
      <c r="U8" s="23">
        <v>50</v>
      </c>
      <c r="V8" s="26">
        <v>6.25</v>
      </c>
      <c r="X8" s="22" t="s">
        <v>26</v>
      </c>
      <c r="Y8" s="23">
        <v>50</v>
      </c>
      <c r="Z8" s="24">
        <v>6.25</v>
      </c>
      <c r="AC8" s="22" t="s">
        <v>26</v>
      </c>
      <c r="AD8" s="23">
        <v>50</v>
      </c>
      <c r="AE8" s="24">
        <v>6.25</v>
      </c>
    </row>
    <row r="9" spans="1:31" ht="58.3" x14ac:dyDescent="0.4">
      <c r="A9" s="22" t="s">
        <v>28</v>
      </c>
      <c r="B9" s="23">
        <v>50</v>
      </c>
      <c r="C9" s="32"/>
      <c r="D9" s="22" t="s">
        <v>28</v>
      </c>
      <c r="E9" s="23">
        <v>50</v>
      </c>
      <c r="G9" s="22" t="s">
        <v>28</v>
      </c>
      <c r="H9" s="23">
        <v>50</v>
      </c>
      <c r="I9" s="32"/>
      <c r="J9" s="22" t="s">
        <v>28</v>
      </c>
      <c r="K9" s="23">
        <v>50</v>
      </c>
      <c r="M9" s="22" t="s">
        <v>28</v>
      </c>
      <c r="N9" s="23">
        <v>50</v>
      </c>
      <c r="P9" s="22" t="s">
        <v>27</v>
      </c>
      <c r="Q9" s="23">
        <v>50</v>
      </c>
      <c r="R9" s="24">
        <v>6.25</v>
      </c>
      <c r="T9" s="22" t="s">
        <v>27</v>
      </c>
      <c r="U9" s="23">
        <v>50</v>
      </c>
      <c r="V9" s="26">
        <v>6.25</v>
      </c>
      <c r="X9" s="22" t="s">
        <v>27</v>
      </c>
      <c r="Y9" s="23">
        <v>50</v>
      </c>
      <c r="Z9" s="24">
        <v>6.25</v>
      </c>
      <c r="AC9" s="22" t="s">
        <v>27</v>
      </c>
      <c r="AD9" s="23">
        <v>50</v>
      </c>
      <c r="AE9" s="24">
        <v>6.25</v>
      </c>
    </row>
    <row r="10" spans="1:31" ht="43.75" x14ac:dyDescent="0.4">
      <c r="A10" s="42" t="s">
        <v>4</v>
      </c>
      <c r="B10" s="43">
        <f>SUM(B3:B9)</f>
        <v>3000</v>
      </c>
      <c r="C10" s="33"/>
      <c r="D10" s="42" t="s">
        <v>4</v>
      </c>
      <c r="E10" s="44">
        <f>SUM(E3:E9)</f>
        <v>2685</v>
      </c>
      <c r="G10" s="4" t="s">
        <v>4</v>
      </c>
      <c r="H10" s="5">
        <f>SUM(H3:H9)</f>
        <v>3000</v>
      </c>
      <c r="I10" s="33"/>
      <c r="J10" s="4" t="s">
        <v>4</v>
      </c>
      <c r="K10" s="6">
        <f>SUM(K3:K9)</f>
        <v>2685</v>
      </c>
      <c r="M10" s="4" t="s">
        <v>4</v>
      </c>
      <c r="N10" s="6">
        <f>SUM(N3:N5)</f>
        <v>4350</v>
      </c>
      <c r="P10" s="22" t="s">
        <v>28</v>
      </c>
      <c r="Q10" s="23">
        <v>50</v>
      </c>
      <c r="R10" s="24">
        <v>6.25</v>
      </c>
      <c r="T10" s="22" t="s">
        <v>28</v>
      </c>
      <c r="U10" s="23">
        <v>50</v>
      </c>
      <c r="V10" s="26">
        <v>6.25</v>
      </c>
      <c r="X10" s="22" t="s">
        <v>28</v>
      </c>
      <c r="Y10" s="23">
        <v>50</v>
      </c>
      <c r="Z10" s="24">
        <v>6.25</v>
      </c>
      <c r="AC10" s="22" t="s">
        <v>28</v>
      </c>
      <c r="AD10" s="23">
        <v>50</v>
      </c>
      <c r="AE10" s="24">
        <v>6.25</v>
      </c>
    </row>
    <row r="11" spans="1:31" ht="43.75" x14ac:dyDescent="0.4">
      <c r="A11" s="45" t="s">
        <v>43</v>
      </c>
      <c r="B11" s="46">
        <v>750</v>
      </c>
      <c r="C11" s="47"/>
      <c r="D11" s="45" t="s">
        <v>43</v>
      </c>
      <c r="E11" s="48">
        <v>671.25</v>
      </c>
      <c r="G11" s="39" t="s">
        <v>43</v>
      </c>
      <c r="H11" s="40">
        <v>750</v>
      </c>
      <c r="J11" s="39" t="s">
        <v>43</v>
      </c>
      <c r="K11" s="41">
        <v>671.25</v>
      </c>
      <c r="M11" s="1" t="s">
        <v>14</v>
      </c>
      <c r="N11" s="3">
        <v>500</v>
      </c>
      <c r="P11" s="29" t="s">
        <v>4</v>
      </c>
      <c r="Q11" s="36">
        <v>4530</v>
      </c>
      <c r="R11" s="38">
        <v>566.25</v>
      </c>
      <c r="T11" s="29" t="s">
        <v>38</v>
      </c>
      <c r="U11" s="30">
        <f>SUM(U4:U10)</f>
        <v>3750</v>
      </c>
      <c r="V11" s="31">
        <f>SUM(V4:V10)</f>
        <v>468.75</v>
      </c>
      <c r="X11" s="29" t="s">
        <v>4</v>
      </c>
      <c r="Y11" s="36">
        <v>4600</v>
      </c>
      <c r="Z11" s="37">
        <v>575</v>
      </c>
      <c r="AC11" s="29" t="s">
        <v>4</v>
      </c>
      <c r="AD11" s="36">
        <v>4664</v>
      </c>
      <c r="AE11" s="38">
        <v>583</v>
      </c>
    </row>
    <row r="12" spans="1:31" ht="43.75" x14ac:dyDescent="0.4">
      <c r="M12" s="49" t="s">
        <v>43</v>
      </c>
      <c r="N12" s="50">
        <v>1087.5</v>
      </c>
    </row>
    <row r="17" spans="4:19" x14ac:dyDescent="0.4">
      <c r="Q17" s="12"/>
      <c r="R17" s="13"/>
      <c r="S17" s="13"/>
    </row>
    <row r="18" spans="4:19" x14ac:dyDescent="0.4">
      <c r="D18" t="s">
        <v>20</v>
      </c>
      <c r="E18" s="18" t="s">
        <v>19</v>
      </c>
      <c r="Q18" s="14"/>
      <c r="R18" s="15"/>
      <c r="S18" s="16"/>
    </row>
    <row r="19" spans="4:19" x14ac:dyDescent="0.4">
      <c r="D19" t="s">
        <v>34</v>
      </c>
      <c r="E19" s="18" t="s">
        <v>30</v>
      </c>
      <c r="Q19" s="14"/>
      <c r="R19" s="15"/>
      <c r="S19" s="16"/>
    </row>
    <row r="20" spans="4:19" x14ac:dyDescent="0.4">
      <c r="D20" t="s">
        <v>35</v>
      </c>
      <c r="E20" s="18" t="s">
        <v>31</v>
      </c>
      <c r="Q20" s="14"/>
      <c r="R20" s="15"/>
      <c r="S20" s="16"/>
    </row>
    <row r="21" spans="4:19" x14ac:dyDescent="0.4">
      <c r="D21" t="s">
        <v>36</v>
      </c>
      <c r="E21" s="18" t="s">
        <v>37</v>
      </c>
      <c r="Q21" s="14"/>
      <c r="R21" s="15"/>
      <c r="S21" s="16"/>
    </row>
    <row r="22" spans="4:19" x14ac:dyDescent="0.4">
      <c r="Q22" s="14"/>
      <c r="R22" s="15"/>
      <c r="S22" s="16"/>
    </row>
    <row r="23" spans="4:19" x14ac:dyDescent="0.4">
      <c r="Q23" s="14"/>
      <c r="R23" s="15"/>
      <c r="S23" s="16"/>
    </row>
    <row r="24" spans="4:19" x14ac:dyDescent="0.4">
      <c r="Q24" s="14"/>
      <c r="R24" s="15"/>
      <c r="S24" s="16"/>
    </row>
    <row r="25" spans="4:19" x14ac:dyDescent="0.4">
      <c r="Q25" s="14"/>
      <c r="R25" s="17"/>
      <c r="S25" s="16"/>
    </row>
  </sheetData>
  <mergeCells count="16">
    <mergeCell ref="X2:Z2"/>
    <mergeCell ref="T1:V1"/>
    <mergeCell ref="T2:V2"/>
    <mergeCell ref="X1:Z1"/>
    <mergeCell ref="AC1:AE1"/>
    <mergeCell ref="AC2:AE2"/>
    <mergeCell ref="A1:E1"/>
    <mergeCell ref="D2:E2"/>
    <mergeCell ref="A2:B2"/>
    <mergeCell ref="P1:R1"/>
    <mergeCell ref="P2:R2"/>
    <mergeCell ref="G1:K1"/>
    <mergeCell ref="G2:H2"/>
    <mergeCell ref="J2:K2"/>
    <mergeCell ref="M2:N2"/>
    <mergeCell ref="M1:N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Hisham</dc:creator>
  <cp:lastModifiedBy>Yahya Hisham</cp:lastModifiedBy>
  <dcterms:created xsi:type="dcterms:W3CDTF">2026-09-15T12:37:48Z</dcterms:created>
  <dcterms:modified xsi:type="dcterms:W3CDTF">2026-09-16T14:45:33Z</dcterms:modified>
</cp:coreProperties>
</file>