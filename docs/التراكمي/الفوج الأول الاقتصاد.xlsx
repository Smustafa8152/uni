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التراكمي\"/>
    </mc:Choice>
  </mc:AlternateContent>
  <xr:revisionPtr revIDLastSave="0" documentId="13_ncr:1_{CF02CD74-7B0F-484D-BEBF-CF3CA4792E7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مستوى الاول " sheetId="5" r:id="rId1"/>
    <sheet name="المرجع" sheetId="4" r:id="rId2"/>
    <sheet name="الكشف" sheetId="8" r:id="rId3"/>
  </sheets>
  <definedNames>
    <definedName name="_xlnm._FilterDatabase" localSheetId="0" hidden="1">'مستوى الاول '!$A$1:$AU$14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AT3" i="5"/>
  <c r="AT4" i="5"/>
  <c r="AT5" i="5"/>
  <c r="AT6" i="5"/>
  <c r="AT7" i="5"/>
  <c r="AT8" i="5"/>
  <c r="AT9" i="5"/>
  <c r="AT10" i="5"/>
  <c r="AT11" i="5"/>
  <c r="AT12" i="5"/>
  <c r="AT13" i="5"/>
  <c r="AT14" i="5"/>
  <c r="AS3" i="5"/>
  <c r="D21" i="8" s="1" a="1"/>
  <c r="D21" i="8" s="1"/>
  <c r="AS4" i="5"/>
  <c r="AS5" i="5"/>
  <c r="AS6" i="5"/>
  <c r="AS7" i="5"/>
  <c r="AS8" i="5"/>
  <c r="AS9" i="5"/>
  <c r="AS10" i="5"/>
  <c r="AS11" i="5"/>
  <c r="AS12" i="5"/>
  <c r="AS13" i="5"/>
  <c r="AS14" i="5"/>
  <c r="AR2" i="5"/>
  <c r="AR3" i="5"/>
  <c r="AR4" i="5"/>
  <c r="AR5" i="5"/>
  <c r="AR6" i="5"/>
  <c r="AR7" i="5"/>
  <c r="AR8" i="5"/>
  <c r="AR9" i="5"/>
  <c r="AR10" i="5"/>
  <c r="AR11" i="5"/>
  <c r="AR12" i="5"/>
  <c r="AR13" i="5"/>
  <c r="AR14" i="5"/>
  <c r="AQ3" i="5"/>
  <c r="AQ4" i="5"/>
  <c r="AQ5" i="5"/>
  <c r="AQ6" i="5"/>
  <c r="AQ7" i="5"/>
  <c r="AQ8" i="5"/>
  <c r="AQ9" i="5"/>
  <c r="AQ10" i="5"/>
  <c r="AQ11" i="5"/>
  <c r="AQ12" i="5"/>
  <c r="AQ13" i="5"/>
  <c r="AQ14" i="5"/>
  <c r="V14" i="5"/>
  <c r="V13" i="5"/>
  <c r="V12" i="5"/>
  <c r="V11" i="5"/>
  <c r="V10" i="5"/>
  <c r="V9" i="5"/>
  <c r="V8" i="5"/>
  <c r="V7" i="5"/>
  <c r="V6" i="5"/>
  <c r="V5" i="5"/>
  <c r="V4" i="5"/>
  <c r="V3" i="5"/>
  <c r="T3" i="5"/>
  <c r="T4" i="5"/>
  <c r="T5" i="5"/>
  <c r="T6" i="5"/>
  <c r="U6" i="5" s="1"/>
  <c r="T7" i="5"/>
  <c r="T8" i="5"/>
  <c r="U8" i="5" s="1"/>
  <c r="T9" i="5"/>
  <c r="T10" i="5"/>
  <c r="T11" i="5"/>
  <c r="T12" i="5"/>
  <c r="U12" i="5" s="1"/>
  <c r="T13" i="5"/>
  <c r="T14" i="5"/>
  <c r="U10" i="5"/>
  <c r="U13" i="5"/>
  <c r="U14" i="5"/>
  <c r="T2" i="5"/>
  <c r="U2" i="5" s="1"/>
  <c r="U4" i="5"/>
  <c r="U5" i="5"/>
  <c r="U9" i="5"/>
  <c r="U3" i="5"/>
  <c r="U7" i="5"/>
  <c r="U11" i="5"/>
  <c r="Q3" i="5"/>
  <c r="Q4" i="5"/>
  <c r="Q5" i="5"/>
  <c r="Q6" i="5"/>
  <c r="Q7" i="5"/>
  <c r="Q8" i="5"/>
  <c r="Q9" i="5"/>
  <c r="Q10" i="5"/>
  <c r="Q11" i="5"/>
  <c r="Q12" i="5"/>
  <c r="Q13" i="5"/>
  <c r="Q14" i="5"/>
  <c r="P3" i="5"/>
  <c r="P4" i="5"/>
  <c r="P5" i="5"/>
  <c r="P6" i="5"/>
  <c r="P7" i="5"/>
  <c r="P8" i="5"/>
  <c r="P9" i="5"/>
  <c r="P10" i="5"/>
  <c r="P11" i="5"/>
  <c r="P12" i="5"/>
  <c r="P13" i="5"/>
  <c r="P14" i="5"/>
  <c r="O2" i="5"/>
  <c r="Q2" i="5" s="1"/>
  <c r="O3" i="5"/>
  <c r="O4" i="5"/>
  <c r="O5" i="5"/>
  <c r="O6" i="5"/>
  <c r="O7" i="5"/>
  <c r="O8" i="5"/>
  <c r="O9" i="5"/>
  <c r="O10" i="5"/>
  <c r="O11" i="5"/>
  <c r="O12" i="5"/>
  <c r="O13" i="5"/>
  <c r="O14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K2" i="5"/>
  <c r="K3" i="5"/>
  <c r="K4" i="5"/>
  <c r="K6" i="5"/>
  <c r="K7" i="5"/>
  <c r="K8" i="5"/>
  <c r="K9" i="5"/>
  <c r="K10" i="5"/>
  <c r="K11" i="5"/>
  <c r="K12" i="5"/>
  <c r="K13" i="5"/>
  <c r="K14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E3" i="5"/>
  <c r="E4" i="5"/>
  <c r="E5" i="5"/>
  <c r="E6" i="5"/>
  <c r="E7" i="5"/>
  <c r="E8" i="5"/>
  <c r="E9" i="5"/>
  <c r="E10" i="5"/>
  <c r="E11" i="5"/>
  <c r="E12" i="5"/>
  <c r="E13" i="5"/>
  <c r="E14" i="5"/>
  <c r="E2" i="5"/>
  <c r="A12" i="8"/>
  <c r="D6" i="8"/>
  <c r="A19" i="8"/>
  <c r="A18" i="8"/>
  <c r="A17" i="8"/>
  <c r="A16" i="8"/>
  <c r="A15" i="8"/>
  <c r="A14" i="8"/>
  <c r="A13" i="8"/>
  <c r="V2" i="5" l="1"/>
  <c r="AQ2" i="5" s="1"/>
  <c r="AS2" i="5" s="1"/>
  <c r="D22" i="8" a="1"/>
  <c r="D22" i="8" s="1"/>
  <c r="P2" i="5"/>
  <c r="AN14" i="5" l="1"/>
  <c r="AO14" i="5" s="1"/>
  <c r="AN13" i="5"/>
  <c r="AP13" i="5" s="1"/>
  <c r="AN11" i="5"/>
  <c r="AO11" i="5" s="1"/>
  <c r="AN12" i="5"/>
  <c r="AP12" i="5" s="1"/>
  <c r="AN9" i="5"/>
  <c r="AO9" i="5" s="1"/>
  <c r="AN10" i="5"/>
  <c r="AP10" i="5" s="1"/>
  <c r="AN7" i="5"/>
  <c r="AP7" i="5" s="1"/>
  <c r="AN8" i="5"/>
  <c r="AP8" i="5" s="1"/>
  <c r="AN6" i="5"/>
  <c r="AO6" i="5" s="1"/>
  <c r="AN5" i="5"/>
  <c r="AP5" i="5" s="1"/>
  <c r="AN3" i="5"/>
  <c r="AN4" i="5"/>
  <c r="AN2" i="5"/>
  <c r="AO2" i="5" s="1"/>
  <c r="AI14" i="5"/>
  <c r="AK14" i="5" s="1"/>
  <c r="AI13" i="5"/>
  <c r="AJ13" i="5" s="1"/>
  <c r="AI11" i="5"/>
  <c r="AJ11" i="5" s="1"/>
  <c r="AI12" i="5"/>
  <c r="AK12" i="5" s="1"/>
  <c r="AI9" i="5"/>
  <c r="AK9" i="5" s="1"/>
  <c r="AI10" i="5"/>
  <c r="AJ10" i="5" s="1"/>
  <c r="AI7" i="5"/>
  <c r="AJ7" i="5" s="1"/>
  <c r="AI8" i="5"/>
  <c r="AK8" i="5" s="1"/>
  <c r="AI6" i="5"/>
  <c r="AK6" i="5" s="1"/>
  <c r="AI5" i="5"/>
  <c r="AJ5" i="5" s="1"/>
  <c r="AI3" i="5"/>
  <c r="AI4" i="5"/>
  <c r="AI2" i="5"/>
  <c r="AK2" i="5" s="1"/>
  <c r="AD14" i="5"/>
  <c r="AF14" i="5" s="1"/>
  <c r="AD13" i="5"/>
  <c r="AE13" i="5" s="1"/>
  <c r="AD11" i="5"/>
  <c r="AF11" i="5" s="1"/>
  <c r="AD12" i="5"/>
  <c r="AF12" i="5" s="1"/>
  <c r="AD9" i="5"/>
  <c r="AF9" i="5" s="1"/>
  <c r="AD10" i="5"/>
  <c r="AE10" i="5" s="1"/>
  <c r="AD7" i="5"/>
  <c r="AF7" i="5" s="1"/>
  <c r="AD8" i="5"/>
  <c r="AF8" i="5" s="1"/>
  <c r="AD6" i="5"/>
  <c r="AF6" i="5" s="1"/>
  <c r="AD5" i="5"/>
  <c r="AE5" i="5" s="1"/>
  <c r="AD3" i="5"/>
  <c r="AD4" i="5"/>
  <c r="AD2" i="5"/>
  <c r="AF2" i="5" s="1"/>
  <c r="Y14" i="5"/>
  <c r="AA14" i="5" s="1"/>
  <c r="Y13" i="5"/>
  <c r="Z13" i="5" s="1"/>
  <c r="Y11" i="5"/>
  <c r="AA11" i="5" s="1"/>
  <c r="Y12" i="5"/>
  <c r="AA12" i="5" s="1"/>
  <c r="Y9" i="5"/>
  <c r="AA9" i="5" s="1"/>
  <c r="Y10" i="5"/>
  <c r="Z10" i="5" s="1"/>
  <c r="Y7" i="5"/>
  <c r="Z7" i="5" s="1"/>
  <c r="Y8" i="5"/>
  <c r="AA8" i="5" s="1"/>
  <c r="Y6" i="5"/>
  <c r="AA6" i="5" s="1"/>
  <c r="Y5" i="5"/>
  <c r="Z5" i="5" s="1"/>
  <c r="Y3" i="5"/>
  <c r="Y4" i="5"/>
  <c r="Y2" i="5"/>
  <c r="AA2" i="5" s="1"/>
  <c r="AP3" i="5" l="1"/>
  <c r="AA3" i="5"/>
  <c r="AK3" i="5"/>
  <c r="AE3" i="5"/>
  <c r="AP4" i="5"/>
  <c r="AK4" i="5"/>
  <c r="AF4" i="5"/>
  <c r="AA4" i="5"/>
  <c r="AO13" i="5"/>
  <c r="AO5" i="5"/>
  <c r="AP9" i="5"/>
  <c r="AP2" i="5"/>
  <c r="AP6" i="5"/>
  <c r="AO10" i="5"/>
  <c r="AP14" i="5"/>
  <c r="AO3" i="5"/>
  <c r="D19" i="8" s="1" a="1"/>
  <c r="D19" i="8" s="1"/>
  <c r="AO7" i="5"/>
  <c r="AO4" i="5"/>
  <c r="AO8" i="5"/>
  <c r="AO12" i="5"/>
  <c r="AP11" i="5"/>
  <c r="AK7" i="5"/>
  <c r="AK11" i="5"/>
  <c r="AK5" i="5"/>
  <c r="AJ3" i="5"/>
  <c r="AK13" i="5"/>
  <c r="AK10" i="5"/>
  <c r="AJ4" i="5"/>
  <c r="AJ8" i="5"/>
  <c r="AJ12" i="5"/>
  <c r="AJ2" i="5"/>
  <c r="AJ6" i="5"/>
  <c r="AJ9" i="5"/>
  <c r="AJ14" i="5"/>
  <c r="AF10" i="5"/>
  <c r="AE11" i="5"/>
  <c r="AF5" i="5"/>
  <c r="AE7" i="5"/>
  <c r="AF3" i="5"/>
  <c r="AF13" i="5"/>
  <c r="AE4" i="5"/>
  <c r="AE8" i="5"/>
  <c r="AE12" i="5"/>
  <c r="AE2" i="5"/>
  <c r="AE6" i="5"/>
  <c r="AE9" i="5"/>
  <c r="AE14" i="5"/>
  <c r="AA7" i="5"/>
  <c r="Z3" i="5"/>
  <c r="D16" i="8" s="1" a="1"/>
  <c r="D16" i="8" s="1"/>
  <c r="AA13" i="5"/>
  <c r="AA10" i="5"/>
  <c r="Z11" i="5"/>
  <c r="AA5" i="5"/>
  <c r="Z2" i="5"/>
  <c r="Z4" i="5"/>
  <c r="Z8" i="5"/>
  <c r="Z12" i="5"/>
  <c r="Z6" i="5"/>
  <c r="Z9" i="5"/>
  <c r="Z14" i="5"/>
  <c r="D14" i="8" a="1"/>
  <c r="D14" i="8" s="1"/>
  <c r="D13" i="8" a="1"/>
  <c r="D13" i="8" s="1"/>
  <c r="D15" i="8" l="1" a="1"/>
  <c r="D15" i="8" s="1"/>
  <c r="D18" i="8" a="1"/>
  <c r="D18" i="8" s="1"/>
  <c r="D17" i="8" a="1"/>
  <c r="D17" i="8" s="1"/>
  <c r="D23" i="8" a="1"/>
  <c r="D23" i="8" s="1"/>
  <c r="H20" i="8" l="1"/>
  <c r="D20" i="8"/>
  <c r="AU8" i="5"/>
  <c r="AT2" i="5"/>
  <c r="AU9" i="5" l="1"/>
  <c r="AU6" i="5"/>
  <c r="AU2" i="5"/>
  <c r="AU14" i="5"/>
  <c r="AU5" i="5"/>
  <c r="AU13" i="5"/>
  <c r="AU7" i="5"/>
  <c r="AU12" i="5"/>
  <c r="AU11" i="5"/>
  <c r="AU10" i="5"/>
  <c r="AU3" i="5"/>
  <c r="D24" i="8" s="1" a="1"/>
  <c r="D24" i="8" s="1"/>
  <c r="AU4" i="5"/>
  <c r="D12" i="8" l="1" a="1"/>
  <c r="D1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<sst xmlns="http://schemas.openxmlformats.org/spreadsheetml/2006/main" count="113" uniqueCount="109">
  <si>
    <t xml:space="preserve">رقم الجامعي </t>
  </si>
  <si>
    <t xml:space="preserve">أسماء الطلبة </t>
  </si>
  <si>
    <t>English(2)</t>
  </si>
  <si>
    <t>الوزن</t>
  </si>
  <si>
    <t>النقاط</t>
  </si>
  <si>
    <t>مجموع النقاط</t>
  </si>
  <si>
    <t>مجموع الساعات</t>
  </si>
  <si>
    <t xml:space="preserve">المعدل الفصلي </t>
  </si>
  <si>
    <t>التقدير</t>
  </si>
  <si>
    <t>الترتيب</t>
  </si>
  <si>
    <t>الدرجة</t>
  </si>
  <si>
    <t xml:space="preserve">المعدلة </t>
  </si>
  <si>
    <t xml:space="preserve">رمز المعدلة </t>
  </si>
  <si>
    <t>ه</t>
  </si>
  <si>
    <t>راسب</t>
  </si>
  <si>
    <t>د</t>
  </si>
  <si>
    <t>مقبول</t>
  </si>
  <si>
    <t>د+</t>
  </si>
  <si>
    <t xml:space="preserve">مقبول مرتفع </t>
  </si>
  <si>
    <t>ج</t>
  </si>
  <si>
    <t xml:space="preserve">جيد </t>
  </si>
  <si>
    <t>ج+</t>
  </si>
  <si>
    <t xml:space="preserve">جيد مرتفع </t>
  </si>
  <si>
    <t>ب</t>
  </si>
  <si>
    <t xml:space="preserve">جيد جدا </t>
  </si>
  <si>
    <t>ب+</t>
  </si>
  <si>
    <t>جيد جد مرتفع</t>
  </si>
  <si>
    <t>أ</t>
  </si>
  <si>
    <t xml:space="preserve">ممتاز </t>
  </si>
  <si>
    <t xml:space="preserve">أ+ </t>
  </si>
  <si>
    <t xml:space="preserve">ممتاز مرتفع </t>
  </si>
  <si>
    <t>مهارات تقنية 1</t>
  </si>
  <si>
    <t xml:space="preserve">مقدمة في الاقتصاد الجزئي </t>
  </si>
  <si>
    <t xml:space="preserve">المدخل إلى الفقه الإسلامي </t>
  </si>
  <si>
    <t xml:space="preserve">أصول العقيدة الإسلامية </t>
  </si>
  <si>
    <t>التجويد 1</t>
  </si>
  <si>
    <t xml:space="preserve">دراسات غامبيا </t>
  </si>
  <si>
    <t xml:space="preserve">محمود محمد جابي </t>
  </si>
  <si>
    <t>موسى باسادي وغي</t>
  </si>
  <si>
    <t xml:space="preserve">محمد أبوبكر  كابا </t>
  </si>
  <si>
    <t xml:space="preserve">مورو كاسو كونتي </t>
  </si>
  <si>
    <t xml:space="preserve">ساجو أحمد جادم </t>
  </si>
  <si>
    <t xml:space="preserve">عائشة محمد جابي </t>
  </si>
  <si>
    <t>مصطفى محمد جوارا</t>
  </si>
  <si>
    <t>بنغل فودي سنكانو</t>
  </si>
  <si>
    <t xml:space="preserve">خديجة مجتبى جالو </t>
  </si>
  <si>
    <t>خديجة سليمان باه</t>
  </si>
  <si>
    <t xml:space="preserve">أحمد غوث درامي </t>
  </si>
  <si>
    <t>عائشة  إسحاق بارو</t>
  </si>
  <si>
    <t>حواء جيجي كانتي</t>
  </si>
  <si>
    <t>م</t>
  </si>
  <si>
    <t xml:space="preserve">مهارات  تقنية </t>
  </si>
  <si>
    <t xml:space="preserve">التجويد </t>
  </si>
  <si>
    <t xml:space="preserve">درسات الغامبية </t>
  </si>
  <si>
    <t xml:space="preserve">التقدير </t>
  </si>
  <si>
    <t xml:space="preserve">الترتيب </t>
  </si>
  <si>
    <t>مقدمة في الاقتصاد الجزئي</t>
  </si>
  <si>
    <t xml:space="preserve">المدخل الى الفقه الإسلامي </t>
  </si>
  <si>
    <t>الساعات( م ت ق)</t>
  </si>
  <si>
    <t>الوزن ( م ت ق)</t>
  </si>
  <si>
    <t>الرمز ( م ت ق)</t>
  </si>
  <si>
    <t>النقاط ( م ت ق)</t>
  </si>
  <si>
    <t xml:space="preserve">الساعات ( م ق ج) </t>
  </si>
  <si>
    <t>الوزن ( م ق ج)</t>
  </si>
  <si>
    <t>الرمز ( م ق ج)</t>
  </si>
  <si>
    <t>النقاط ( م ق ج)</t>
  </si>
  <si>
    <t>الساعات ( م ف إ)</t>
  </si>
  <si>
    <t>الوزن ( م ف إ)</t>
  </si>
  <si>
    <t>الرمز ( م ف إ)</t>
  </si>
  <si>
    <t>النقاط ( م ف إ)</t>
  </si>
  <si>
    <t>الساعات ( م ع)</t>
  </si>
  <si>
    <t>الوزن  ( م ع)</t>
  </si>
  <si>
    <t>الرمز  ( م ع)</t>
  </si>
  <si>
    <t>النقاط  ( م ع)</t>
  </si>
  <si>
    <t xml:space="preserve">الساعات ( م ت) </t>
  </si>
  <si>
    <t xml:space="preserve">الوزن  ( م ت) </t>
  </si>
  <si>
    <t xml:space="preserve">الرمز  ( م ت) </t>
  </si>
  <si>
    <t xml:space="preserve">النقاط  ( م ت) </t>
  </si>
  <si>
    <t>الساعات ( د غ)</t>
  </si>
  <si>
    <t>الوزن ( د غ)</t>
  </si>
  <si>
    <t>الرمز ( د غ)</t>
  </si>
  <si>
    <t>النقاط ( د غ)</t>
  </si>
  <si>
    <t>الساعات (م ENG)</t>
  </si>
  <si>
    <t>الوزن  (م ENG)</t>
  </si>
  <si>
    <t>الرمز  (م ENG)</t>
  </si>
  <si>
    <t>النقاط  (م ENG)</t>
  </si>
  <si>
    <t>الرقم الجامعي</t>
  </si>
  <si>
    <t>اسم الطالب/ ة</t>
  </si>
  <si>
    <t xml:space="preserve">الكلية </t>
  </si>
  <si>
    <t xml:space="preserve">المستوى </t>
  </si>
  <si>
    <t>الأول</t>
  </si>
  <si>
    <t>الفصل الأول/ 2025-2026</t>
  </si>
  <si>
    <t>المقرر</t>
  </si>
  <si>
    <t xml:space="preserve">الدرجة النهائة </t>
  </si>
  <si>
    <t xml:space="preserve">اسمه </t>
  </si>
  <si>
    <t xml:space="preserve">رمزه </t>
  </si>
  <si>
    <t>ساعته</t>
  </si>
  <si>
    <t>وزنه</t>
  </si>
  <si>
    <t>رمزه</t>
  </si>
  <si>
    <t>المجموع</t>
  </si>
  <si>
    <t xml:space="preserve">المعدل الفصلي   </t>
  </si>
  <si>
    <t xml:space="preserve">المعدل التراكمي </t>
  </si>
  <si>
    <t>الاقتصاد</t>
  </si>
  <si>
    <t xml:space="preserve">الساعة </t>
  </si>
  <si>
    <t>الوزن ( م ت ق)2</t>
  </si>
  <si>
    <t>الرمز ( م ت ق)3</t>
  </si>
  <si>
    <t>النقاط ( م ت ق)4</t>
  </si>
  <si>
    <t xml:space="preserve">القران الكريم </t>
  </si>
  <si>
    <t xml:space="preserve">القرآن الكريم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</si>
</sst>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sz val="11"/>
      <name val="Lemonada SemiBold"/>
    </font>
    <font>
      <b/>
      <sz val="14"/>
      <color theme="1"/>
      <name val="Calibri"/>
      <family val="2"/>
      <scheme val="minor"/>
    </font>
    <font>
      <b/>
      <sz val="20"/>
      <color theme="1"/>
      <name val="Sakkal Majalla"/>
    </font>
    <font>
      <sz val="14"/>
      <color theme="1"/>
      <name val="Al-Mohanad Bold"/>
      <family val="1"/>
    </font>
    <font>
      <b/>
      <sz val="18"/>
      <name val="Al-Mohanad Bold"/>
      <family val="1"/>
    </font>
    <font>
      <b/>
      <sz val="18"/>
      <name val="Microsoft Uighur"/>
    </font>
    <font>
      <b/>
      <sz val="20"/>
      <name val="Microsoft Uighur"/>
    </font>
    <font>
      <b/>
      <sz val="11"/>
      <color theme="0"/>
      <name val="Lemonada Medium"/>
    </font>
    <font>
      <b/>
      <sz val="22"/>
      <color theme="0"/>
      <name val="Calibri Light"/>
      <family val="1"/>
      <scheme val="major"/>
    </font>
    <font>
      <b/>
      <sz val="16"/>
      <color theme="0"/>
      <name val="Simplified Arabic"/>
      <family val="1"/>
    </font>
    <font>
      <b/>
      <sz val="16"/>
      <color rgb="FFC00000"/>
      <name val="Sakkal Majalla"/>
    </font>
    <font>
      <b/>
      <sz val="18"/>
      <color rgb="FFC00000"/>
      <name val="Sakkal Majalla"/>
    </font>
    <font>
      <b/>
      <sz val="14"/>
      <name val="Al Qabas Bold"/>
      <charset val="178"/>
    </font>
    <font>
      <b/>
      <sz val="20"/>
      <color rgb="FFC00000"/>
      <name val="Sakkal Majalla"/>
    </font>
    <font>
      <b/>
      <sz val="22"/>
      <color rgb="FFC00000"/>
      <name val="Sakkal Majalla"/>
    </font>
    <font>
      <b/>
      <sz val="18"/>
      <color theme="1"/>
      <name val="Sakkal Majalla"/>
    </font>
    <font>
      <b/>
      <sz val="20"/>
      <color theme="0"/>
      <name val="Aharoni"/>
      <charset val="177"/>
    </font>
    <font>
      <b/>
      <sz val="12"/>
      <color theme="0"/>
      <name val="Lemonada Medium"/>
    </font>
    <font>
      <b/>
      <sz val="18"/>
      <color theme="1"/>
      <name val="Calibri"/>
      <family val="2"/>
      <scheme val="minor"/>
    </font>
    <font>
      <b/>
      <sz val="16"/>
      <name val="Al-Mohanad Bold"/>
      <family val="1"/>
    </font>
    <font>
      <sz val="14"/>
      <name val="Al Qabas Bold"/>
      <charset val="178"/>
    </font>
    <font>
      <sz val="20"/>
      <name val="Al-Mohanad Bold"/>
      <family val="1"/>
    </font>
    <font>
      <sz val="16"/>
      <name val="Al-Mohanad Bold"/>
      <family val="1"/>
    </font>
    <font>
      <sz val="11"/>
      <color theme="1"/>
      <name val="Al Qabas Bold"/>
      <charset val="178"/>
    </font>
    <font>
      <b/>
      <sz val="16"/>
      <color rgb="FFCC0000"/>
      <name val="Sakkal Majalla"/>
    </font>
    <font>
      <sz val="20"/>
      <name val="Calibri Light"/>
      <family val="1"/>
      <scheme val="major"/>
    </font>
    <font>
      <b/>
      <sz val="18"/>
      <name val="Arabic Typesetting"/>
      <family val="4"/>
    </font>
    <font>
      <b/>
      <sz val="14"/>
      <color rgb="FFFF0000"/>
      <name val="AdLib BT"/>
      <family val="5"/>
    </font>
    <font>
      <b/>
      <sz val="14"/>
      <color rgb="FFFF0000"/>
      <name val="K Homa"/>
      <charset val="178"/>
    </font>
    <font>
      <b/>
      <sz val="12"/>
      <color rgb="FFFF0000"/>
      <name val="Al Qabas Bold"/>
      <charset val="178"/>
    </font>
    <font>
      <b/>
      <sz val="11"/>
      <color rgb="FFFF0000"/>
      <name val="Lemonada SemiBold"/>
    </font>
    <font>
      <b/>
      <sz val="16"/>
      <color rgb="FF003300"/>
      <name val="Al Qabas Bold"/>
      <charset val="178"/>
    </font>
    <font>
      <b/>
      <sz val="18"/>
      <color rgb="FFC00000"/>
      <name val="Rubik Black"/>
    </font>
    <font>
      <b/>
      <sz val="18"/>
      <color rgb="FF0000CC"/>
      <name val="Rubik Black"/>
    </font>
    <font>
      <b/>
      <sz val="20"/>
      <name val="Calibri Light"/>
      <family val="1"/>
      <scheme val="maj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CC33"/>
      </left>
      <right/>
      <top style="thin">
        <color rgb="FF33CC33"/>
      </top>
      <bottom style="thin">
        <color rgb="FF33CC33"/>
      </bottom>
      <diagonal/>
    </border>
    <border>
      <left/>
      <right/>
      <top style="thin">
        <color rgb="FF33CC33"/>
      </top>
      <bottom style="thin">
        <color rgb="FF33CC33"/>
      </bottom>
      <diagonal/>
    </border>
    <border>
      <left/>
      <right style="thin">
        <color rgb="FF33CC33"/>
      </right>
      <top style="thin">
        <color rgb="FF33CC33"/>
      </top>
      <bottom style="thin">
        <color rgb="FF33CC33"/>
      </bottom>
      <diagonal/>
    </border>
    <border>
      <left style="thin">
        <color rgb="FF33CC33"/>
      </left>
      <right/>
      <top style="thin">
        <color rgb="FF33CC33"/>
      </top>
      <bottom style="medium">
        <color indexed="64"/>
      </bottom>
      <diagonal/>
    </border>
    <border>
      <left/>
      <right/>
      <top style="thin">
        <color rgb="FF33CC33"/>
      </top>
      <bottom style="medium">
        <color indexed="64"/>
      </bottom>
      <diagonal/>
    </border>
    <border>
      <left/>
      <right style="thin">
        <color rgb="FF33CC33"/>
      </right>
      <top style="thin">
        <color rgb="FF33CC33"/>
      </top>
      <bottom style="medium">
        <color indexed="64"/>
      </bottom>
      <diagonal/>
    </border>
    <border>
      <left style="thin">
        <color rgb="FF33CC33"/>
      </left>
      <right/>
      <top style="thin">
        <color rgb="FF33CC33"/>
      </top>
      <bottom/>
      <diagonal/>
    </border>
    <border>
      <left/>
      <right/>
      <top style="thin">
        <color rgb="FF33CC3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vertical="center" textRotation="90" shrinkToFi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 shrinkToFit="1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6" fillId="12" borderId="16" xfId="0" applyFont="1" applyFill="1" applyBorder="1" applyAlignment="1">
      <alignment horizontal="center" vertical="center"/>
    </xf>
    <xf numFmtId="0" fontId="26" fillId="10" borderId="16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164" fontId="26" fillId="11" borderId="16" xfId="0" applyNumberFormat="1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28" fillId="0" borderId="3" xfId="0" applyFont="1" applyBorder="1" applyAlignment="1">
      <alignment horizontal="center" vertical="center" textRotation="90"/>
    </xf>
    <xf numFmtId="0" fontId="28" fillId="0" borderId="2" xfId="0" applyFont="1" applyBorder="1" applyAlignment="1">
      <alignment horizontal="center" vertical="center" textRotation="90"/>
    </xf>
    <xf numFmtId="0" fontId="29" fillId="5" borderId="4" xfId="0" applyFont="1" applyFill="1" applyBorder="1" applyAlignment="1">
      <alignment horizontal="center" vertical="center" textRotation="90"/>
    </xf>
    <xf numFmtId="0" fontId="28" fillId="0" borderId="5" xfId="0" applyFont="1" applyBorder="1" applyAlignment="1">
      <alignment horizontal="center" vertical="center" textRotation="90"/>
    </xf>
    <xf numFmtId="2" fontId="30" fillId="4" borderId="5" xfId="0" applyNumberFormat="1" applyFont="1" applyFill="1" applyBorder="1" applyAlignment="1">
      <alignment horizontal="center" vertical="center" textRotation="90"/>
    </xf>
    <xf numFmtId="0" fontId="30" fillId="3" borderId="5" xfId="0" applyFont="1" applyFill="1" applyBorder="1" applyAlignment="1">
      <alignment horizontal="center" vertical="center" textRotation="90"/>
    </xf>
    <xf numFmtId="0" fontId="30" fillId="7" borderId="6" xfId="0" applyFont="1" applyFill="1" applyBorder="1" applyAlignment="1">
      <alignment horizontal="center" vertical="center" textRotation="90"/>
    </xf>
    <xf numFmtId="0" fontId="28" fillId="0" borderId="1" xfId="0" applyFont="1" applyBorder="1" applyAlignment="1">
      <alignment horizontal="center" vertical="center" textRotation="90"/>
    </xf>
    <xf numFmtId="0" fontId="30" fillId="7" borderId="12" xfId="0" applyFont="1" applyFill="1" applyBorder="1" applyAlignment="1">
      <alignment horizontal="center" vertical="center" textRotation="90"/>
    </xf>
    <xf numFmtId="0" fontId="31" fillId="8" borderId="1" xfId="0" applyFont="1" applyFill="1" applyBorder="1" applyAlignment="1">
      <alignment horizontal="center" vertical="center" textRotation="90" shrinkToFit="1"/>
    </xf>
    <xf numFmtId="0" fontId="31" fillId="8" borderId="2" xfId="0" applyFont="1" applyFill="1" applyBorder="1" applyAlignment="1">
      <alignment horizontal="center" vertical="center" textRotation="90" shrinkToFit="1"/>
    </xf>
    <xf numFmtId="0" fontId="14" fillId="3" borderId="4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2" fontId="14" fillId="3" borderId="42" xfId="0" applyNumberFormat="1" applyFont="1" applyFill="1" applyBorder="1" applyAlignment="1">
      <alignment horizontal="center" vertical="center"/>
    </xf>
    <xf numFmtId="0" fontId="22" fillId="14" borderId="23" xfId="0" applyFont="1" applyFill="1" applyBorder="1"/>
    <xf numFmtId="0" fontId="23" fillId="14" borderId="1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35" fillId="13" borderId="16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36" fillId="8" borderId="1" xfId="0" applyFont="1" applyFill="1" applyBorder="1"/>
    <xf numFmtId="0" fontId="8" fillId="15" borderId="26" xfId="0" applyFont="1" applyFill="1" applyBorder="1" applyAlignment="1">
      <alignment horizontal="center" vertical="center"/>
    </xf>
    <xf numFmtId="0" fontId="8" fillId="15" borderId="27" xfId="0" applyFont="1" applyFill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/>
    </xf>
    <xf numFmtId="0" fontId="9" fillId="15" borderId="26" xfId="0" applyFont="1" applyFill="1" applyBorder="1" applyAlignment="1">
      <alignment horizontal="center" vertical="center"/>
    </xf>
    <xf numFmtId="0" fontId="9" fillId="15" borderId="27" xfId="0" applyFont="1" applyFill="1" applyBorder="1" applyAlignment="1">
      <alignment horizontal="center" vertical="center"/>
    </xf>
    <xf numFmtId="0" fontId="10" fillId="15" borderId="26" xfId="0" applyFont="1" applyFill="1" applyBorder="1" applyAlignment="1">
      <alignment horizontal="center" vertical="center"/>
    </xf>
    <xf numFmtId="0" fontId="10" fillId="15" borderId="27" xfId="0" applyFont="1" applyFill="1" applyBorder="1" applyAlignment="1">
      <alignment horizontal="center" vertical="center"/>
    </xf>
    <xf numFmtId="0" fontId="17" fillId="15" borderId="26" xfId="0" applyFont="1" applyFill="1" applyBorder="1" applyAlignment="1">
      <alignment horizontal="center" vertical="center"/>
    </xf>
    <xf numFmtId="0" fontId="17" fillId="15" borderId="27" xfId="0" applyFont="1" applyFill="1" applyBorder="1" applyAlignment="1">
      <alignment horizontal="center" vertical="center"/>
    </xf>
    <xf numFmtId="0" fontId="18" fillId="15" borderId="32" xfId="0" applyFont="1" applyFill="1" applyBorder="1" applyAlignment="1">
      <alignment horizontal="center" vertical="center"/>
    </xf>
    <xf numFmtId="0" fontId="8" fillId="15" borderId="33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 vertical="center"/>
    </xf>
    <xf numFmtId="0" fontId="19" fillId="14" borderId="35" xfId="0" applyFont="1" applyFill="1" applyBorder="1" applyAlignment="1">
      <alignment horizontal="center" vertical="center"/>
    </xf>
    <xf numFmtId="0" fontId="19" fillId="14" borderId="38" xfId="0" applyFont="1" applyFill="1" applyBorder="1" applyAlignment="1">
      <alignment horizontal="center" vertical="center"/>
    </xf>
    <xf numFmtId="0" fontId="13" fillId="14" borderId="17" xfId="0" applyFont="1" applyFill="1" applyBorder="1" applyAlignment="1">
      <alignment horizontal="center" vertical="center"/>
    </xf>
    <xf numFmtId="0" fontId="13" fillId="14" borderId="1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1" fillId="14" borderId="36" xfId="0" applyFont="1" applyFill="1" applyBorder="1" applyAlignment="1">
      <alignment horizontal="center" vertical="center" wrapText="1"/>
    </xf>
    <xf numFmtId="0" fontId="21" fillId="14" borderId="16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4" borderId="37" xfId="0" applyFont="1" applyFill="1" applyBorder="1" applyAlignment="1">
      <alignment horizontal="center" vertical="center"/>
    </xf>
    <xf numFmtId="0" fontId="5" fillId="14" borderId="39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top"/>
    </xf>
    <xf numFmtId="0" fontId="12" fillId="3" borderId="15" xfId="0" applyFont="1" applyFill="1" applyBorder="1" applyAlignment="1">
      <alignment horizontal="center" vertical="top"/>
    </xf>
    <xf numFmtId="0" fontId="12" fillId="3" borderId="40" xfId="0" applyFont="1" applyFill="1" applyBorder="1" applyAlignment="1">
      <alignment horizontal="center" vertical="top"/>
    </xf>
    <xf numFmtId="0" fontId="12" fillId="3" borderId="19" xfId="0" applyFont="1" applyFill="1" applyBorder="1" applyAlignment="1">
      <alignment horizontal="right" vertical="top"/>
    </xf>
    <xf numFmtId="0" fontId="12" fillId="3" borderId="20" xfId="0" applyFont="1" applyFill="1" applyBorder="1" applyAlignment="1">
      <alignment horizontal="right" vertical="top"/>
    </xf>
    <xf numFmtId="0" fontId="12" fillId="3" borderId="3" xfId="0" applyFont="1" applyFill="1" applyBorder="1" applyAlignment="1">
      <alignment horizontal="right" vertical="top"/>
    </xf>
    <xf numFmtId="0" fontId="12" fillId="3" borderId="19" xfId="0" applyFont="1" applyFill="1" applyBorder="1" applyAlignment="1">
      <alignment vertical="top"/>
    </xf>
    <xf numFmtId="0" fontId="12" fillId="3" borderId="20" xfId="0" applyFont="1" applyFill="1" applyBorder="1" applyAlignment="1">
      <alignment vertical="top"/>
    </xf>
    <xf numFmtId="0" fontId="12" fillId="3" borderId="3" xfId="0" applyFont="1" applyFill="1" applyBorder="1" applyAlignment="1">
      <alignment vertical="top"/>
    </xf>
    <xf numFmtId="0" fontId="8" fillId="15" borderId="29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right" vertical="top"/>
    </xf>
    <xf numFmtId="0" fontId="12" fillId="3" borderId="24" xfId="0" applyFont="1" applyFill="1" applyBorder="1" applyAlignment="1">
      <alignment horizontal="right" vertical="top"/>
    </xf>
    <xf numFmtId="0" fontId="12" fillId="3" borderId="23" xfId="0" applyFont="1" applyFill="1" applyBorder="1" applyAlignment="1">
      <alignment horizontal="right" vertical="top"/>
    </xf>
    <xf numFmtId="0" fontId="15" fillId="3" borderId="1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2" fontId="32" fillId="3" borderId="2" xfId="0" applyNumberFormat="1" applyFont="1" applyFill="1" applyBorder="1" applyAlignment="1">
      <alignment horizontal="center" vertical="top"/>
    </xf>
    <xf numFmtId="2" fontId="32" fillId="3" borderId="20" xfId="0" applyNumberFormat="1" applyFont="1" applyFill="1" applyBorder="1" applyAlignment="1">
      <alignment horizontal="center" vertical="top"/>
    </xf>
    <xf numFmtId="2" fontId="32" fillId="3" borderId="21" xfId="0" applyNumberFormat="1" applyFont="1" applyFill="1" applyBorder="1" applyAlignment="1">
      <alignment horizontal="center" vertical="top"/>
    </xf>
    <xf numFmtId="2" fontId="34" fillId="3" borderId="2" xfId="0" applyNumberFormat="1" applyFont="1" applyFill="1" applyBorder="1" applyAlignment="1">
      <alignment horizontal="center"/>
    </xf>
    <xf numFmtId="2" fontId="34" fillId="3" borderId="20" xfId="0" applyNumberFormat="1" applyFont="1" applyFill="1" applyBorder="1" applyAlignment="1">
      <alignment horizontal="center"/>
    </xf>
    <xf numFmtId="2" fontId="34" fillId="3" borderId="21" xfId="0" applyNumberFormat="1" applyFont="1" applyFill="1" applyBorder="1" applyAlignment="1">
      <alignment horizontal="center"/>
    </xf>
    <xf numFmtId="2" fontId="33" fillId="3" borderId="2" xfId="0" applyNumberFormat="1" applyFont="1" applyFill="1" applyBorder="1" applyAlignment="1">
      <alignment horizontal="center"/>
    </xf>
    <xf numFmtId="2" fontId="33" fillId="3" borderId="20" xfId="0" applyNumberFormat="1" applyFont="1" applyFill="1" applyBorder="1" applyAlignment="1">
      <alignment horizontal="center"/>
    </xf>
    <xf numFmtId="2" fontId="33" fillId="3" borderId="21" xfId="0" applyNumberFormat="1" applyFont="1" applyFill="1" applyBorder="1" applyAlignment="1">
      <alignment horizontal="center"/>
    </xf>
  </cellXfs>
  <cellStyles count="1">
    <cellStyle name="عادي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C99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C99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2" formatCode="0.00"/>
      <fill>
        <patternFill patternType="solid">
          <fgColor indexed="64"/>
          <bgColor rgb="FFCC9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numFmt numFmtId="0" formatCode="General"/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0" formatCode="General"/>
      <fill>
        <patternFill patternType="solid">
          <fgColor indexed="64"/>
          <bgColor rgb="FFCC9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Microsoft Uighur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Microsoft Uighur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Microsoft Uighur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Microsoft Uighur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Microsoft Uighur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Microsoft Uighur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Microsoft Uighur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-Mohanad Bol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l-Mohanad Bold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Microsoft Uighur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l-Mohanad Bold"/>
        <family val="1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l-Mohanad Bold"/>
        <family val="1"/>
        <scheme val="none"/>
      </font>
      <fill>
        <patternFill patternType="solid">
          <fgColor indexed="64"/>
          <bgColor rgb="FF66FF9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Lemonada SemiBold"/>
        <scheme val="none"/>
      </font>
      <fill>
        <patternFill patternType="solid">
          <fgColor indexed="64"/>
          <bgColor rgb="FFCC99FF"/>
        </patternFill>
      </fill>
      <alignment horizontal="center" vertical="center" textRotation="9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CC"/>
      <color rgb="FF66CCFF"/>
      <color rgb="FF66FF33"/>
      <color rgb="FFCC99FF"/>
      <color rgb="FFCC66FF"/>
      <color rgb="FF66FF99"/>
      <color rgb="FF100872"/>
      <color rgb="FF3366CC"/>
      <color rgb="FFFFFF00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24</xdr:row>
      <xdr:rowOff>0</xdr:rowOff>
    </xdr:from>
    <xdr:to>
      <xdr:col>7</xdr:col>
      <xdr:colOff>609600</xdr:colOff>
      <xdr:row>25</xdr:row>
      <xdr:rowOff>160020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D4E85DBE-F700-442D-8C16-BCB3CBDF7C40}"/>
            </a:ext>
          </a:extLst>
        </xdr:cNvPr>
        <xdr:cNvSpPr txBox="1"/>
      </xdr:nvSpPr>
      <xdr:spPr>
        <a:xfrm>
          <a:off x="11230858920" y="8404860"/>
          <a:ext cx="148590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الامتحانات </a:t>
          </a:r>
        </a:p>
      </xdr:txBody>
    </xdr:sp>
    <xdr:clientData/>
  </xdr:twoCellAnchor>
  <xdr:twoCellAnchor>
    <xdr:from>
      <xdr:col>0</xdr:col>
      <xdr:colOff>15240</xdr:colOff>
      <xdr:row>0</xdr:row>
      <xdr:rowOff>7620</xdr:rowOff>
    </xdr:from>
    <xdr:to>
      <xdr:col>7</xdr:col>
      <xdr:colOff>640080</xdr:colOff>
      <xdr:row>4</xdr:row>
      <xdr:rowOff>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70BE4187-7C04-4466-A696-4EFC6E987CE6}"/>
            </a:ext>
          </a:extLst>
        </xdr:cNvPr>
        <xdr:cNvSpPr txBox="1"/>
      </xdr:nvSpPr>
      <xdr:spPr>
        <a:xfrm>
          <a:off x="11230706520" y="7620"/>
          <a:ext cx="6240780" cy="693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400" b="1">
              <a:solidFill>
                <a:schemeClr val="bg1"/>
              </a:solidFill>
            </a:rPr>
            <a:t>                                   </a:t>
          </a:r>
          <a:endParaRPr lang="ar-SA" sz="2400" b="1">
            <a:solidFill>
              <a:schemeClr val="bg1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1</xdr:col>
      <xdr:colOff>1264920</xdr:colOff>
      <xdr:row>25</xdr:row>
      <xdr:rowOff>167640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9A729F51-6D8A-4D2F-AF61-33F9B0D56907}"/>
            </a:ext>
          </a:extLst>
        </xdr:cNvPr>
        <xdr:cNvSpPr txBox="1"/>
      </xdr:nvSpPr>
      <xdr:spPr>
        <a:xfrm>
          <a:off x="11235148980" y="8404860"/>
          <a:ext cx="169926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الجامعة  </a:t>
          </a:r>
        </a:p>
      </xdr:txBody>
    </xdr:sp>
    <xdr:clientData/>
  </xdr:twoCellAnchor>
  <xdr:twoCellAnchor>
    <xdr:from>
      <xdr:col>2</xdr:col>
      <xdr:colOff>91440</xdr:colOff>
      <xdr:row>24</xdr:row>
      <xdr:rowOff>0</xdr:rowOff>
    </xdr:from>
    <xdr:to>
      <xdr:col>5</xdr:col>
      <xdr:colOff>182880</xdr:colOff>
      <xdr:row>26</xdr:row>
      <xdr:rowOff>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3BEE38AC-8CC2-4C5E-A573-6E70DBB0D5EB}"/>
            </a:ext>
          </a:extLst>
        </xdr:cNvPr>
        <xdr:cNvSpPr txBox="1"/>
      </xdr:nvSpPr>
      <xdr:spPr>
        <a:xfrm>
          <a:off x="11232474360" y="8404860"/>
          <a:ext cx="235458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الختم</a:t>
          </a:r>
          <a:r>
            <a:rPr lang="ar-SA" sz="1200" b="1" kern="1200" baseline="0"/>
            <a:t> الرسمي </a:t>
          </a:r>
          <a:endParaRPr lang="ar-SA" sz="1200" b="1" kern="1200"/>
        </a:p>
      </xdr:txBody>
    </xdr:sp>
    <xdr:clientData/>
  </xdr:twoCellAnchor>
  <xdr:twoCellAnchor>
    <xdr:from>
      <xdr:col>0</xdr:col>
      <xdr:colOff>365760</xdr:colOff>
      <xdr:row>1</xdr:row>
      <xdr:rowOff>91440</xdr:rowOff>
    </xdr:from>
    <xdr:to>
      <xdr:col>2</xdr:col>
      <xdr:colOff>441960</xdr:colOff>
      <xdr:row>3</xdr:row>
      <xdr:rowOff>76200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A2B646ED-8651-4628-ABF4-7ABEAD33B2E0}"/>
            </a:ext>
          </a:extLst>
        </xdr:cNvPr>
        <xdr:cNvSpPr/>
      </xdr:nvSpPr>
      <xdr:spPr>
        <a:xfrm>
          <a:off x="11234478420" y="266700"/>
          <a:ext cx="20040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SA" sz="1600" b="1">
              <a:solidFill>
                <a:schemeClr val="accent4">
                  <a:lumMod val="75000"/>
                </a:schemeClr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كلية</a:t>
          </a:r>
          <a:r>
            <a:rPr lang="ar-SA" sz="1600" b="1" baseline="0">
              <a:solidFill>
                <a:schemeClr val="accent4">
                  <a:lumMod val="75000"/>
                </a:schemeClr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 الاقتصاد</a:t>
          </a:r>
          <a:endParaRPr lang="ar-SA" sz="1600" b="1">
            <a:solidFill>
              <a:schemeClr val="accent4">
                <a:lumMod val="75000"/>
              </a:schemeClr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0FA04-8EA3-4128-AADD-468C3BD1812B}" name="الجدول1" displayName="الجدول1" ref="A1:AU14" totalsRowShown="0" headerRowDxfId="61" headerRowBorderDxfId="60" tableBorderDxfId="59" totalsRowBorderDxfId="58">
  <autoFilter ref="A1:AU14" xr:uid="{B186B23B-93DC-461A-B098-812C0987A1A2}"/>
  <sortState xmlns:xlrd2="http://schemas.microsoft.com/office/spreadsheetml/2017/richdata2" ref="A2:AU14">
    <sortCondition ref="AU1:AU14"/>
  </sortState>
  <tableColumns count="47">
    <tableColumn id="1" xr3:uid="{5695AD3B-B81F-4FBF-A7E1-6B6BB7AC1A6D}" name="رقم الجامعي " dataDxfId="57"/>
    <tableColumn id="2" xr3:uid="{F038CFB7-F2FA-43A3-B545-894872166B01}" name="أسماء الطلبة " dataDxfId="56"/>
    <tableColumn id="43" xr3:uid="{AFB09794-E093-46D0-9737-11705546D514}" name="الساعة " dataDxfId="55"/>
    <tableColumn id="51" xr3:uid="{DE204ECF-CD62-4210-B0D1-2AEAE402541F}" name="القران الكريم " dataDxfId="54"/>
    <tableColumn id="49" xr3:uid="{A7CC8F3F-A4E3-4F8D-B9B8-8A4AE696C04C}" name="الوزن ( م ت ق)" dataDxfId="53">
      <calculatedColumnFormula>VLOOKUP(الجدول1[[#This Row],[القران الكريم ]],المرجع!$B$2:$C$11,2)</calculatedColumnFormula>
    </tableColumn>
    <tableColumn id="48" xr3:uid="{0AEA3FF8-0F91-492E-8E55-FD69E5B14E0C}" name="الرمز ( م ت ق)" dataDxfId="52">
      <calculatedColumnFormula>VLOOKUP(الجدول1[[#This Row],[الوزن ( م ت ق)]],المرجع!$D$2:$E$11,2)</calculatedColumnFormula>
    </tableColumn>
    <tableColumn id="47" xr3:uid="{48BCD25C-5372-4934-8BE9-3E5F2CE68679}" name="النقاط ( م ت ق)" dataDxfId="51">
      <calculatedColumnFormula>الجدول1[[#This Row],[الوزن ( م ت ق)]]*الجدول1[[#This Row],[الساعة ]]</calculatedColumnFormula>
    </tableColumn>
    <tableColumn id="3" xr3:uid="{004F19B1-03AE-48BC-808F-4235836D8E3D}" name="الساعات( م ت ق)" dataDxfId="50"/>
    <tableColumn id="4" xr3:uid="{22751DDB-E55F-4098-B66B-B77C7C836E17}" name="مهارات تقنية 1" dataDxfId="49"/>
    <tableColumn id="5" xr3:uid="{9BE7FDA7-03B2-4A18-B3B0-050EF591E453}" name="الوزن ( م ت ق)2" dataDxfId="48">
      <calculatedColumnFormula>VLOOKUP(الجدول1[[#This Row],[مهارات تقنية 1]],المرجع!$B$2:$C$11,2)</calculatedColumnFormula>
    </tableColumn>
    <tableColumn id="6" xr3:uid="{9F8CA871-2F42-4A36-9E5E-6594079A6B48}" name="الرمز ( م ت ق)3" dataDxfId="47">
      <calculatedColumnFormula>VLOOKUP(الجدول1[[#This Row],[الوزن ( م ت ق)2]],المرجع!$D$2:$E$11,2)</calculatedColumnFormula>
    </tableColumn>
    <tableColumn id="7" xr3:uid="{73EA37D3-C07D-4714-82E8-3516C973BF01}" name="النقاط ( م ت ق)4" dataDxfId="46">
      <calculatedColumnFormula>الجدول1[[#This Row],[الوزن ( م ت ق)2]]*الجدول1[[#This Row],[الساعات( م ت ق)]]</calculatedColumnFormula>
    </tableColumn>
    <tableColumn id="8" xr3:uid="{B68691F7-81B5-4E30-977A-9C0A34F9EE92}" name="الساعات ( م ق ج) " dataDxfId="45"/>
    <tableColumn id="9" xr3:uid="{671830D7-E96B-4090-BBB3-7F8EA0E24F81}" name="مقدمة في الاقتصاد الجزئي " dataDxfId="44"/>
    <tableColumn id="10" xr3:uid="{A7EA4DAB-DA9D-4275-84AE-21E3827B5C64}" name="الوزن ( م ق ج)" dataDxfId="43">
      <calculatedColumnFormula>VLOOKUP(الجدول1[[#This Row],[مقدمة في الاقتصاد الجزئي ]],المرجع!$B$2:$C$11,2)</calculatedColumnFormula>
    </tableColumn>
    <tableColumn id="11" xr3:uid="{5B9FDE4A-C2FE-4257-8A44-72B453F21E89}" name="الرمز ( م ق ج)" dataDxfId="42">
      <calculatedColumnFormula>VLOOKUP(الجدول1[[#This Row],[الوزن ( م ق ج)]],المرجع!$D$2:$E$11,2)</calculatedColumnFormula>
    </tableColumn>
    <tableColumn id="12" xr3:uid="{1443D624-5671-4AF2-A876-1287BC568DEE}" name="النقاط ( م ق ج)" dataDxfId="41">
      <calculatedColumnFormula>الجدول1[[#This Row],[الوزن ( م ق ج)]]*الجدول1[[#This Row],[الساعات ( م ق ج) ]]</calculatedColumnFormula>
    </tableColumn>
    <tableColumn id="13" xr3:uid="{DF9105D0-0D37-4A41-AEC0-08A1792692D1}" name="الساعات ( م ف إ)" dataDxfId="40"/>
    <tableColumn id="14" xr3:uid="{8D53F277-3B7C-4E6F-9B31-DC2AE738B1CA}" name="المدخل إلى الفقه الإسلامي " dataDxfId="39"/>
    <tableColumn id="15" xr3:uid="{D2A95F39-1C4F-4BF8-A1AA-ECC31AA9C0E7}" name="الوزن ( م ف إ)" dataDxfId="38">
      <calculatedColumnFormula>VLOOKUP(الجدول1[[#This Row],[المدخل إلى الفقه الإسلامي ]],المرجع!$B$2:$C$11,2)</calculatedColumnFormula>
    </tableColumn>
    <tableColumn id="16" xr3:uid="{21535D17-4131-448E-99DE-A6F2F7DB6C3B}" name="الرمز ( م ف إ)" dataDxfId="37">
      <calculatedColumnFormula>VLOOKUP(الجدول1[[#This Row],[الوزن ( م ف إ)]],المرجع!$D$2:$E$11,2)</calculatedColumnFormula>
    </tableColumn>
    <tableColumn id="17" xr3:uid="{CC5B6DC3-B706-4322-8717-8E94A1F0EBD9}" name="النقاط ( م ف إ)" dataDxfId="36">
      <calculatedColumnFormula>الجدول1[[#This Row],[الوزن ( م ف إ)]]*الجدول1[[#This Row],[الساعات ( م ف إ)]]</calculatedColumnFormula>
    </tableColumn>
    <tableColumn id="18" xr3:uid="{69EC3C1C-3AB4-4F0F-AA0E-8B817089C58B}" name="الساعات ( م ع)" dataDxfId="35"/>
    <tableColumn id="19" xr3:uid="{44F382BF-8A8C-4C07-A30C-1AE59D03A94E}" name="أصول العقيدة الإسلامية " dataDxfId="34"/>
    <tableColumn id="20" xr3:uid="{674B1DAB-ACC6-4BC2-9B75-EC742B5BE4D8}" name="الوزن  ( م ع)" dataDxfId="33">
      <calculatedColumnFormula>VLOOKUP(X2,المرجع!$B$3:$C$11,2)</calculatedColumnFormula>
    </tableColumn>
    <tableColumn id="21" xr3:uid="{7500C0EF-9ADD-44EC-80EC-7CE51B2BA0C7}" name="الرمز  ( م ع)" dataDxfId="32">
      <calculatedColumnFormula>VLOOKUP(Y2,المرجع!$D$3:$E$11,2)</calculatedColumnFormula>
    </tableColumn>
    <tableColumn id="22" xr3:uid="{8A3C2772-6773-47F1-AC49-015264AA324F}" name="النقاط  ( م ع)" dataDxfId="31">
      <calculatedColumnFormula>Y2*W2</calculatedColumnFormula>
    </tableColumn>
    <tableColumn id="23" xr3:uid="{83243B50-FF7B-4C4E-9B43-FC3DF1D90410}" name="الساعات ( م ت) " dataDxfId="30"/>
    <tableColumn id="24" xr3:uid="{26A89BA1-3BF4-4601-8296-1D2CD49B9C4A}" name="التجويد 1" dataDxfId="29"/>
    <tableColumn id="25" xr3:uid="{8053E36F-6B57-44A7-BD03-268085F3BA34}" name="الوزن  ( م ت) " dataDxfId="28">
      <calculatedColumnFormula>VLOOKUP(AC2,المرجع!$B$3:$C$11,2)</calculatedColumnFormula>
    </tableColumn>
    <tableColumn id="26" xr3:uid="{7D331E76-1EBC-4905-9595-7E0C4B64980A}" name="الرمز  ( م ت) " dataDxfId="27">
      <calculatedColumnFormula>VLOOKUP(AD2,المرجع!$D$3:$E$11,2)</calculatedColumnFormula>
    </tableColumn>
    <tableColumn id="27" xr3:uid="{4E54E3C1-4933-466C-BD99-51AE13CD109D}" name="النقاط  ( م ت) " dataDxfId="26">
      <calculatedColumnFormula>AD2*AB2</calculatedColumnFormula>
    </tableColumn>
    <tableColumn id="28" xr3:uid="{F1CEA4FF-2A04-44F9-9D42-02C82C630B74}" name="الساعات ( د غ)" dataDxfId="25"/>
    <tableColumn id="29" xr3:uid="{3CEC1FB8-55CF-4D70-BBAD-5D93CB2FE089}" name="دراسات غامبيا " dataDxfId="24"/>
    <tableColumn id="30" xr3:uid="{CAFF638E-9369-463E-9913-DBDD3C3EBEE5}" name="الوزن ( د غ)" dataDxfId="23">
      <calculatedColumnFormula>VLOOKUP(AH2,المرجع!$B$3:$C$11,2)</calculatedColumnFormula>
    </tableColumn>
    <tableColumn id="31" xr3:uid="{AE9C72A9-AAB3-4A2F-B830-2BAD61C25925}" name="الرمز ( د غ)" dataDxfId="22">
      <calculatedColumnFormula>VLOOKUP(AI2,المرجع!$D$3:$E$11,2)</calculatedColumnFormula>
    </tableColumn>
    <tableColumn id="32" xr3:uid="{03CFE7F6-EF35-47F9-B054-972AD8B26A1B}" name="النقاط ( د غ)" dataDxfId="21">
      <calculatedColumnFormula>AI2*AG2</calculatedColumnFormula>
    </tableColumn>
    <tableColumn id="33" xr3:uid="{1CF0B9CA-6442-4610-BC60-10AB8EFB88C0}" name="الساعات (م ENG)" dataDxfId="20"/>
    <tableColumn id="34" xr3:uid="{CC3ED0FF-88C8-47B1-A597-633642E0FD82}" name="English(2)" dataDxfId="19"/>
    <tableColumn id="35" xr3:uid="{C7F9DEB9-E042-4D39-B57A-61858E278908}" name="الوزن  (م ENG)" dataDxfId="18">
      <calculatedColumnFormula>VLOOKUP(AM2,المرجع!$B$3:$C$11,2)</calculatedColumnFormula>
    </tableColumn>
    <tableColumn id="36" xr3:uid="{B977C97C-6216-414F-AB40-019ECC731781}" name="الرمز  (م ENG)" dataDxfId="17">
      <calculatedColumnFormula>VLOOKUP(AN2,المرجع!$D$3:$E$11,2)</calculatedColumnFormula>
    </tableColumn>
    <tableColumn id="37" xr3:uid="{6782CC10-E326-4783-A2D9-4355DB8B4B30}" name="النقاط  (م ENG)" dataDxfId="16">
      <calculatedColumnFormula>AN2*AL2</calculatedColumnFormula>
    </tableColumn>
    <tableColumn id="38" xr3:uid="{8606CFB9-887D-4D3A-A88B-4F2A86E60B83}" name="مجموع النقاط" dataDxfId="15">
      <calculatedColumnFormula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calculatedColumnFormula>
    </tableColumn>
    <tableColumn id="39" xr3:uid="{2DBD8377-EC76-4ABA-9630-E36FC1CA5B11}" name="مجموع الساعات" dataDxfId="14">
      <calculatedColumnFormula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calculatedColumnFormula>
    </tableColumn>
    <tableColumn id="40" xr3:uid="{4F56D877-78F7-481E-90C7-AF450CDD071C}" name="المعدل الفصلي " dataDxfId="13">
      <calculatedColumnFormula>الجدول1[[#This Row],[مجموع النقاط]]/الجدول1[[#This Row],[مجموع الساعات]]</calculatedColumnFormula>
    </tableColumn>
    <tableColumn id="41" xr3:uid="{A998F4DE-8633-4C44-B4BA-4E9B521383C0}" name="التقدير" dataDxfId="12">
      <calculatedColumnFormula>VLOOKUP(AS2,المرجع!$D$2:$F$11,3)</calculatedColumnFormula>
    </tableColumn>
    <tableColumn id="42" xr3:uid="{7C8F6A6E-0669-425C-9DB3-6D6C0671D362}" name="الترتيب" dataDxfId="11">
      <calculatedColumnFormula>RANK(AS2,$AS$2:$AS$14)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B23B-93DC-461A-B098-812C0987A1A2}">
  <dimension ref="A1:AU14"/>
  <sheetViews>
    <sheetView rightToLeft="1" showWhiteSpace="0" view="pageLayout" topLeftCell="U1" zoomScaleNormal="100" workbookViewId="0">
      <selection activeCell="J5" sqref="J5"/>
    </sheetView>
  </sheetViews>
  <sheetFormatPr defaultRowHeight="14.5"/>
  <cols>
    <col min="1" max="1" width="10.1796875" bestFit="1" customWidth="1"/>
    <col min="2" max="2" width="19.6328125" bestFit="1" customWidth="1"/>
    <col min="3" max="3" width="3.90625" customWidth="1"/>
    <col min="4" max="4" width="6" customWidth="1"/>
    <col min="5" max="6" width="7.26953125" bestFit="1" customWidth="1"/>
    <col min="7" max="7" width="7.36328125" bestFit="1" customWidth="1"/>
    <col min="8" max="8" width="7.1796875" customWidth="1"/>
    <col min="9" max="9" width="5.453125" customWidth="1"/>
    <col min="10" max="12" width="5.81640625" customWidth="1"/>
    <col min="13" max="13" width="7.1796875" customWidth="1"/>
    <col min="14" max="14" width="5.81640625" customWidth="1"/>
    <col min="15" max="15" width="6.26953125" bestFit="1" customWidth="1"/>
    <col min="16" max="17" width="5.81640625" customWidth="1"/>
    <col min="18" max="18" width="7.1796875" customWidth="1"/>
    <col min="19" max="22" width="5.81640625" customWidth="1"/>
    <col min="23" max="23" width="7.1796875" customWidth="1"/>
    <col min="24" max="27" width="5.81640625" customWidth="1"/>
    <col min="28" max="28" width="7.1796875" customWidth="1"/>
    <col min="29" max="32" width="5.81640625" customWidth="1"/>
    <col min="33" max="33" width="7.1796875" customWidth="1"/>
    <col min="34" max="37" width="5.81640625" customWidth="1"/>
    <col min="38" max="38" width="7.1796875" customWidth="1"/>
    <col min="39" max="42" width="5.81640625" customWidth="1"/>
    <col min="43" max="43" width="6.90625" bestFit="1" customWidth="1"/>
    <col min="44" max="44" width="7.1796875" customWidth="1"/>
    <col min="45" max="45" width="6.81640625" customWidth="1"/>
    <col min="46" max="46" width="8.6328125" customWidth="1"/>
    <col min="47" max="47" width="6.81640625" customWidth="1"/>
  </cols>
  <sheetData>
    <row r="1" spans="1:47" ht="133">
      <c r="A1" s="29" t="s">
        <v>0</v>
      </c>
      <c r="B1" s="30" t="s">
        <v>1</v>
      </c>
      <c r="C1" s="31" t="s">
        <v>103</v>
      </c>
      <c r="D1" s="32" t="s">
        <v>107</v>
      </c>
      <c r="E1" s="33" t="s">
        <v>59</v>
      </c>
      <c r="F1" s="34" t="s">
        <v>60</v>
      </c>
      <c r="G1" s="35" t="s">
        <v>61</v>
      </c>
      <c r="H1" s="31" t="s">
        <v>58</v>
      </c>
      <c r="I1" s="32" t="s">
        <v>31</v>
      </c>
      <c r="J1" s="33" t="s">
        <v>104</v>
      </c>
      <c r="K1" s="34" t="s">
        <v>105</v>
      </c>
      <c r="L1" s="35" t="s">
        <v>106</v>
      </c>
      <c r="M1" s="31" t="s">
        <v>62</v>
      </c>
      <c r="N1" s="29" t="s">
        <v>32</v>
      </c>
      <c r="O1" s="33" t="s">
        <v>63</v>
      </c>
      <c r="P1" s="34" t="s">
        <v>64</v>
      </c>
      <c r="Q1" s="35" t="s">
        <v>65</v>
      </c>
      <c r="R1" s="31" t="s">
        <v>66</v>
      </c>
      <c r="S1" s="36" t="s">
        <v>33</v>
      </c>
      <c r="T1" s="33" t="s">
        <v>67</v>
      </c>
      <c r="U1" s="34" t="s">
        <v>68</v>
      </c>
      <c r="V1" s="35" t="s">
        <v>69</v>
      </c>
      <c r="W1" s="31" t="s">
        <v>70</v>
      </c>
      <c r="X1" s="36" t="s">
        <v>34</v>
      </c>
      <c r="Y1" s="33" t="s">
        <v>71</v>
      </c>
      <c r="Z1" s="34" t="s">
        <v>72</v>
      </c>
      <c r="AA1" s="35" t="s">
        <v>73</v>
      </c>
      <c r="AB1" s="31" t="s">
        <v>74</v>
      </c>
      <c r="AC1" s="36" t="s">
        <v>35</v>
      </c>
      <c r="AD1" s="33" t="s">
        <v>75</v>
      </c>
      <c r="AE1" s="34" t="s">
        <v>76</v>
      </c>
      <c r="AF1" s="35" t="s">
        <v>77</v>
      </c>
      <c r="AG1" s="31" t="s">
        <v>78</v>
      </c>
      <c r="AH1" s="36" t="s">
        <v>36</v>
      </c>
      <c r="AI1" s="33" t="s">
        <v>79</v>
      </c>
      <c r="AJ1" s="34" t="s">
        <v>80</v>
      </c>
      <c r="AK1" s="35" t="s">
        <v>81</v>
      </c>
      <c r="AL1" s="31" t="s">
        <v>82</v>
      </c>
      <c r="AM1" s="36" t="s">
        <v>2</v>
      </c>
      <c r="AN1" s="33" t="s">
        <v>83</v>
      </c>
      <c r="AO1" s="34" t="s">
        <v>84</v>
      </c>
      <c r="AP1" s="37" t="s">
        <v>85</v>
      </c>
      <c r="AQ1" s="38" t="s">
        <v>5</v>
      </c>
      <c r="AR1" s="31" t="s">
        <v>6</v>
      </c>
      <c r="AS1" s="38" t="s">
        <v>7</v>
      </c>
      <c r="AT1" s="38" t="s">
        <v>8</v>
      </c>
      <c r="AU1" s="39" t="s">
        <v>9</v>
      </c>
    </row>
    <row r="2" spans="1:47" ht="29.5">
      <c r="A2" s="27">
        <v>2025324</v>
      </c>
      <c r="B2" s="17" t="s">
        <v>37</v>
      </c>
      <c r="C2" s="6">
        <v>2</v>
      </c>
      <c r="D2" s="4">
        <v>100</v>
      </c>
      <c r="E2" s="5">
        <f>VLOOKUP(الجدول1[[#This Row],[القران الكريم ]],المرجع!$B$2:$C$11,2)</f>
        <v>5</v>
      </c>
      <c r="F2" s="13" t="str">
        <f>VLOOKUP(الجدول1[[#This Row],[الوزن ( م ت ق)]],المرجع!$D$2:$E$11,2)</f>
        <v xml:space="preserve">أ+ </v>
      </c>
      <c r="G2" s="7">
        <f>الجدول1[[#This Row],[الوزن ( م ت ق)]]*الجدول1[[#This Row],[الساعة ]]</f>
        <v>10</v>
      </c>
      <c r="H2" s="6">
        <v>2</v>
      </c>
      <c r="I2" s="4">
        <v>93</v>
      </c>
      <c r="J2" s="5">
        <f>VLOOKUP(الجدول1[[#This Row],[مهارات تقنية 1]],المرجع!$B$2:$C$11,2)</f>
        <v>4.75</v>
      </c>
      <c r="K2" s="13" t="str">
        <f>VLOOKUP(الجدول1[[#This Row],[الوزن ( م ت ق)2]],المرجع!$D$2:$E$11,2)</f>
        <v>أ</v>
      </c>
      <c r="L2" s="7">
        <f>الجدول1[[#This Row],[الوزن ( م ت ق)2]]*الجدول1[[#This Row],[الساعات( م ت ق)]]</f>
        <v>9.5</v>
      </c>
      <c r="M2" s="6">
        <v>3</v>
      </c>
      <c r="N2" s="4">
        <v>90</v>
      </c>
      <c r="O2" s="5">
        <f>VLOOKUP(الجدول1[[#This Row],[مقدمة في الاقتصاد الجزئي ]],المرجع!$B$2:$C$11,2)</f>
        <v>4.75</v>
      </c>
      <c r="P2" s="13" t="str">
        <f>VLOOKUP(الجدول1[[#This Row],[الوزن ( م ق ج)]],المرجع!$D$2:$E$11,2)</f>
        <v>أ</v>
      </c>
      <c r="Q2" s="7">
        <f>الجدول1[[#This Row],[الوزن ( م ق ج)]]*الجدول1[[#This Row],[الساعات ( م ق ج) ]]</f>
        <v>14.25</v>
      </c>
      <c r="R2" s="6">
        <v>3</v>
      </c>
      <c r="S2" s="4">
        <v>65</v>
      </c>
      <c r="T2" s="51">
        <f>VLOOKUP(الجدول1[[#This Row],[المدخل إلى الفقه الإسلامي ]],المرجع!$B$2:$C$11,2)</f>
        <v>2.5</v>
      </c>
      <c r="U2" s="13" t="str">
        <f>VLOOKUP(الجدول1[[#This Row],[الوزن ( م ف إ)]],المرجع!$D$2:$E$11,2)</f>
        <v>د+</v>
      </c>
      <c r="V2" s="7">
        <f>الجدول1[[#This Row],[الوزن ( م ف إ)]]*الجدول1[[#This Row],[الساعات ( م ف إ)]]</f>
        <v>7.5</v>
      </c>
      <c r="W2" s="6">
        <v>2</v>
      </c>
      <c r="X2" s="4">
        <v>97</v>
      </c>
      <c r="Y2" s="5">
        <f>VLOOKUP(X2,المرجع!$B$3:$C$11,2)</f>
        <v>5</v>
      </c>
      <c r="Z2" s="13" t="str">
        <f>VLOOKUP(Y2,المرجع!$D$3:$E$11,2)</f>
        <v xml:space="preserve">أ+ </v>
      </c>
      <c r="AA2" s="7">
        <f t="shared" ref="AA2:AA14" si="0">Y2*W2</f>
        <v>10</v>
      </c>
      <c r="AB2" s="6">
        <v>2</v>
      </c>
      <c r="AC2" s="4">
        <v>97</v>
      </c>
      <c r="AD2" s="5">
        <f>VLOOKUP(AC2,المرجع!$B$3:$C$11,2)</f>
        <v>5</v>
      </c>
      <c r="AE2" s="13" t="str">
        <f>VLOOKUP(AD2,المرجع!$D$3:$E$11,2)</f>
        <v xml:space="preserve">أ+ </v>
      </c>
      <c r="AF2" s="7">
        <f t="shared" ref="AF2:AF14" si="1">AD2*AB2</f>
        <v>10</v>
      </c>
      <c r="AG2" s="6">
        <v>2</v>
      </c>
      <c r="AH2" s="4">
        <v>100</v>
      </c>
      <c r="AI2" s="5">
        <f>VLOOKUP(AH2,المرجع!$B$3:$C$11,2)</f>
        <v>5</v>
      </c>
      <c r="AJ2" s="13" t="str">
        <f>VLOOKUP(AI2,المرجع!$D$3:$E$11,2)</f>
        <v xml:space="preserve">أ+ </v>
      </c>
      <c r="AK2" s="7">
        <f t="shared" ref="AK2:AK14" si="2">AI2*AG2</f>
        <v>10</v>
      </c>
      <c r="AL2" s="6">
        <v>3</v>
      </c>
      <c r="AM2" s="4">
        <v>96</v>
      </c>
      <c r="AN2" s="5">
        <f>VLOOKUP(AM2,المرجع!$B$3:$C$11,2)</f>
        <v>5</v>
      </c>
      <c r="AO2" s="13" t="str">
        <f>VLOOKUP(AN2,المرجع!$D$3:$E$11,2)</f>
        <v xml:space="preserve">أ+ </v>
      </c>
      <c r="AP2" s="12">
        <f t="shared" ref="AP2:AP14" si="3">AN2*AL2</f>
        <v>15</v>
      </c>
      <c r="AQ2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86.25</v>
      </c>
      <c r="AR2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2" s="19">
        <f>الجدول1[[#This Row],[مجموع النقاط]]/الجدول1[[#This Row],[مجموع الساعات]]</f>
        <v>4.5394736842105265</v>
      </c>
      <c r="AT2" s="52" t="str">
        <f>VLOOKUP(AS2,المرجع!$D$2:$F$11,3)</f>
        <v>جيد جد مرتفع</v>
      </c>
      <c r="AU2" s="28">
        <f t="shared" ref="AU2:AU14" si="4">RANK(AS2,$AS$2:$AS$14)</f>
        <v>1</v>
      </c>
    </row>
    <row r="3" spans="1:47" ht="29.5">
      <c r="A3" s="27">
        <v>2025419</v>
      </c>
      <c r="B3" s="17" t="s">
        <v>39</v>
      </c>
      <c r="C3" s="6">
        <v>2</v>
      </c>
      <c r="D3" s="4">
        <v>100</v>
      </c>
      <c r="E3" s="5">
        <f>VLOOKUP(الجدول1[[#This Row],[القران الكريم ]],المرجع!$B$2:$C$11,2)</f>
        <v>5</v>
      </c>
      <c r="F3" s="14" t="str">
        <f>VLOOKUP(الجدول1[[#This Row],[الوزن ( م ت ق)]],المرجع!$D$2:$E$11,2)</f>
        <v xml:space="preserve">أ+ </v>
      </c>
      <c r="G3" s="7">
        <f>الجدول1[[#This Row],[الوزن ( م ت ق)]]*الجدول1[[#This Row],[الساعة ]]</f>
        <v>10</v>
      </c>
      <c r="H3" s="6">
        <v>2</v>
      </c>
      <c r="I3" s="4">
        <v>88</v>
      </c>
      <c r="J3" s="5">
        <f>VLOOKUP(الجدول1[[#This Row],[مهارات تقنية 1]],المرجع!$B$2:$C$11,2)</f>
        <v>4.5</v>
      </c>
      <c r="K3" s="14" t="str">
        <f>VLOOKUP(الجدول1[[#This Row],[الوزن ( م ت ق)2]],المرجع!$D$2:$E$11,2)</f>
        <v>ب+</v>
      </c>
      <c r="L3" s="7">
        <f>الجدول1[[#This Row],[الوزن ( م ت ق)2]]*الجدول1[[#This Row],[الساعات( م ت ق)]]</f>
        <v>9</v>
      </c>
      <c r="M3" s="6">
        <v>3</v>
      </c>
      <c r="N3" s="4">
        <v>73</v>
      </c>
      <c r="O3" s="5">
        <f>VLOOKUP(الجدول1[[#This Row],[مقدمة في الاقتصاد الجزئي ]],المرجع!$B$2:$C$11,2)</f>
        <v>3</v>
      </c>
      <c r="P3" s="13" t="str">
        <f>VLOOKUP(الجدول1[[#This Row],[الوزن ( م ق ج)]],المرجع!$D$2:$E$11,2)</f>
        <v>ج</v>
      </c>
      <c r="Q3" s="7">
        <f>الجدول1[[#This Row],[الوزن ( م ق ج)]]*الجدول1[[#This Row],[الساعات ( م ق ج) ]]</f>
        <v>9</v>
      </c>
      <c r="R3" s="6">
        <v>3</v>
      </c>
      <c r="S3" s="4">
        <v>50</v>
      </c>
      <c r="T3" s="51">
        <f>VLOOKUP(الجدول1[[#This Row],[المدخل إلى الفقه الإسلامي ]],المرجع!$B$2:$C$11,2)</f>
        <v>2</v>
      </c>
      <c r="U3" s="13" t="str">
        <f>VLOOKUP(الجدول1[[#This Row],[الوزن ( م ف إ)]],المرجع!$D$2:$E$11,2)</f>
        <v>د</v>
      </c>
      <c r="V3" s="7">
        <f>الجدول1[[#This Row],[الوزن ( م ف إ)]]*الجدول1[[#This Row],[الساعات ( م ف إ)]]</f>
        <v>6</v>
      </c>
      <c r="W3" s="6">
        <v>2</v>
      </c>
      <c r="X3" s="4">
        <v>99</v>
      </c>
      <c r="Y3" s="5">
        <f>VLOOKUP(X3,المرجع!$B$3:$C$11,2)</f>
        <v>5</v>
      </c>
      <c r="Z3" s="13" t="str">
        <f>VLOOKUP(Y3,المرجع!$D$3:$E$11,2)</f>
        <v xml:space="preserve">أ+ </v>
      </c>
      <c r="AA3" s="7">
        <f t="shared" si="0"/>
        <v>10</v>
      </c>
      <c r="AB3" s="6">
        <v>2</v>
      </c>
      <c r="AC3" s="4">
        <v>87</v>
      </c>
      <c r="AD3" s="5">
        <f>VLOOKUP(AC3,المرجع!$B$3:$C$11,2)</f>
        <v>4.5</v>
      </c>
      <c r="AE3" s="13" t="str">
        <f>VLOOKUP(AD3,المرجع!$D$3:$E$11,2)</f>
        <v>ب+</v>
      </c>
      <c r="AF3" s="7">
        <f t="shared" si="1"/>
        <v>9</v>
      </c>
      <c r="AG3" s="6">
        <v>2</v>
      </c>
      <c r="AH3" s="4">
        <v>95</v>
      </c>
      <c r="AI3" s="5">
        <f>VLOOKUP(AH3,المرجع!$B$3:$C$11,2)</f>
        <v>5</v>
      </c>
      <c r="AJ3" s="13" t="str">
        <f>VLOOKUP(AI3,المرجع!$D$3:$E$11,2)</f>
        <v xml:space="preserve">أ+ </v>
      </c>
      <c r="AK3" s="7">
        <f t="shared" si="2"/>
        <v>10</v>
      </c>
      <c r="AL3" s="6">
        <v>3</v>
      </c>
      <c r="AM3" s="4">
        <v>90</v>
      </c>
      <c r="AN3" s="5">
        <f>VLOOKUP(AM3,المرجع!$B$3:$C$11,2)</f>
        <v>4.75</v>
      </c>
      <c r="AO3" s="13" t="str">
        <f>VLOOKUP(AN3,المرجع!$D$3:$E$11,2)</f>
        <v>أ</v>
      </c>
      <c r="AP3" s="12">
        <f t="shared" si="3"/>
        <v>14.25</v>
      </c>
      <c r="AQ3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77.25</v>
      </c>
      <c r="AR3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3" s="19">
        <f>الجدول1[[#This Row],[مجموع النقاط]]/الجدول1[[#This Row],[مجموع الساعات]]</f>
        <v>4.0657894736842106</v>
      </c>
      <c r="AT3" s="52" t="str">
        <f>VLOOKUP(AS3,المرجع!$D$2:$F$11,3)</f>
        <v xml:space="preserve">جيد جدا </v>
      </c>
      <c r="AU3" s="28">
        <f t="shared" si="4"/>
        <v>2</v>
      </c>
    </row>
    <row r="4" spans="1:47" ht="29.5">
      <c r="A4" s="27">
        <v>2025354</v>
      </c>
      <c r="B4" s="17" t="s">
        <v>38</v>
      </c>
      <c r="C4" s="6">
        <v>2</v>
      </c>
      <c r="D4" s="4">
        <v>85</v>
      </c>
      <c r="E4" s="5">
        <f>VLOOKUP(الجدول1[[#This Row],[القران الكريم ]],المرجع!$B$2:$C$11,2)</f>
        <v>4.5</v>
      </c>
      <c r="F4" s="14" t="str">
        <f>VLOOKUP(الجدول1[[#This Row],[الوزن ( م ت ق)]],المرجع!$D$2:$E$11,2)</f>
        <v>ب+</v>
      </c>
      <c r="G4" s="7">
        <f>الجدول1[[#This Row],[الوزن ( م ت ق)]]*الجدول1[[#This Row],[الساعة ]]</f>
        <v>9</v>
      </c>
      <c r="H4" s="6">
        <v>2</v>
      </c>
      <c r="I4" s="4">
        <v>71</v>
      </c>
      <c r="J4" s="5">
        <f>VLOOKUP(الجدول1[[#This Row],[مهارات تقنية 1]],المرجع!$B$2:$C$11,2)</f>
        <v>3</v>
      </c>
      <c r="K4" s="14" t="str">
        <f>VLOOKUP(الجدول1[[#This Row],[الوزن ( م ت ق)2]],المرجع!$D$2:$E$11,2)</f>
        <v>ج</v>
      </c>
      <c r="L4" s="7">
        <f>الجدول1[[#This Row],[الوزن ( م ت ق)2]]*الجدول1[[#This Row],[الساعات( م ت ق)]]</f>
        <v>6</v>
      </c>
      <c r="M4" s="6">
        <v>3</v>
      </c>
      <c r="N4" s="4">
        <v>82</v>
      </c>
      <c r="O4" s="5">
        <f>VLOOKUP(الجدول1[[#This Row],[مقدمة في الاقتصاد الجزئي ]],المرجع!$B$2:$C$11,2)</f>
        <v>4</v>
      </c>
      <c r="P4" s="13" t="str">
        <f>VLOOKUP(الجدول1[[#This Row],[الوزن ( م ق ج)]],المرجع!$D$2:$E$11,2)</f>
        <v>ب</v>
      </c>
      <c r="Q4" s="7">
        <f>الجدول1[[#This Row],[الوزن ( م ق ج)]]*الجدول1[[#This Row],[الساعات ( م ق ج) ]]</f>
        <v>12</v>
      </c>
      <c r="R4" s="6">
        <v>3</v>
      </c>
      <c r="S4" s="4">
        <v>57</v>
      </c>
      <c r="T4" s="51">
        <f>VLOOKUP(الجدول1[[#This Row],[المدخل إلى الفقه الإسلامي ]],المرجع!$B$2:$C$11,2)</f>
        <v>2</v>
      </c>
      <c r="U4" s="13" t="str">
        <f>VLOOKUP(الجدول1[[#This Row],[الوزن ( م ف إ)]],المرجع!$D$2:$E$11,2)</f>
        <v>د</v>
      </c>
      <c r="V4" s="7">
        <f>الجدول1[[#This Row],[الوزن ( م ف إ)]]*الجدول1[[#This Row],[الساعات ( م ف إ)]]</f>
        <v>6</v>
      </c>
      <c r="W4" s="6">
        <v>2</v>
      </c>
      <c r="X4" s="4">
        <v>89</v>
      </c>
      <c r="Y4" s="5">
        <f>VLOOKUP(X4,المرجع!$B$3:$C$11,2)</f>
        <v>4.5</v>
      </c>
      <c r="Z4" s="13" t="str">
        <f>VLOOKUP(Y4,المرجع!$D$3:$E$11,2)</f>
        <v>ب+</v>
      </c>
      <c r="AA4" s="7">
        <f t="shared" si="0"/>
        <v>9</v>
      </c>
      <c r="AB4" s="6">
        <v>2</v>
      </c>
      <c r="AC4" s="4">
        <v>89</v>
      </c>
      <c r="AD4" s="5">
        <f>VLOOKUP(AC4,المرجع!$B$3:$C$11,2)</f>
        <v>4.5</v>
      </c>
      <c r="AE4" s="13" t="str">
        <f>VLOOKUP(AD4,المرجع!$D$3:$E$11,2)</f>
        <v>ب+</v>
      </c>
      <c r="AF4" s="7">
        <f t="shared" si="1"/>
        <v>9</v>
      </c>
      <c r="AG4" s="6">
        <v>2</v>
      </c>
      <c r="AH4" s="4">
        <v>99</v>
      </c>
      <c r="AI4" s="5">
        <f>VLOOKUP(AH4,المرجع!$B$3:$C$11,2)</f>
        <v>5</v>
      </c>
      <c r="AJ4" s="13" t="str">
        <f>VLOOKUP(AI4,المرجع!$D$3:$E$11,2)</f>
        <v xml:space="preserve">أ+ </v>
      </c>
      <c r="AK4" s="7">
        <f t="shared" si="2"/>
        <v>10</v>
      </c>
      <c r="AL4" s="6">
        <v>3</v>
      </c>
      <c r="AM4" s="4">
        <v>96</v>
      </c>
      <c r="AN4" s="5">
        <f>VLOOKUP(AM4,المرجع!$B$3:$C$11,2)</f>
        <v>5</v>
      </c>
      <c r="AO4" s="13" t="str">
        <f>VLOOKUP(AN4,المرجع!$D$3:$E$11,2)</f>
        <v xml:space="preserve">أ+ </v>
      </c>
      <c r="AP4" s="12">
        <f t="shared" si="3"/>
        <v>15</v>
      </c>
      <c r="AQ4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76</v>
      </c>
      <c r="AR4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4" s="19">
        <f>الجدول1[[#This Row],[مجموع النقاط]]/الجدول1[[#This Row],[مجموع الساعات]]</f>
        <v>4</v>
      </c>
      <c r="AT4" s="52" t="str">
        <f>VLOOKUP(AS4,المرجع!$D$2:$F$11,3)</f>
        <v xml:space="preserve">جيد جدا </v>
      </c>
      <c r="AU4" s="28">
        <f t="shared" si="4"/>
        <v>3</v>
      </c>
    </row>
    <row r="5" spans="1:47" ht="29.5">
      <c r="A5" s="27">
        <v>2025389</v>
      </c>
      <c r="B5" s="17" t="s">
        <v>40</v>
      </c>
      <c r="C5" s="6">
        <v>2</v>
      </c>
      <c r="D5" s="4">
        <v>80</v>
      </c>
      <c r="E5" s="5">
        <f>VLOOKUP(الجدول1[[#This Row],[القران الكريم ]],المرجع!$B$2:$C$11,2)</f>
        <v>4</v>
      </c>
      <c r="F5" s="14" t="str">
        <f>VLOOKUP(الجدول1[[#This Row],[الوزن ( م ت ق)]],المرجع!$D$2:$E$11,2)</f>
        <v>ب</v>
      </c>
      <c r="G5" s="7">
        <f>الجدول1[[#This Row],[الوزن ( م ت ق)]]*الجدول1[[#This Row],[الساعة ]]</f>
        <v>8</v>
      </c>
      <c r="H5" s="6">
        <v>2</v>
      </c>
      <c r="I5" s="4">
        <v>70</v>
      </c>
      <c r="J5" s="5">
        <f>VLOOKUP(الجدول1[[#This Row],[مهارات تقنية 1]],المرجع!$B$2:$C$11,2)</f>
        <v>3</v>
      </c>
      <c r="K5" s="14" t="str">
        <f>VLOOKUP(الجدول1[[#This Row],[الوزن ( م ت ق)2]],المرجع!$D$2:$E$11,2)</f>
        <v>ج</v>
      </c>
      <c r="L5" s="7">
        <f>الجدول1[[#This Row],[الوزن ( م ت ق)2]]*الجدول1[[#This Row],[الساعات( م ت ق)]]</f>
        <v>6</v>
      </c>
      <c r="M5" s="6">
        <v>3</v>
      </c>
      <c r="N5" s="4">
        <v>85</v>
      </c>
      <c r="O5" s="5">
        <f>VLOOKUP(الجدول1[[#This Row],[مقدمة في الاقتصاد الجزئي ]],المرجع!$B$2:$C$11,2)</f>
        <v>4.5</v>
      </c>
      <c r="P5" s="13" t="str">
        <f>VLOOKUP(الجدول1[[#This Row],[الوزن ( م ق ج)]],المرجع!$D$2:$E$11,2)</f>
        <v>ب+</v>
      </c>
      <c r="Q5" s="7">
        <f>الجدول1[[#This Row],[الوزن ( م ق ج)]]*الجدول1[[#This Row],[الساعات ( م ق ج) ]]</f>
        <v>13.5</v>
      </c>
      <c r="R5" s="6">
        <v>3</v>
      </c>
      <c r="S5" s="4">
        <v>52.5</v>
      </c>
      <c r="T5" s="51">
        <f>VLOOKUP(الجدول1[[#This Row],[المدخل إلى الفقه الإسلامي ]],المرجع!$B$2:$C$11,2)</f>
        <v>2</v>
      </c>
      <c r="U5" s="13" t="str">
        <f>VLOOKUP(الجدول1[[#This Row],[الوزن ( م ف إ)]],المرجع!$D$2:$E$11,2)</f>
        <v>د</v>
      </c>
      <c r="V5" s="7">
        <f>الجدول1[[#This Row],[الوزن ( م ف إ)]]*الجدول1[[#This Row],[الساعات ( م ف إ)]]</f>
        <v>6</v>
      </c>
      <c r="W5" s="6">
        <v>2</v>
      </c>
      <c r="X5" s="4">
        <v>98</v>
      </c>
      <c r="Y5" s="5">
        <f>VLOOKUP(X5,المرجع!$B$3:$C$11,2)</f>
        <v>5</v>
      </c>
      <c r="Z5" s="13" t="str">
        <f>VLOOKUP(Y5,المرجع!$D$3:$E$11,2)</f>
        <v xml:space="preserve">أ+ </v>
      </c>
      <c r="AA5" s="7">
        <f t="shared" si="0"/>
        <v>10</v>
      </c>
      <c r="AB5" s="6">
        <v>2</v>
      </c>
      <c r="AC5" s="4">
        <v>78</v>
      </c>
      <c r="AD5" s="5">
        <f>VLOOKUP(AC5,المرجع!$B$3:$C$11,2)</f>
        <v>3.5</v>
      </c>
      <c r="AE5" s="13" t="str">
        <f>VLOOKUP(AD5,المرجع!$D$3:$E$11,2)</f>
        <v>ج+</v>
      </c>
      <c r="AF5" s="7">
        <f t="shared" si="1"/>
        <v>7</v>
      </c>
      <c r="AG5" s="6">
        <v>2</v>
      </c>
      <c r="AH5" s="4">
        <v>97</v>
      </c>
      <c r="AI5" s="5">
        <f>VLOOKUP(AH5,المرجع!$B$3:$C$11,2)</f>
        <v>5</v>
      </c>
      <c r="AJ5" s="13" t="str">
        <f>VLOOKUP(AI5,المرجع!$D$3:$E$11,2)</f>
        <v xml:space="preserve">أ+ </v>
      </c>
      <c r="AK5" s="7">
        <f t="shared" si="2"/>
        <v>10</v>
      </c>
      <c r="AL5" s="6">
        <v>3</v>
      </c>
      <c r="AM5" s="4">
        <v>91</v>
      </c>
      <c r="AN5" s="5">
        <f>VLOOKUP(AM5,المرجع!$B$3:$C$11,2)</f>
        <v>4.75</v>
      </c>
      <c r="AO5" s="13" t="str">
        <f>VLOOKUP(AN5,المرجع!$D$3:$E$11,2)</f>
        <v>أ</v>
      </c>
      <c r="AP5" s="12">
        <f t="shared" si="3"/>
        <v>14.25</v>
      </c>
      <c r="AQ5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74.75</v>
      </c>
      <c r="AR5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5" s="19">
        <f>الجدول1[[#This Row],[مجموع النقاط]]/الجدول1[[#This Row],[مجموع الساعات]]</f>
        <v>3.9342105263157894</v>
      </c>
      <c r="AT5" s="52" t="str">
        <f>VLOOKUP(AS5,المرجع!$D$2:$F$11,3)</f>
        <v xml:space="preserve">جيد جدا </v>
      </c>
      <c r="AU5" s="28">
        <f t="shared" si="4"/>
        <v>4</v>
      </c>
    </row>
    <row r="6" spans="1:47" ht="29.5">
      <c r="A6" s="27">
        <v>2025365</v>
      </c>
      <c r="B6" s="17" t="s">
        <v>41</v>
      </c>
      <c r="C6" s="6">
        <v>2</v>
      </c>
      <c r="D6" s="4">
        <v>99</v>
      </c>
      <c r="E6" s="5">
        <f>VLOOKUP(الجدول1[[#This Row],[القران الكريم ]],المرجع!$B$2:$C$11,2)</f>
        <v>5</v>
      </c>
      <c r="F6" s="14" t="str">
        <f>VLOOKUP(الجدول1[[#This Row],[الوزن ( م ت ق)]],المرجع!$D$2:$E$11,2)</f>
        <v xml:space="preserve">أ+ </v>
      </c>
      <c r="G6" s="7">
        <f>الجدول1[[#This Row],[الوزن ( م ت ق)]]*الجدول1[[#This Row],[الساعة ]]</f>
        <v>10</v>
      </c>
      <c r="H6" s="6">
        <v>2</v>
      </c>
      <c r="I6" s="4">
        <v>72</v>
      </c>
      <c r="J6" s="5">
        <f>VLOOKUP(الجدول1[[#This Row],[مهارات تقنية 1]],المرجع!$B$2:$C$11,2)</f>
        <v>3</v>
      </c>
      <c r="K6" s="14" t="str">
        <f>VLOOKUP(الجدول1[[#This Row],[الوزن ( م ت ق)2]],المرجع!$D$2:$E$11,2)</f>
        <v>ج</v>
      </c>
      <c r="L6" s="7">
        <f>الجدول1[[#This Row],[الوزن ( م ت ق)2]]*الجدول1[[#This Row],[الساعات( م ت ق)]]</f>
        <v>6</v>
      </c>
      <c r="M6" s="6">
        <v>3</v>
      </c>
      <c r="N6" s="4">
        <v>83</v>
      </c>
      <c r="O6" s="5">
        <f>VLOOKUP(الجدول1[[#This Row],[مقدمة في الاقتصاد الجزئي ]],المرجع!$B$2:$C$11,2)</f>
        <v>4</v>
      </c>
      <c r="P6" s="13" t="str">
        <f>VLOOKUP(الجدول1[[#This Row],[الوزن ( م ق ج)]],المرجع!$D$2:$E$11,2)</f>
        <v>ب</v>
      </c>
      <c r="Q6" s="7">
        <f>الجدول1[[#This Row],[الوزن ( م ق ج)]]*الجدول1[[#This Row],[الساعات ( م ق ج) ]]</f>
        <v>12</v>
      </c>
      <c r="R6" s="6">
        <v>3</v>
      </c>
      <c r="S6" s="4">
        <v>56</v>
      </c>
      <c r="T6" s="51">
        <f>VLOOKUP(الجدول1[[#This Row],[المدخل إلى الفقه الإسلامي ]],المرجع!$B$2:$C$11,2)</f>
        <v>2</v>
      </c>
      <c r="U6" s="13" t="str">
        <f>VLOOKUP(الجدول1[[#This Row],[الوزن ( م ف إ)]],المرجع!$D$2:$E$11,2)</f>
        <v>د</v>
      </c>
      <c r="V6" s="7">
        <f>الجدول1[[#This Row],[الوزن ( م ف إ)]]*الجدول1[[#This Row],[الساعات ( م ف إ)]]</f>
        <v>6</v>
      </c>
      <c r="W6" s="6">
        <v>2</v>
      </c>
      <c r="X6" s="4">
        <v>99</v>
      </c>
      <c r="Y6" s="5">
        <f>VLOOKUP(X6,المرجع!$B$3:$C$11,2)</f>
        <v>5</v>
      </c>
      <c r="Z6" s="13" t="str">
        <f>VLOOKUP(Y6,المرجع!$D$3:$E$11,2)</f>
        <v xml:space="preserve">أ+ </v>
      </c>
      <c r="AA6" s="7">
        <f t="shared" si="0"/>
        <v>10</v>
      </c>
      <c r="AB6" s="6">
        <v>2</v>
      </c>
      <c r="AC6" s="4">
        <v>69</v>
      </c>
      <c r="AD6" s="5">
        <f>VLOOKUP(AC6,المرجع!$B$3:$C$11,2)</f>
        <v>2.5</v>
      </c>
      <c r="AE6" s="13" t="str">
        <f>VLOOKUP(AD6,المرجع!$D$3:$E$11,2)</f>
        <v>د+</v>
      </c>
      <c r="AF6" s="7">
        <f t="shared" si="1"/>
        <v>5</v>
      </c>
      <c r="AG6" s="6">
        <v>2</v>
      </c>
      <c r="AH6" s="4">
        <v>100</v>
      </c>
      <c r="AI6" s="5">
        <f>VLOOKUP(AH6,المرجع!$B$3:$C$11,2)</f>
        <v>5</v>
      </c>
      <c r="AJ6" s="13" t="str">
        <f>VLOOKUP(AI6,المرجع!$D$3:$E$11,2)</f>
        <v xml:space="preserve">أ+ </v>
      </c>
      <c r="AK6" s="7">
        <f t="shared" si="2"/>
        <v>10</v>
      </c>
      <c r="AL6" s="6">
        <v>3</v>
      </c>
      <c r="AM6" s="4">
        <v>90</v>
      </c>
      <c r="AN6" s="5">
        <f>VLOOKUP(AM6,المرجع!$B$3:$C$11,2)</f>
        <v>4.75</v>
      </c>
      <c r="AO6" s="13" t="str">
        <f>VLOOKUP(AN6,المرجع!$D$3:$E$11,2)</f>
        <v>أ</v>
      </c>
      <c r="AP6" s="12">
        <f t="shared" si="3"/>
        <v>14.25</v>
      </c>
      <c r="AQ6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73.25</v>
      </c>
      <c r="AR6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6" s="19">
        <f>الجدول1[[#This Row],[مجموع النقاط]]/الجدول1[[#This Row],[مجموع الساعات]]</f>
        <v>3.8552631578947367</v>
      </c>
      <c r="AT6" s="52" t="str">
        <f>VLOOKUP(AS6,المرجع!$D$2:$F$11,3)</f>
        <v xml:space="preserve">جيد جدا </v>
      </c>
      <c r="AU6" s="28">
        <f t="shared" si="4"/>
        <v>5</v>
      </c>
    </row>
    <row r="7" spans="1:47" ht="29.5">
      <c r="A7" s="27">
        <v>2025329</v>
      </c>
      <c r="B7" s="17" t="s">
        <v>43</v>
      </c>
      <c r="C7" s="6">
        <v>2</v>
      </c>
      <c r="D7" s="4">
        <v>98</v>
      </c>
      <c r="E7" s="5">
        <f>VLOOKUP(الجدول1[[#This Row],[القران الكريم ]],المرجع!$B$2:$C$11,2)</f>
        <v>5</v>
      </c>
      <c r="F7" s="14" t="str">
        <f>VLOOKUP(الجدول1[[#This Row],[الوزن ( م ت ق)]],المرجع!$D$2:$E$11,2)</f>
        <v xml:space="preserve">أ+ </v>
      </c>
      <c r="G7" s="7">
        <f>الجدول1[[#This Row],[الوزن ( م ت ق)]]*الجدول1[[#This Row],[الساعة ]]</f>
        <v>10</v>
      </c>
      <c r="H7" s="6">
        <v>2</v>
      </c>
      <c r="I7" s="4">
        <v>73</v>
      </c>
      <c r="J7" s="5">
        <f>VLOOKUP(الجدول1[[#This Row],[مهارات تقنية 1]],المرجع!$B$2:$C$11,2)</f>
        <v>3</v>
      </c>
      <c r="K7" s="14" t="str">
        <f>VLOOKUP(الجدول1[[#This Row],[الوزن ( م ت ق)2]],المرجع!$D$2:$E$11,2)</f>
        <v>ج</v>
      </c>
      <c r="L7" s="7">
        <f>الجدول1[[#This Row],[الوزن ( م ت ق)2]]*الجدول1[[#This Row],[الساعات( م ت ق)]]</f>
        <v>6</v>
      </c>
      <c r="M7" s="6">
        <v>3</v>
      </c>
      <c r="N7" s="4">
        <v>71</v>
      </c>
      <c r="O7" s="5">
        <f>VLOOKUP(الجدول1[[#This Row],[مقدمة في الاقتصاد الجزئي ]],المرجع!$B$2:$C$11,2)</f>
        <v>3</v>
      </c>
      <c r="P7" s="13" t="str">
        <f>VLOOKUP(الجدول1[[#This Row],[الوزن ( م ق ج)]],المرجع!$D$2:$E$11,2)</f>
        <v>ج</v>
      </c>
      <c r="Q7" s="7">
        <f>الجدول1[[#This Row],[الوزن ( م ق ج)]]*الجدول1[[#This Row],[الساعات ( م ق ج) ]]</f>
        <v>9</v>
      </c>
      <c r="R7" s="6">
        <v>3</v>
      </c>
      <c r="S7" s="4">
        <v>50</v>
      </c>
      <c r="T7" s="51">
        <f>VLOOKUP(الجدول1[[#This Row],[المدخل إلى الفقه الإسلامي ]],المرجع!$B$2:$C$11,2)</f>
        <v>2</v>
      </c>
      <c r="U7" s="13" t="str">
        <f>VLOOKUP(الجدول1[[#This Row],[الوزن ( م ف إ)]],المرجع!$D$2:$E$11,2)</f>
        <v>د</v>
      </c>
      <c r="V7" s="7">
        <f>الجدول1[[#This Row],[الوزن ( م ف إ)]]*الجدول1[[#This Row],[الساعات ( م ف إ)]]</f>
        <v>6</v>
      </c>
      <c r="W7" s="6">
        <v>2</v>
      </c>
      <c r="X7" s="4">
        <v>78</v>
      </c>
      <c r="Y7" s="5">
        <f>VLOOKUP(X7,المرجع!$B$3:$C$11,2)</f>
        <v>3.5</v>
      </c>
      <c r="Z7" s="13" t="str">
        <f>VLOOKUP(Y7,المرجع!$D$3:$E$11,2)</f>
        <v>ج+</v>
      </c>
      <c r="AA7" s="7">
        <f t="shared" si="0"/>
        <v>7</v>
      </c>
      <c r="AB7" s="6">
        <v>2</v>
      </c>
      <c r="AC7" s="4">
        <v>85</v>
      </c>
      <c r="AD7" s="5">
        <f>VLOOKUP(AC7,المرجع!$B$3:$C$11,2)</f>
        <v>4.5</v>
      </c>
      <c r="AE7" s="13" t="str">
        <f>VLOOKUP(AD7,المرجع!$D$3:$E$11,2)</f>
        <v>ب+</v>
      </c>
      <c r="AF7" s="7">
        <f t="shared" si="1"/>
        <v>9</v>
      </c>
      <c r="AG7" s="6">
        <v>2</v>
      </c>
      <c r="AH7" s="4">
        <v>98</v>
      </c>
      <c r="AI7" s="5">
        <f>VLOOKUP(AH7,المرجع!$B$3:$C$11,2)</f>
        <v>5</v>
      </c>
      <c r="AJ7" s="13" t="str">
        <f>VLOOKUP(AI7,المرجع!$D$3:$E$11,2)</f>
        <v xml:space="preserve">أ+ </v>
      </c>
      <c r="AK7" s="7">
        <f t="shared" si="2"/>
        <v>10</v>
      </c>
      <c r="AL7" s="6">
        <v>3</v>
      </c>
      <c r="AM7" s="4">
        <v>91</v>
      </c>
      <c r="AN7" s="5">
        <f>VLOOKUP(AM7,المرجع!$B$3:$C$11,2)</f>
        <v>4.75</v>
      </c>
      <c r="AO7" s="13" t="str">
        <f>VLOOKUP(AN7,المرجع!$D$3:$E$11,2)</f>
        <v>أ</v>
      </c>
      <c r="AP7" s="12">
        <f t="shared" si="3"/>
        <v>14.25</v>
      </c>
      <c r="AQ7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71.25</v>
      </c>
      <c r="AR7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7" s="19">
        <f>الجدول1[[#This Row],[مجموع النقاط]]/الجدول1[[#This Row],[مجموع الساعات]]</f>
        <v>3.75</v>
      </c>
      <c r="AT7" s="52" t="str">
        <f>VLOOKUP(AS7,المرجع!$D$2:$F$11,3)</f>
        <v xml:space="preserve">جيد جدا </v>
      </c>
      <c r="AU7" s="28">
        <f t="shared" si="4"/>
        <v>6</v>
      </c>
    </row>
    <row r="8" spans="1:47" ht="29.5">
      <c r="A8" s="27">
        <v>2025343</v>
      </c>
      <c r="B8" s="17" t="s">
        <v>42</v>
      </c>
      <c r="C8" s="6">
        <v>2</v>
      </c>
      <c r="D8" s="4">
        <v>100</v>
      </c>
      <c r="E8" s="5">
        <f>VLOOKUP(الجدول1[[#This Row],[القران الكريم ]],المرجع!$B$2:$C$11,2)</f>
        <v>5</v>
      </c>
      <c r="F8" s="14" t="str">
        <f>VLOOKUP(الجدول1[[#This Row],[الوزن ( م ت ق)]],المرجع!$D$2:$E$11,2)</f>
        <v xml:space="preserve">أ+ </v>
      </c>
      <c r="G8" s="7">
        <f>الجدول1[[#This Row],[الوزن ( م ت ق)]]*الجدول1[[#This Row],[الساعة ]]</f>
        <v>10</v>
      </c>
      <c r="H8" s="6">
        <v>2</v>
      </c>
      <c r="I8" s="4">
        <v>74</v>
      </c>
      <c r="J8" s="5">
        <f>VLOOKUP(الجدول1[[#This Row],[مهارات تقنية 1]],المرجع!$B$2:$C$11,2)</f>
        <v>3</v>
      </c>
      <c r="K8" s="14" t="str">
        <f>VLOOKUP(الجدول1[[#This Row],[الوزن ( م ت ق)2]],المرجع!$D$2:$E$11,2)</f>
        <v>ج</v>
      </c>
      <c r="L8" s="7">
        <f>الجدول1[[#This Row],[الوزن ( م ت ق)2]]*الجدول1[[#This Row],[الساعات( م ت ق)]]</f>
        <v>6</v>
      </c>
      <c r="M8" s="6">
        <v>3</v>
      </c>
      <c r="N8" s="4">
        <v>74</v>
      </c>
      <c r="O8" s="5">
        <f>VLOOKUP(الجدول1[[#This Row],[مقدمة في الاقتصاد الجزئي ]],المرجع!$B$2:$C$11,2)</f>
        <v>3</v>
      </c>
      <c r="P8" s="13" t="str">
        <f>VLOOKUP(الجدول1[[#This Row],[الوزن ( م ق ج)]],المرجع!$D$2:$E$11,2)</f>
        <v>ج</v>
      </c>
      <c r="Q8" s="7">
        <f>الجدول1[[#This Row],[الوزن ( م ق ج)]]*الجدول1[[#This Row],[الساعات ( م ق ج) ]]</f>
        <v>9</v>
      </c>
      <c r="R8" s="6">
        <v>3</v>
      </c>
      <c r="S8" s="4">
        <v>55</v>
      </c>
      <c r="T8" s="51">
        <f>VLOOKUP(الجدول1[[#This Row],[المدخل إلى الفقه الإسلامي ]],المرجع!$B$2:$C$11,2)</f>
        <v>2</v>
      </c>
      <c r="U8" s="13" t="str">
        <f>VLOOKUP(الجدول1[[#This Row],[الوزن ( م ف إ)]],المرجع!$D$2:$E$11,2)</f>
        <v>د</v>
      </c>
      <c r="V8" s="7">
        <f>الجدول1[[#This Row],[الوزن ( م ف إ)]]*الجدول1[[#This Row],[الساعات ( م ف إ)]]</f>
        <v>6</v>
      </c>
      <c r="W8" s="6">
        <v>2</v>
      </c>
      <c r="X8" s="4">
        <v>85</v>
      </c>
      <c r="Y8" s="5">
        <f>VLOOKUP(X8,المرجع!$B$3:$C$11,2)</f>
        <v>4.5</v>
      </c>
      <c r="Z8" s="13" t="str">
        <f>VLOOKUP(Y8,المرجع!$D$3:$E$11,2)</f>
        <v>ب+</v>
      </c>
      <c r="AA8" s="7">
        <f t="shared" si="0"/>
        <v>9</v>
      </c>
      <c r="AB8" s="6">
        <v>2</v>
      </c>
      <c r="AC8" s="4">
        <v>91</v>
      </c>
      <c r="AD8" s="5">
        <f>VLOOKUP(AC8,المرجع!$B$3:$C$11,2)</f>
        <v>4.75</v>
      </c>
      <c r="AE8" s="13" t="str">
        <f>VLOOKUP(AD8,المرجع!$D$3:$E$11,2)</f>
        <v>أ</v>
      </c>
      <c r="AF8" s="7">
        <f t="shared" si="1"/>
        <v>9.5</v>
      </c>
      <c r="AG8" s="6">
        <v>2</v>
      </c>
      <c r="AH8" s="4">
        <v>99</v>
      </c>
      <c r="AI8" s="5">
        <f>VLOOKUP(AH8,المرجع!$B$3:$C$11,2)</f>
        <v>5</v>
      </c>
      <c r="AJ8" s="13" t="str">
        <f>VLOOKUP(AI8,المرجع!$D$3:$E$11,2)</f>
        <v xml:space="preserve">أ+ </v>
      </c>
      <c r="AK8" s="7">
        <f t="shared" si="2"/>
        <v>10</v>
      </c>
      <c r="AL8" s="6">
        <v>3</v>
      </c>
      <c r="AM8" s="4">
        <v>73</v>
      </c>
      <c r="AN8" s="5">
        <f>VLOOKUP(AM8,المرجع!$B$3:$C$11,2)</f>
        <v>3</v>
      </c>
      <c r="AO8" s="13" t="str">
        <f>VLOOKUP(AN8,المرجع!$D$3:$E$11,2)</f>
        <v>ج</v>
      </c>
      <c r="AP8" s="12">
        <f t="shared" si="3"/>
        <v>9</v>
      </c>
      <c r="AQ8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68.5</v>
      </c>
      <c r="AR8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8" s="19">
        <f>الجدول1[[#This Row],[مجموع النقاط]]/الجدول1[[#This Row],[مجموع الساعات]]</f>
        <v>3.6052631578947367</v>
      </c>
      <c r="AT8" s="52" t="str">
        <f>VLOOKUP(AS8,المرجع!$D$2:$F$11,3)</f>
        <v xml:space="preserve">جيد جدا </v>
      </c>
      <c r="AU8" s="28">
        <f t="shared" si="4"/>
        <v>7</v>
      </c>
    </row>
    <row r="9" spans="1:47" ht="29.5">
      <c r="A9" s="27">
        <v>2025364</v>
      </c>
      <c r="B9" s="17" t="s">
        <v>45</v>
      </c>
      <c r="C9" s="6">
        <v>2</v>
      </c>
      <c r="D9" s="4">
        <v>60</v>
      </c>
      <c r="E9" s="5">
        <f>VLOOKUP(الجدول1[[#This Row],[القران الكريم ]],المرجع!$B$2:$C$11,2)</f>
        <v>2</v>
      </c>
      <c r="F9" s="14" t="str">
        <f>VLOOKUP(الجدول1[[#This Row],[الوزن ( م ت ق)]],المرجع!$D$2:$E$11,2)</f>
        <v>د</v>
      </c>
      <c r="G9" s="7">
        <f>الجدول1[[#This Row],[الوزن ( م ت ق)]]*الجدول1[[#This Row],[الساعة ]]</f>
        <v>4</v>
      </c>
      <c r="H9" s="6">
        <v>2</v>
      </c>
      <c r="I9" s="4">
        <v>72</v>
      </c>
      <c r="J9" s="5">
        <f>VLOOKUP(الجدول1[[#This Row],[مهارات تقنية 1]],المرجع!$B$2:$C$11,2)</f>
        <v>3</v>
      </c>
      <c r="K9" s="14" t="str">
        <f>VLOOKUP(الجدول1[[#This Row],[الوزن ( م ت ق)2]],المرجع!$D$2:$E$11,2)</f>
        <v>ج</v>
      </c>
      <c r="L9" s="7">
        <f>الجدول1[[#This Row],[الوزن ( م ت ق)2]]*الجدول1[[#This Row],[الساعات( م ت ق)]]</f>
        <v>6</v>
      </c>
      <c r="M9" s="6">
        <v>3</v>
      </c>
      <c r="N9" s="4">
        <v>71</v>
      </c>
      <c r="O9" s="5">
        <f>VLOOKUP(الجدول1[[#This Row],[مقدمة في الاقتصاد الجزئي ]],المرجع!$B$2:$C$11,2)</f>
        <v>3</v>
      </c>
      <c r="P9" s="13" t="str">
        <f>VLOOKUP(الجدول1[[#This Row],[الوزن ( م ق ج)]],المرجع!$D$2:$E$11,2)</f>
        <v>ج</v>
      </c>
      <c r="Q9" s="7">
        <f>الجدول1[[#This Row],[الوزن ( م ق ج)]]*الجدول1[[#This Row],[الساعات ( م ق ج) ]]</f>
        <v>9</v>
      </c>
      <c r="R9" s="6">
        <v>3</v>
      </c>
      <c r="S9" s="4">
        <v>50</v>
      </c>
      <c r="T9" s="51">
        <f>VLOOKUP(الجدول1[[#This Row],[المدخل إلى الفقه الإسلامي ]],المرجع!$B$2:$C$11,2)</f>
        <v>2</v>
      </c>
      <c r="U9" s="13" t="str">
        <f>VLOOKUP(الجدول1[[#This Row],[الوزن ( م ف إ)]],المرجع!$D$2:$E$11,2)</f>
        <v>د</v>
      </c>
      <c r="V9" s="7">
        <f>الجدول1[[#This Row],[الوزن ( م ف إ)]]*الجدول1[[#This Row],[الساعات ( م ف إ)]]</f>
        <v>6</v>
      </c>
      <c r="W9" s="6">
        <v>2</v>
      </c>
      <c r="X9" s="4">
        <v>79</v>
      </c>
      <c r="Y9" s="5">
        <f>VLOOKUP(X9,المرجع!$B$3:$C$11,2)</f>
        <v>3.5</v>
      </c>
      <c r="Z9" s="13" t="str">
        <f>VLOOKUP(Y9,المرجع!$D$3:$E$11,2)</f>
        <v>ج+</v>
      </c>
      <c r="AA9" s="7">
        <f t="shared" si="0"/>
        <v>7</v>
      </c>
      <c r="AB9" s="6">
        <v>2</v>
      </c>
      <c r="AC9" s="4">
        <v>67</v>
      </c>
      <c r="AD9" s="5">
        <f>VLOOKUP(AC9,المرجع!$B$3:$C$11,2)</f>
        <v>2.5</v>
      </c>
      <c r="AE9" s="13" t="str">
        <f>VLOOKUP(AD9,المرجع!$D$3:$E$11,2)</f>
        <v>د+</v>
      </c>
      <c r="AF9" s="7">
        <f t="shared" si="1"/>
        <v>5</v>
      </c>
      <c r="AG9" s="6">
        <v>2</v>
      </c>
      <c r="AH9" s="4">
        <v>85</v>
      </c>
      <c r="AI9" s="5">
        <f>VLOOKUP(AH9,المرجع!$B$3:$C$11,2)</f>
        <v>4.5</v>
      </c>
      <c r="AJ9" s="13" t="str">
        <f>VLOOKUP(AI9,المرجع!$D$3:$E$11,2)</f>
        <v>ب+</v>
      </c>
      <c r="AK9" s="7">
        <f t="shared" si="2"/>
        <v>9</v>
      </c>
      <c r="AL9" s="6">
        <v>3</v>
      </c>
      <c r="AM9" s="4">
        <v>85</v>
      </c>
      <c r="AN9" s="5">
        <f>VLOOKUP(AM9,المرجع!$B$3:$C$11,2)</f>
        <v>4.5</v>
      </c>
      <c r="AO9" s="13" t="str">
        <f>VLOOKUP(AN9,المرجع!$D$3:$E$11,2)</f>
        <v>ب+</v>
      </c>
      <c r="AP9" s="12">
        <f t="shared" si="3"/>
        <v>13.5</v>
      </c>
      <c r="AQ9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59.5</v>
      </c>
      <c r="AR9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9" s="19">
        <f>الجدول1[[#This Row],[مجموع النقاط]]/الجدول1[[#This Row],[مجموع الساعات]]</f>
        <v>3.1315789473684212</v>
      </c>
      <c r="AT9" s="52" t="str">
        <f>VLOOKUP(AS9,المرجع!$D$2:$F$11,3)</f>
        <v xml:space="preserve">جيد مرتفع </v>
      </c>
      <c r="AU9" s="28">
        <f t="shared" si="4"/>
        <v>10</v>
      </c>
    </row>
    <row r="10" spans="1:47" ht="29.5">
      <c r="A10" s="27">
        <v>2025327</v>
      </c>
      <c r="B10" s="17" t="s">
        <v>44</v>
      </c>
      <c r="C10" s="6">
        <v>2</v>
      </c>
      <c r="D10" s="4">
        <v>98</v>
      </c>
      <c r="E10" s="5">
        <f>VLOOKUP(الجدول1[[#This Row],[القران الكريم ]],المرجع!$B$2:$C$11,2)</f>
        <v>5</v>
      </c>
      <c r="F10" s="14" t="str">
        <f>VLOOKUP(الجدول1[[#This Row],[الوزن ( م ت ق)]],المرجع!$D$2:$E$11,2)</f>
        <v xml:space="preserve">أ+ </v>
      </c>
      <c r="G10" s="7">
        <f>الجدول1[[#This Row],[الوزن ( م ت ق)]]*الجدول1[[#This Row],[الساعة ]]</f>
        <v>10</v>
      </c>
      <c r="H10" s="6">
        <v>2</v>
      </c>
      <c r="I10" s="4">
        <v>83</v>
      </c>
      <c r="J10" s="5">
        <f>VLOOKUP(الجدول1[[#This Row],[مهارات تقنية 1]],المرجع!$B$2:$C$11,2)</f>
        <v>4</v>
      </c>
      <c r="K10" s="14" t="str">
        <f>VLOOKUP(الجدول1[[#This Row],[الوزن ( م ت ق)2]],المرجع!$D$2:$E$11,2)</f>
        <v>ب</v>
      </c>
      <c r="L10" s="7">
        <f>الجدول1[[#This Row],[الوزن ( م ت ق)2]]*الجدول1[[#This Row],[الساعات( م ت ق)]]</f>
        <v>8</v>
      </c>
      <c r="M10" s="6">
        <v>3</v>
      </c>
      <c r="N10" s="4">
        <v>74</v>
      </c>
      <c r="O10" s="5">
        <f>VLOOKUP(الجدول1[[#This Row],[مقدمة في الاقتصاد الجزئي ]],المرجع!$B$2:$C$11,2)</f>
        <v>3</v>
      </c>
      <c r="P10" s="13" t="str">
        <f>VLOOKUP(الجدول1[[#This Row],[الوزن ( م ق ج)]],المرجع!$D$2:$E$11,2)</f>
        <v>ج</v>
      </c>
      <c r="Q10" s="7">
        <f>الجدول1[[#This Row],[الوزن ( م ق ج)]]*الجدول1[[#This Row],[الساعات ( م ق ج) ]]</f>
        <v>9</v>
      </c>
      <c r="R10" s="6">
        <v>3</v>
      </c>
      <c r="S10" s="4">
        <v>61.5</v>
      </c>
      <c r="T10" s="51">
        <f>VLOOKUP(الجدول1[[#This Row],[المدخل إلى الفقه الإسلامي ]],المرجع!$B$2:$C$11,2)</f>
        <v>2</v>
      </c>
      <c r="U10" s="13" t="str">
        <f>VLOOKUP(الجدول1[[#This Row],[الوزن ( م ف إ)]],المرجع!$D$2:$E$11,2)</f>
        <v>د</v>
      </c>
      <c r="V10" s="7">
        <f>الجدول1[[#This Row],[الوزن ( م ف إ)]]*الجدول1[[#This Row],[الساعات ( م ف إ)]]</f>
        <v>6</v>
      </c>
      <c r="W10" s="6">
        <v>2</v>
      </c>
      <c r="X10" s="4">
        <v>95</v>
      </c>
      <c r="Y10" s="5">
        <f>VLOOKUP(X10,المرجع!$B$3:$C$11,2)</f>
        <v>5</v>
      </c>
      <c r="Z10" s="13" t="str">
        <f>VLOOKUP(Y10,المرجع!$D$3:$E$11,2)</f>
        <v xml:space="preserve">أ+ </v>
      </c>
      <c r="AA10" s="7">
        <f t="shared" si="0"/>
        <v>10</v>
      </c>
      <c r="AB10" s="6">
        <v>2</v>
      </c>
      <c r="AC10" s="4">
        <v>61</v>
      </c>
      <c r="AD10" s="5">
        <f>VLOOKUP(AC10,المرجع!$B$3:$C$11,2)</f>
        <v>2</v>
      </c>
      <c r="AE10" s="13" t="str">
        <f>VLOOKUP(AD10,المرجع!$D$3:$E$11,2)</f>
        <v>د</v>
      </c>
      <c r="AF10" s="7">
        <f t="shared" si="1"/>
        <v>4</v>
      </c>
      <c r="AG10" s="6">
        <v>2</v>
      </c>
      <c r="AH10" s="4">
        <v>96</v>
      </c>
      <c r="AI10" s="5">
        <f>VLOOKUP(AH10,المرجع!$B$3:$C$11,2)</f>
        <v>5</v>
      </c>
      <c r="AJ10" s="13" t="str">
        <f>VLOOKUP(AI10,المرجع!$D$3:$E$11,2)</f>
        <v xml:space="preserve">أ+ </v>
      </c>
      <c r="AK10" s="7">
        <f t="shared" si="2"/>
        <v>10</v>
      </c>
      <c r="AL10" s="6">
        <v>3</v>
      </c>
      <c r="AM10" s="4">
        <v>65</v>
      </c>
      <c r="AN10" s="5">
        <f>VLOOKUP(AM10,المرجع!$B$3:$C$11,2)</f>
        <v>2.5</v>
      </c>
      <c r="AO10" s="13" t="str">
        <f>VLOOKUP(AN10,المرجع!$D$3:$E$11,2)</f>
        <v>د+</v>
      </c>
      <c r="AP10" s="12">
        <f t="shared" si="3"/>
        <v>7.5</v>
      </c>
      <c r="AQ10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64.5</v>
      </c>
      <c r="AR10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10" s="19">
        <f>الجدول1[[#This Row],[مجموع النقاط]]/الجدول1[[#This Row],[مجموع الساعات]]</f>
        <v>3.3947368421052633</v>
      </c>
      <c r="AT10" s="52" t="str">
        <f>VLOOKUP(AS10,المرجع!$D$2:$F$11,3)</f>
        <v xml:space="preserve">جيد مرتفع </v>
      </c>
      <c r="AU10" s="28">
        <f t="shared" si="4"/>
        <v>9</v>
      </c>
    </row>
    <row r="11" spans="1:47" ht="29.5">
      <c r="A11" s="27">
        <v>2025407</v>
      </c>
      <c r="B11" s="17" t="s">
        <v>47</v>
      </c>
      <c r="C11" s="6">
        <v>2</v>
      </c>
      <c r="D11" s="4">
        <v>98</v>
      </c>
      <c r="E11" s="5">
        <f>VLOOKUP(الجدول1[[#This Row],[القران الكريم ]],المرجع!$B$2:$C$11,2)</f>
        <v>5</v>
      </c>
      <c r="F11" s="14" t="str">
        <f>VLOOKUP(الجدول1[[#This Row],[الوزن ( م ت ق)]],المرجع!$D$2:$E$11,2)</f>
        <v xml:space="preserve">أ+ </v>
      </c>
      <c r="G11" s="7">
        <f>الجدول1[[#This Row],[الوزن ( م ت ق)]]*الجدول1[[#This Row],[الساعة ]]</f>
        <v>10</v>
      </c>
      <c r="H11" s="6">
        <v>2</v>
      </c>
      <c r="I11" s="4">
        <v>50</v>
      </c>
      <c r="J11" s="5">
        <f>VLOOKUP(الجدول1[[#This Row],[مهارات تقنية 1]],المرجع!$B$2:$C$11,2)</f>
        <v>2</v>
      </c>
      <c r="K11" s="14" t="str">
        <f>VLOOKUP(الجدول1[[#This Row],[الوزن ( م ت ق)2]],المرجع!$D$2:$E$11,2)</f>
        <v>د</v>
      </c>
      <c r="L11" s="7">
        <f>الجدول1[[#This Row],[الوزن ( م ت ق)2]]*الجدول1[[#This Row],[الساعات( م ت ق)]]</f>
        <v>4</v>
      </c>
      <c r="M11" s="6">
        <v>3</v>
      </c>
      <c r="N11" s="4">
        <v>79</v>
      </c>
      <c r="O11" s="5">
        <f>VLOOKUP(الجدول1[[#This Row],[مقدمة في الاقتصاد الجزئي ]],المرجع!$B$2:$C$11,2)</f>
        <v>3.5</v>
      </c>
      <c r="P11" s="13" t="str">
        <f>VLOOKUP(الجدول1[[#This Row],[الوزن ( م ق ج)]],المرجع!$D$2:$E$11,2)</f>
        <v>ج+</v>
      </c>
      <c r="Q11" s="7">
        <f>الجدول1[[#This Row],[الوزن ( م ق ج)]]*الجدول1[[#This Row],[الساعات ( م ق ج) ]]</f>
        <v>10.5</v>
      </c>
      <c r="R11" s="6">
        <v>3</v>
      </c>
      <c r="S11" s="4">
        <v>50</v>
      </c>
      <c r="T11" s="51">
        <f>VLOOKUP(الجدول1[[#This Row],[المدخل إلى الفقه الإسلامي ]],المرجع!$B$2:$C$11,2)</f>
        <v>2</v>
      </c>
      <c r="U11" s="13" t="str">
        <f>VLOOKUP(الجدول1[[#This Row],[الوزن ( م ف إ)]],المرجع!$D$2:$E$11,2)</f>
        <v>د</v>
      </c>
      <c r="V11" s="7">
        <f>الجدول1[[#This Row],[الوزن ( م ف إ)]]*الجدول1[[#This Row],[الساعات ( م ف إ)]]</f>
        <v>6</v>
      </c>
      <c r="W11" s="6">
        <v>2</v>
      </c>
      <c r="X11" s="4">
        <v>67</v>
      </c>
      <c r="Y11" s="5">
        <f>VLOOKUP(X11,المرجع!$B$3:$C$11,2)</f>
        <v>2.5</v>
      </c>
      <c r="Z11" s="13" t="str">
        <f>VLOOKUP(Y11,المرجع!$D$3:$E$11,2)</f>
        <v>د+</v>
      </c>
      <c r="AA11" s="7">
        <f t="shared" si="0"/>
        <v>5</v>
      </c>
      <c r="AB11" s="6">
        <v>2</v>
      </c>
      <c r="AC11" s="4">
        <v>52</v>
      </c>
      <c r="AD11" s="5">
        <f>VLOOKUP(AC11,المرجع!$B$3:$C$11,2)</f>
        <v>2</v>
      </c>
      <c r="AE11" s="13" t="str">
        <f>VLOOKUP(AD11,المرجع!$D$3:$E$11,2)</f>
        <v>د</v>
      </c>
      <c r="AF11" s="7">
        <f t="shared" si="1"/>
        <v>4</v>
      </c>
      <c r="AG11" s="6">
        <v>2</v>
      </c>
      <c r="AH11" s="4">
        <v>92</v>
      </c>
      <c r="AI11" s="5">
        <f>VLOOKUP(AH11,المرجع!$B$3:$C$11,2)</f>
        <v>4.75</v>
      </c>
      <c r="AJ11" s="13" t="str">
        <f>VLOOKUP(AI11,المرجع!$D$3:$E$11,2)</f>
        <v>أ</v>
      </c>
      <c r="AK11" s="7">
        <f t="shared" si="2"/>
        <v>9.5</v>
      </c>
      <c r="AL11" s="6">
        <v>3</v>
      </c>
      <c r="AM11" s="4">
        <v>75</v>
      </c>
      <c r="AN11" s="5">
        <f>VLOOKUP(AM11,المرجع!$B$3:$C$11,2)</f>
        <v>3.5</v>
      </c>
      <c r="AO11" s="13" t="str">
        <f>VLOOKUP(AN11,المرجع!$D$3:$E$11,2)</f>
        <v>ج+</v>
      </c>
      <c r="AP11" s="12">
        <f t="shared" si="3"/>
        <v>10.5</v>
      </c>
      <c r="AQ11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59.5</v>
      </c>
      <c r="AR11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11" s="19">
        <f>الجدول1[[#This Row],[مجموع النقاط]]/الجدول1[[#This Row],[مجموع الساعات]]</f>
        <v>3.1315789473684212</v>
      </c>
      <c r="AT11" s="52" t="str">
        <f>VLOOKUP(AS11,المرجع!$D$2:$F$11,3)</f>
        <v xml:space="preserve">جيد مرتفع </v>
      </c>
      <c r="AU11" s="28">
        <f t="shared" si="4"/>
        <v>10</v>
      </c>
    </row>
    <row r="12" spans="1:47" ht="29.5">
      <c r="A12" s="27">
        <v>2025336</v>
      </c>
      <c r="B12" s="17" t="s">
        <v>46</v>
      </c>
      <c r="C12" s="6">
        <v>2</v>
      </c>
      <c r="D12" s="4">
        <v>98</v>
      </c>
      <c r="E12" s="5">
        <f>VLOOKUP(الجدول1[[#This Row],[القران الكريم ]],المرجع!$B$2:$C$11,2)</f>
        <v>5</v>
      </c>
      <c r="F12" s="14" t="str">
        <f>VLOOKUP(الجدول1[[#This Row],[الوزن ( م ت ق)]],المرجع!$D$2:$E$11,2)</f>
        <v xml:space="preserve">أ+ </v>
      </c>
      <c r="G12" s="7">
        <f>الجدول1[[#This Row],[الوزن ( م ت ق)]]*الجدول1[[#This Row],[الساعة ]]</f>
        <v>10</v>
      </c>
      <c r="H12" s="6">
        <v>2</v>
      </c>
      <c r="I12" s="4">
        <v>77</v>
      </c>
      <c r="J12" s="5">
        <f>VLOOKUP(الجدول1[[#This Row],[مهارات تقنية 1]],المرجع!$B$2:$C$11,2)</f>
        <v>3.5</v>
      </c>
      <c r="K12" s="14" t="str">
        <f>VLOOKUP(الجدول1[[#This Row],[الوزن ( م ت ق)2]],المرجع!$D$2:$E$11,2)</f>
        <v>ج+</v>
      </c>
      <c r="L12" s="7">
        <f>الجدول1[[#This Row],[الوزن ( م ت ق)2]]*الجدول1[[#This Row],[الساعات( م ت ق)]]</f>
        <v>7</v>
      </c>
      <c r="M12" s="6">
        <v>3</v>
      </c>
      <c r="N12" s="4">
        <v>78</v>
      </c>
      <c r="O12" s="5">
        <f>VLOOKUP(الجدول1[[#This Row],[مقدمة في الاقتصاد الجزئي ]],المرجع!$B$2:$C$11,2)</f>
        <v>3.5</v>
      </c>
      <c r="P12" s="13" t="str">
        <f>VLOOKUP(الجدول1[[#This Row],[الوزن ( م ق ج)]],المرجع!$D$2:$E$11,2)</f>
        <v>ج+</v>
      </c>
      <c r="Q12" s="7">
        <f>الجدول1[[#This Row],[الوزن ( م ق ج)]]*الجدول1[[#This Row],[الساعات ( م ق ج) ]]</f>
        <v>10.5</v>
      </c>
      <c r="R12" s="6">
        <v>3</v>
      </c>
      <c r="S12" s="4">
        <v>50</v>
      </c>
      <c r="T12" s="51">
        <f>VLOOKUP(الجدول1[[#This Row],[المدخل إلى الفقه الإسلامي ]],المرجع!$B$2:$C$11,2)</f>
        <v>2</v>
      </c>
      <c r="U12" s="13" t="str">
        <f>VLOOKUP(الجدول1[[#This Row],[الوزن ( م ف إ)]],المرجع!$D$2:$E$11,2)</f>
        <v>د</v>
      </c>
      <c r="V12" s="7">
        <f>الجدول1[[#This Row],[الوزن ( م ف إ)]]*الجدول1[[#This Row],[الساعات ( م ف إ)]]</f>
        <v>6</v>
      </c>
      <c r="W12" s="6">
        <v>2</v>
      </c>
      <c r="X12" s="4">
        <v>96</v>
      </c>
      <c r="Y12" s="5">
        <f>VLOOKUP(X12,المرجع!$B$3:$C$11,2)</f>
        <v>5</v>
      </c>
      <c r="Z12" s="13" t="str">
        <f>VLOOKUP(Y12,المرجع!$D$3:$E$11,2)</f>
        <v xml:space="preserve">أ+ </v>
      </c>
      <c r="AA12" s="7">
        <f t="shared" si="0"/>
        <v>10</v>
      </c>
      <c r="AB12" s="6">
        <v>2</v>
      </c>
      <c r="AC12" s="4">
        <v>93</v>
      </c>
      <c r="AD12" s="5">
        <f>VLOOKUP(AC12,المرجع!$B$3:$C$11,2)</f>
        <v>4.75</v>
      </c>
      <c r="AE12" s="13" t="str">
        <f>VLOOKUP(AD12,المرجع!$D$3:$E$11,2)</f>
        <v>أ</v>
      </c>
      <c r="AF12" s="7">
        <f t="shared" si="1"/>
        <v>9.5</v>
      </c>
      <c r="AG12" s="6">
        <v>2</v>
      </c>
      <c r="AH12" s="4">
        <v>72</v>
      </c>
      <c r="AI12" s="5">
        <f>VLOOKUP(AH12,المرجع!$B$3:$C$11,2)</f>
        <v>3</v>
      </c>
      <c r="AJ12" s="13" t="str">
        <f>VLOOKUP(AI12,المرجع!$D$3:$E$11,2)</f>
        <v>ج</v>
      </c>
      <c r="AK12" s="7">
        <f t="shared" si="2"/>
        <v>6</v>
      </c>
      <c r="AL12" s="6">
        <v>3</v>
      </c>
      <c r="AM12" s="4">
        <v>50</v>
      </c>
      <c r="AN12" s="5">
        <f>VLOOKUP(AM12,المرجع!$B$3:$C$11,2)</f>
        <v>2</v>
      </c>
      <c r="AO12" s="13" t="str">
        <f>VLOOKUP(AN12,المرجع!$D$3:$E$11,2)</f>
        <v>د</v>
      </c>
      <c r="AP12" s="12">
        <f t="shared" si="3"/>
        <v>6</v>
      </c>
      <c r="AQ12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65</v>
      </c>
      <c r="AR12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12" s="19">
        <f>الجدول1[[#This Row],[مجموع النقاط]]/الجدول1[[#This Row],[مجموع الساعات]]</f>
        <v>3.4210526315789473</v>
      </c>
      <c r="AT12" s="52" t="str">
        <f>VLOOKUP(AS12,المرجع!$D$2:$F$11,3)</f>
        <v xml:space="preserve">جيد مرتفع </v>
      </c>
      <c r="AU12" s="28">
        <f t="shared" si="4"/>
        <v>8</v>
      </c>
    </row>
    <row r="13" spans="1:47" ht="29.5">
      <c r="A13" s="27">
        <v>2025406</v>
      </c>
      <c r="B13" s="17" t="s">
        <v>48</v>
      </c>
      <c r="C13" s="6">
        <v>2</v>
      </c>
      <c r="D13" s="4">
        <v>85</v>
      </c>
      <c r="E13" s="5">
        <f>VLOOKUP(الجدول1[[#This Row],[القران الكريم ]],المرجع!$B$2:$C$11,2)</f>
        <v>4.5</v>
      </c>
      <c r="F13" s="14" t="str">
        <f>VLOOKUP(الجدول1[[#This Row],[الوزن ( م ت ق)]],المرجع!$D$2:$E$11,2)</f>
        <v>ب+</v>
      </c>
      <c r="G13" s="7">
        <f>الجدول1[[#This Row],[الوزن ( م ت ق)]]*الجدول1[[#This Row],[الساعة ]]</f>
        <v>9</v>
      </c>
      <c r="H13" s="6">
        <v>2</v>
      </c>
      <c r="I13" s="4">
        <v>66</v>
      </c>
      <c r="J13" s="5">
        <f>VLOOKUP(الجدول1[[#This Row],[مهارات تقنية 1]],المرجع!$B$2:$C$11,2)</f>
        <v>2.5</v>
      </c>
      <c r="K13" s="14" t="str">
        <f>VLOOKUP(الجدول1[[#This Row],[الوزن ( م ت ق)2]],المرجع!$D$2:$E$11,2)</f>
        <v>د+</v>
      </c>
      <c r="L13" s="7">
        <f>الجدول1[[#This Row],[الوزن ( م ت ق)2]]*الجدول1[[#This Row],[الساعات( م ت ق)]]</f>
        <v>5</v>
      </c>
      <c r="M13" s="6">
        <v>3</v>
      </c>
      <c r="N13" s="4">
        <v>63</v>
      </c>
      <c r="O13" s="5">
        <f>VLOOKUP(الجدول1[[#This Row],[مقدمة في الاقتصاد الجزئي ]],المرجع!$B$2:$C$11,2)</f>
        <v>2</v>
      </c>
      <c r="P13" s="13" t="str">
        <f>VLOOKUP(الجدول1[[#This Row],[الوزن ( م ق ج)]],المرجع!$D$2:$E$11,2)</f>
        <v>د</v>
      </c>
      <c r="Q13" s="7">
        <f>الجدول1[[#This Row],[الوزن ( م ق ج)]]*الجدول1[[#This Row],[الساعات ( م ق ج) ]]</f>
        <v>6</v>
      </c>
      <c r="R13" s="6">
        <v>3</v>
      </c>
      <c r="S13" s="4">
        <v>50</v>
      </c>
      <c r="T13" s="51">
        <f>VLOOKUP(الجدول1[[#This Row],[المدخل إلى الفقه الإسلامي ]],المرجع!$B$2:$C$11,2)</f>
        <v>2</v>
      </c>
      <c r="U13" s="13" t="str">
        <f>VLOOKUP(الجدول1[[#This Row],[الوزن ( م ف إ)]],المرجع!$D$2:$E$11,2)</f>
        <v>د</v>
      </c>
      <c r="V13" s="7">
        <f>الجدول1[[#This Row],[الوزن ( م ف إ)]]*الجدول1[[#This Row],[الساعات ( م ف إ)]]</f>
        <v>6</v>
      </c>
      <c r="W13" s="6">
        <v>2</v>
      </c>
      <c r="X13" s="4">
        <v>75</v>
      </c>
      <c r="Y13" s="5">
        <f>VLOOKUP(X13,المرجع!$B$3:$C$11,2)</f>
        <v>3.5</v>
      </c>
      <c r="Z13" s="13" t="str">
        <f>VLOOKUP(Y13,المرجع!$D$3:$E$11,2)</f>
        <v>ج+</v>
      </c>
      <c r="AA13" s="7">
        <f t="shared" si="0"/>
        <v>7</v>
      </c>
      <c r="AB13" s="6">
        <v>2</v>
      </c>
      <c r="AC13" s="4">
        <v>54</v>
      </c>
      <c r="AD13" s="5">
        <f>VLOOKUP(AC13,المرجع!$B$3:$C$11,2)</f>
        <v>2</v>
      </c>
      <c r="AE13" s="13" t="str">
        <f>VLOOKUP(AD13,المرجع!$D$3:$E$11,2)</f>
        <v>د</v>
      </c>
      <c r="AF13" s="7">
        <f t="shared" si="1"/>
        <v>4</v>
      </c>
      <c r="AG13" s="6">
        <v>2</v>
      </c>
      <c r="AH13" s="4">
        <v>70</v>
      </c>
      <c r="AI13" s="5">
        <f>VLOOKUP(AH13,المرجع!$B$3:$C$11,2)</f>
        <v>3</v>
      </c>
      <c r="AJ13" s="13" t="str">
        <f>VLOOKUP(AI13,المرجع!$D$3:$E$11,2)</f>
        <v>ج</v>
      </c>
      <c r="AK13" s="7">
        <f t="shared" si="2"/>
        <v>6</v>
      </c>
      <c r="AL13" s="6">
        <v>3</v>
      </c>
      <c r="AM13" s="4">
        <v>66</v>
      </c>
      <c r="AN13" s="5">
        <f>VLOOKUP(AM13,المرجع!$B$3:$C$11,2)</f>
        <v>2.5</v>
      </c>
      <c r="AO13" s="13" t="str">
        <f>VLOOKUP(AN13,المرجع!$D$3:$E$11,2)</f>
        <v>د+</v>
      </c>
      <c r="AP13" s="12">
        <f t="shared" si="3"/>
        <v>7.5</v>
      </c>
      <c r="AQ13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50.5</v>
      </c>
      <c r="AR13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13" s="19">
        <f>الجدول1[[#This Row],[مجموع النقاط]]/الجدول1[[#This Row],[مجموع الساعات]]</f>
        <v>2.6578947368421053</v>
      </c>
      <c r="AT13" s="52" t="str">
        <f>VLOOKUP(AS13,المرجع!$D$2:$F$11,3)</f>
        <v xml:space="preserve">جيد </v>
      </c>
      <c r="AU13" s="28">
        <f t="shared" si="4"/>
        <v>12</v>
      </c>
    </row>
    <row r="14" spans="1:47" ht="30" thickBot="1">
      <c r="A14" s="27">
        <v>2025414</v>
      </c>
      <c r="B14" s="17" t="s">
        <v>49</v>
      </c>
      <c r="C14" s="6">
        <v>2</v>
      </c>
      <c r="D14" s="9"/>
      <c r="E14" s="5">
        <f>VLOOKUP(الجدول1[[#This Row],[القران الكريم ]],المرجع!$B$2:$C$11,2)</f>
        <v>0</v>
      </c>
      <c r="F14" s="14" t="str">
        <f>VLOOKUP(الجدول1[[#This Row],[الوزن ( م ت ق)]],المرجع!$D$2:$E$11,2)</f>
        <v>ه</v>
      </c>
      <c r="G14" s="11">
        <f>الجدول1[[#This Row],[الوزن ( م ت ق)]]*الجدول1[[#This Row],[الساعة ]]</f>
        <v>0</v>
      </c>
      <c r="H14" s="6">
        <v>2</v>
      </c>
      <c r="I14" s="9">
        <v>50</v>
      </c>
      <c r="J14" s="10">
        <f>VLOOKUP(الجدول1[[#This Row],[مهارات تقنية 1]],المرجع!$B$2:$C$11,2)</f>
        <v>2</v>
      </c>
      <c r="K14" s="15" t="str">
        <f>VLOOKUP(الجدول1[[#This Row],[الوزن ( م ت ق)2]],المرجع!$D$2:$E$11,2)</f>
        <v>د</v>
      </c>
      <c r="L14" s="11">
        <f>الجدول1[[#This Row],[الوزن ( م ت ق)2]]*الجدول1[[#This Row],[الساعات( م ت ق)]]</f>
        <v>4</v>
      </c>
      <c r="M14" s="8">
        <v>3</v>
      </c>
      <c r="N14" s="4">
        <v>61</v>
      </c>
      <c r="O14" s="10">
        <f>VLOOKUP(الجدول1[[#This Row],[مقدمة في الاقتصاد الجزئي ]],المرجع!$B$2:$C$11,2)</f>
        <v>2</v>
      </c>
      <c r="P14" s="13" t="str">
        <f>VLOOKUP(الجدول1[[#This Row],[الوزن ( م ق ج)]],المرجع!$D$2:$E$11,2)</f>
        <v>د</v>
      </c>
      <c r="Q14" s="11">
        <f>الجدول1[[#This Row],[الوزن ( م ق ج)]]*الجدول1[[#This Row],[الساعات ( م ق ج) ]]</f>
        <v>6</v>
      </c>
      <c r="R14" s="8">
        <v>3</v>
      </c>
      <c r="S14" s="4">
        <v>30</v>
      </c>
      <c r="T14" s="51">
        <f>VLOOKUP(الجدول1[[#This Row],[المدخل إلى الفقه الإسلامي ]],المرجع!$B$2:$C$11,2)</f>
        <v>0</v>
      </c>
      <c r="U14" s="13" t="str">
        <f>VLOOKUP(الجدول1[[#This Row],[الوزن ( م ف إ)]],المرجع!$D$2:$E$11,2)</f>
        <v>ه</v>
      </c>
      <c r="V14" s="11">
        <f>الجدول1[[#This Row],[الوزن ( م ف إ)]]*الجدول1[[#This Row],[الساعات ( م ف إ)]]</f>
        <v>0</v>
      </c>
      <c r="W14" s="6">
        <v>2</v>
      </c>
      <c r="X14" s="4">
        <v>50</v>
      </c>
      <c r="Y14" s="10">
        <f>VLOOKUP(X14,المرجع!$B$3:$C$11,2)</f>
        <v>2</v>
      </c>
      <c r="Z14" s="13" t="str">
        <f>VLOOKUP(Y14,المرجع!$D$3:$E$11,2)</f>
        <v>د</v>
      </c>
      <c r="AA14" s="11">
        <f t="shared" si="0"/>
        <v>4</v>
      </c>
      <c r="AB14" s="6">
        <v>2</v>
      </c>
      <c r="AC14" s="4">
        <v>32</v>
      </c>
      <c r="AD14" s="10">
        <f>VLOOKUP(AC14,المرجع!$B$3:$C$11,2)</f>
        <v>0</v>
      </c>
      <c r="AE14" s="13" t="str">
        <f>VLOOKUP(AD14,المرجع!$D$3:$E$11,2)</f>
        <v>ه</v>
      </c>
      <c r="AF14" s="11">
        <f t="shared" si="1"/>
        <v>0</v>
      </c>
      <c r="AG14" s="6">
        <v>2</v>
      </c>
      <c r="AH14" s="4">
        <v>57</v>
      </c>
      <c r="AI14" s="10">
        <f>VLOOKUP(AH14,المرجع!$B$3:$C$11,2)</f>
        <v>2</v>
      </c>
      <c r="AJ14" s="13" t="str">
        <f>VLOOKUP(AI14,المرجع!$D$3:$E$11,2)</f>
        <v>د</v>
      </c>
      <c r="AK14" s="11">
        <f t="shared" si="2"/>
        <v>4</v>
      </c>
      <c r="AL14" s="8">
        <v>3</v>
      </c>
      <c r="AM14" s="4">
        <v>33</v>
      </c>
      <c r="AN14" s="10">
        <f>VLOOKUP(AM14,المرجع!$B$3:$C$11,2)</f>
        <v>0</v>
      </c>
      <c r="AO14" s="13" t="str">
        <f>VLOOKUP(AN14,المرجع!$D$3:$E$11,2)</f>
        <v>ه</v>
      </c>
      <c r="AP14" s="16">
        <f t="shared" si="3"/>
        <v>0</v>
      </c>
      <c r="AQ14" s="18">
        <f>الجدول1[[#This Row],[النقاط  (م ENG)]]+الجدول1[[#This Row],[النقاط ( د غ)]]+الجدول1[[#This Row],[النقاط  ( م ت) ]]+الجدول1[[#This Row],[النقاط  ( م ع)]]+الجدول1[[#This Row],[النقاط ( م ف إ)]]+الجدول1[[#This Row],[النقاط ( م ق ج)]]+الجدول1[[#This Row],[النقاط ( م ت ق)4]]+الجدول1[[#This Row],[النقاط ( م ت ق)]]</f>
        <v>18</v>
      </c>
      <c r="AR14" s="6">
        <f>الجدول1[[#This Row],[الساعات (م ENG)]]+الجدول1[[#This Row],[الساعات ( د غ)]]+الجدول1[[#This Row],[الساعات ( م ت) ]]+الجدول1[[#This Row],[الساعات ( م ع)]]+الجدول1[[#This Row],[الساعات ( م ف إ)]]+الجدول1[[#This Row],[الساعات ( م ق ج) ]]+الجدول1[[#This Row],[الساعات( م ت ق)]]+الجدول1[[#This Row],[الساعة ]]</f>
        <v>19</v>
      </c>
      <c r="AS14" s="19">
        <f>الجدول1[[#This Row],[مجموع النقاط]]/الجدول1[[#This Row],[مجموع الساعات]]</f>
        <v>0.94736842105263153</v>
      </c>
      <c r="AT14" s="52" t="str">
        <f>VLOOKUP(AS14,المرجع!$D$2:$F$11,3)</f>
        <v>راسب</v>
      </c>
      <c r="AU14" s="28">
        <f t="shared" si="4"/>
        <v>13</v>
      </c>
    </row>
  </sheetData>
  <conditionalFormatting sqref="A11:A14">
    <cfRule type="duplicateValues" dxfId="10" priority="9"/>
  </conditionalFormatting>
  <conditionalFormatting sqref="D2:D14">
    <cfRule type="cellIs" dxfId="9" priority="1" operator="lessThan">
      <formula>50</formula>
    </cfRule>
  </conditionalFormatting>
  <conditionalFormatting sqref="I2:I14">
    <cfRule type="cellIs" dxfId="8" priority="8" operator="lessThan">
      <formula>50</formula>
    </cfRule>
  </conditionalFormatting>
  <conditionalFormatting sqref="N2:N14">
    <cfRule type="cellIs" dxfId="7" priority="7" operator="lessThan">
      <formula>50</formula>
    </cfRule>
  </conditionalFormatting>
  <conditionalFormatting sqref="S2:S14">
    <cfRule type="cellIs" dxfId="6" priority="6" operator="lessThan">
      <formula>50</formula>
    </cfRule>
  </conditionalFormatting>
  <conditionalFormatting sqref="X2:X14">
    <cfRule type="cellIs" dxfId="5" priority="5" operator="lessThan">
      <formula>50</formula>
    </cfRule>
  </conditionalFormatting>
  <conditionalFormatting sqref="AC2:AC14">
    <cfRule type="cellIs" dxfId="4" priority="4" operator="lessThan">
      <formula>50</formula>
    </cfRule>
  </conditionalFormatting>
  <conditionalFormatting sqref="AH2:AH14">
    <cfRule type="cellIs" dxfId="3" priority="3" operator="lessThan">
      <formula>50</formula>
    </cfRule>
  </conditionalFormatting>
  <conditionalFormatting sqref="AM2:AM14">
    <cfRule type="cellIs" dxfId="2" priority="2" operator="lessThan">
      <formula>50</formula>
    </cfRule>
  </conditionalFormatting>
  <conditionalFormatting sqref="AT1">
    <cfRule type="containsText" dxfId="1" priority="11" operator="containsText" text="راسب">
      <formula>NOT(ISERROR(SEARCH("راسب",AT1)))</formula>
    </cfRule>
  </conditionalFormatting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0694-96C0-455A-94E8-0D20D1F08B8A}">
  <sheetPr>
    <tabColor rgb="FFFF0000"/>
  </sheetPr>
  <dimension ref="B2:F11"/>
  <sheetViews>
    <sheetView rightToLeft="1" topLeftCell="A2" workbookViewId="0">
      <selection activeCell="D11" sqref="D11"/>
    </sheetView>
  </sheetViews>
  <sheetFormatPr defaultRowHeight="14.5"/>
  <cols>
    <col min="6" max="6" width="11.26953125" bestFit="1" customWidth="1"/>
  </cols>
  <sheetData>
    <row r="2" spans="2:6" ht="49.5">
      <c r="B2" s="1" t="s">
        <v>10</v>
      </c>
      <c r="C2" s="1" t="s">
        <v>3</v>
      </c>
      <c r="D2" s="1" t="s">
        <v>11</v>
      </c>
      <c r="E2" s="1" t="s">
        <v>12</v>
      </c>
      <c r="F2" s="1" t="s">
        <v>8</v>
      </c>
    </row>
    <row r="3" spans="2:6" ht="29.5">
      <c r="B3" s="2">
        <v>0</v>
      </c>
      <c r="C3" s="2">
        <v>0</v>
      </c>
      <c r="D3" s="2">
        <v>0</v>
      </c>
      <c r="E3" s="3" t="s">
        <v>13</v>
      </c>
      <c r="F3" s="2" t="s">
        <v>14</v>
      </c>
    </row>
    <row r="4" spans="2:6" ht="29.5">
      <c r="B4" s="2">
        <v>50</v>
      </c>
      <c r="C4" s="2">
        <v>2</v>
      </c>
      <c r="D4" s="2">
        <v>2</v>
      </c>
      <c r="E4" s="3" t="s">
        <v>15</v>
      </c>
      <c r="F4" s="2" t="s">
        <v>16</v>
      </c>
    </row>
    <row r="5" spans="2:6" ht="29.5">
      <c r="B5" s="2">
        <v>65</v>
      </c>
      <c r="C5" s="2">
        <v>2.5</v>
      </c>
      <c r="D5" s="2">
        <v>2.1</v>
      </c>
      <c r="E5" s="3" t="s">
        <v>17</v>
      </c>
      <c r="F5" s="2" t="s">
        <v>18</v>
      </c>
    </row>
    <row r="6" spans="2:6" ht="29.5">
      <c r="B6" s="2">
        <v>70</v>
      </c>
      <c r="C6" s="2">
        <v>3</v>
      </c>
      <c r="D6" s="2">
        <v>2.6</v>
      </c>
      <c r="E6" s="3" t="s">
        <v>19</v>
      </c>
      <c r="F6" s="2" t="s">
        <v>20</v>
      </c>
    </row>
    <row r="7" spans="2:6" ht="29.5">
      <c r="B7" s="2">
        <v>75</v>
      </c>
      <c r="C7" s="2">
        <v>3.5</v>
      </c>
      <c r="D7" s="2">
        <v>3.1</v>
      </c>
      <c r="E7" s="3" t="s">
        <v>21</v>
      </c>
      <c r="F7" s="2" t="s">
        <v>22</v>
      </c>
    </row>
    <row r="8" spans="2:6" ht="29.5">
      <c r="B8" s="2">
        <v>80</v>
      </c>
      <c r="C8" s="2">
        <v>4</v>
      </c>
      <c r="D8" s="2">
        <v>3.6</v>
      </c>
      <c r="E8" s="3" t="s">
        <v>23</v>
      </c>
      <c r="F8" s="2" t="s">
        <v>24</v>
      </c>
    </row>
    <row r="9" spans="2:6" ht="29.5">
      <c r="B9" s="2">
        <v>85</v>
      </c>
      <c r="C9" s="2">
        <v>4.5</v>
      </c>
      <c r="D9" s="2">
        <v>4.0999999999999996</v>
      </c>
      <c r="E9" s="3" t="s">
        <v>25</v>
      </c>
      <c r="F9" s="2" t="s">
        <v>26</v>
      </c>
    </row>
    <row r="10" spans="2:6" ht="29.5">
      <c r="B10" s="2">
        <v>90</v>
      </c>
      <c r="C10" s="2">
        <v>4.75</v>
      </c>
      <c r="D10" s="2">
        <v>4.5999999999999996</v>
      </c>
      <c r="E10" s="3" t="s">
        <v>27</v>
      </c>
      <c r="F10" s="2" t="s">
        <v>28</v>
      </c>
    </row>
    <row r="11" spans="2:6" ht="29.5">
      <c r="B11" s="2">
        <v>95</v>
      </c>
      <c r="C11" s="2">
        <v>5</v>
      </c>
      <c r="D11" s="2">
        <v>4.76</v>
      </c>
      <c r="E11" s="3" t="s">
        <v>29</v>
      </c>
      <c r="F11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285F-559D-445B-B9F4-1AA14A760DAC}">
  <dimension ref="A5:H24"/>
  <sheetViews>
    <sheetView rightToLeft="1" tabSelected="1" view="pageLayout" topLeftCell="A11" zoomScaleNormal="100" workbookViewId="0">
      <selection activeCell="E16" sqref="E16"/>
    </sheetView>
  </sheetViews>
  <sheetFormatPr defaultRowHeight="14.5"/>
  <cols>
    <col min="1" max="1" width="4" bestFit="1" customWidth="1"/>
    <col min="2" max="2" width="22.81640625" customWidth="1"/>
    <col min="4" max="4" width="6.36328125" bestFit="1" customWidth="1"/>
    <col min="6" max="6" width="10.81640625" bestFit="1" customWidth="1"/>
  </cols>
  <sheetData>
    <row r="5" spans="1:8" ht="28.5">
      <c r="A5" s="53" t="s">
        <v>86</v>
      </c>
      <c r="B5" s="54"/>
      <c r="C5" s="55"/>
      <c r="D5" s="56">
        <v>2025419</v>
      </c>
      <c r="E5" s="57"/>
      <c r="F5" s="57"/>
      <c r="G5" s="57"/>
      <c r="H5" s="57"/>
    </row>
    <row r="6" spans="1:8" ht="30">
      <c r="A6" s="53" t="s">
        <v>87</v>
      </c>
      <c r="B6" s="54"/>
      <c r="C6" s="55"/>
      <c r="D6" s="58" t="str">
        <f>_xlfn.XLOOKUP($D$5,'مستوى الاول '!A2:A14,'مستوى الاول '!B2:B14)</f>
        <v xml:space="preserve">محمد أبوبكر  كابا </v>
      </c>
      <c r="E6" s="59"/>
      <c r="F6" s="59"/>
      <c r="G6" s="59"/>
      <c r="H6" s="59"/>
    </row>
    <row r="7" spans="1:8" ht="25.5">
      <c r="A7" s="53" t="s">
        <v>88</v>
      </c>
      <c r="B7" s="54"/>
      <c r="C7" s="55"/>
      <c r="D7" s="60" t="s">
        <v>102</v>
      </c>
      <c r="E7" s="61"/>
      <c r="F7" s="61"/>
      <c r="G7" s="61"/>
      <c r="H7" s="61"/>
    </row>
    <row r="8" spans="1:8" ht="16" thickBot="1">
      <c r="A8" s="85" t="s">
        <v>89</v>
      </c>
      <c r="B8" s="86"/>
      <c r="C8" s="87"/>
      <c r="D8" s="62" t="s">
        <v>90</v>
      </c>
      <c r="E8" s="63"/>
      <c r="F8" s="63"/>
      <c r="G8" s="63"/>
      <c r="H8" s="63"/>
    </row>
    <row r="9" spans="1:8" ht="17.5">
      <c r="A9" s="64" t="s">
        <v>50</v>
      </c>
      <c r="B9" s="67" t="s">
        <v>91</v>
      </c>
      <c r="C9" s="67"/>
      <c r="D9" s="67"/>
      <c r="E9" s="67"/>
      <c r="F9" s="67"/>
      <c r="G9" s="67"/>
      <c r="H9" s="68"/>
    </row>
    <row r="10" spans="1:8" ht="22.5">
      <c r="A10" s="65"/>
      <c r="B10" s="69" t="s">
        <v>92</v>
      </c>
      <c r="C10" s="69"/>
      <c r="D10" s="70"/>
      <c r="E10" s="71" t="s">
        <v>93</v>
      </c>
      <c r="F10" s="73" t="s">
        <v>8</v>
      </c>
      <c r="G10" s="73"/>
      <c r="H10" s="74" t="s">
        <v>4</v>
      </c>
    </row>
    <row r="11" spans="1:8" ht="26" thickBot="1">
      <c r="A11" s="66"/>
      <c r="B11" s="43" t="s">
        <v>94</v>
      </c>
      <c r="C11" s="44" t="s">
        <v>95</v>
      </c>
      <c r="D11" s="45" t="s">
        <v>96</v>
      </c>
      <c r="E11" s="72"/>
      <c r="F11" s="46" t="s">
        <v>97</v>
      </c>
      <c r="G11" s="47" t="s">
        <v>98</v>
      </c>
      <c r="H11" s="75"/>
    </row>
    <row r="12" spans="1:8" ht="26.5">
      <c r="A12" s="20" t="str">
        <f>_xlfn.UNICHAR(ROW()-11+9311)</f>
        <v>①</v>
      </c>
      <c r="B12" s="48" t="s">
        <v>108</v>
      </c>
      <c r="C12" s="21"/>
      <c r="D12" s="22" cm="1">
        <f t="array" ref="D12:H12">_xlfn.XLOOKUP($D$5,'مستوى الاول '!A2:A14,الجدول1[[الساعة ]:[النقاط ( م ت ق)]])</f>
        <v>2</v>
      </c>
      <c r="E12" s="50">
        <v>100</v>
      </c>
      <c r="F12" s="23">
        <v>5</v>
      </c>
      <c r="G12" s="24" t="str">
        <v xml:space="preserve">أ+ </v>
      </c>
      <c r="H12" s="25">
        <v>10</v>
      </c>
    </row>
    <row r="13" spans="1:8" ht="31.25" customHeight="1">
      <c r="A13" s="20" t="str">
        <f>_xlfn.UNICHAR(ROW()-11+9311)</f>
        <v>②</v>
      </c>
      <c r="B13" s="49" t="s">
        <v>51</v>
      </c>
      <c r="C13" s="21"/>
      <c r="D13" s="22" cm="1">
        <f t="array" ref="D13:H13">_xlfn.XLOOKUP($D$5,'مستوى الاول '!A2:A14,الجدول1[[الساعات( م ت ق)]:[النقاط ( م ت ق)4]])</f>
        <v>2</v>
      </c>
      <c r="E13" s="50">
        <v>88</v>
      </c>
      <c r="F13" s="23">
        <v>4.5</v>
      </c>
      <c r="G13" s="24" t="str">
        <v>ب+</v>
      </c>
      <c r="H13" s="25">
        <v>9</v>
      </c>
    </row>
    <row r="14" spans="1:8" ht="31.25" customHeight="1">
      <c r="A14" s="20" t="str">
        <f t="shared" ref="A14:A19" si="0">_xlfn.UNICHAR(ROW()-11+9311)</f>
        <v>③</v>
      </c>
      <c r="B14" s="48" t="s">
        <v>56</v>
      </c>
      <c r="C14" s="21"/>
      <c r="D14" s="22" cm="1">
        <f t="array" ref="D14:H14">_xlfn.XLOOKUP($D$5,'مستوى الاول '!A2:A14,الجدول1[[الساعات ( م ق ج) ]:[النقاط ( م ق ج)]])</f>
        <v>3</v>
      </c>
      <c r="E14" s="50">
        <v>73</v>
      </c>
      <c r="F14" s="23">
        <v>3</v>
      </c>
      <c r="G14" s="24" t="str">
        <v>ج</v>
      </c>
      <c r="H14" s="25">
        <v>9</v>
      </c>
    </row>
    <row r="15" spans="1:8" ht="31.25" customHeight="1">
      <c r="A15" s="20" t="str">
        <f t="shared" si="0"/>
        <v>④</v>
      </c>
      <c r="B15" s="48" t="s">
        <v>57</v>
      </c>
      <c r="C15" s="21"/>
      <c r="D15" s="22" cm="1">
        <f t="array" ref="D15:H15">_xlfn.XLOOKUP($D$5,'مستوى الاول '!A2:A14,الجدول1[[الساعات ( م ف إ)]:[النقاط ( م ف إ)]])</f>
        <v>3</v>
      </c>
      <c r="E15" s="50">
        <v>50</v>
      </c>
      <c r="F15" s="23">
        <v>2</v>
      </c>
      <c r="G15" s="24" t="str">
        <v>د</v>
      </c>
      <c r="H15" s="25">
        <v>6</v>
      </c>
    </row>
    <row r="16" spans="1:8" ht="31.25" customHeight="1">
      <c r="A16" s="20" t="str">
        <f t="shared" si="0"/>
        <v>⑤</v>
      </c>
      <c r="B16" s="48" t="s">
        <v>34</v>
      </c>
      <c r="C16" s="21"/>
      <c r="D16" s="22" cm="1">
        <f t="array" ref="D16:H16">_xlfn.XLOOKUP($D$5,'مستوى الاول '!A2:A14,الجدول1[[الساعات ( م ع)]:[النقاط  ( م ع)]])</f>
        <v>2</v>
      </c>
      <c r="E16" s="50">
        <v>99</v>
      </c>
      <c r="F16" s="23">
        <v>5</v>
      </c>
      <c r="G16" s="24" t="str">
        <v xml:space="preserve">أ+ </v>
      </c>
      <c r="H16" s="25">
        <v>10</v>
      </c>
    </row>
    <row r="17" spans="1:8" ht="31.25" customHeight="1">
      <c r="A17" s="20" t="str">
        <f t="shared" si="0"/>
        <v>⑥</v>
      </c>
      <c r="B17" s="48" t="s">
        <v>52</v>
      </c>
      <c r="C17" s="21"/>
      <c r="D17" s="22" cm="1">
        <f t="array" ref="D17:H17">_xlfn.XLOOKUP($D$5,'مستوى الاول '!A2:A14,الجدول1[[الساعات ( م ت) ]:[النقاط  ( م ت) ]])</f>
        <v>2</v>
      </c>
      <c r="E17" s="50">
        <v>87</v>
      </c>
      <c r="F17" s="23">
        <v>4.5</v>
      </c>
      <c r="G17" s="24" t="str">
        <v>ب+</v>
      </c>
      <c r="H17" s="25">
        <v>9</v>
      </c>
    </row>
    <row r="18" spans="1:8" ht="31.25" customHeight="1">
      <c r="A18" s="20" t="str">
        <f t="shared" si="0"/>
        <v>⑦</v>
      </c>
      <c r="B18" s="48" t="s">
        <v>53</v>
      </c>
      <c r="C18" s="21"/>
      <c r="D18" s="22" cm="1">
        <f t="array" ref="D18:H18">_xlfn.XLOOKUP($D$5,'مستوى الاول '!A2:A14,الجدول1[[الساعات ( د غ)]:[النقاط ( د غ)]])</f>
        <v>2</v>
      </c>
      <c r="E18" s="50">
        <v>95</v>
      </c>
      <c r="F18" s="23">
        <v>5</v>
      </c>
      <c r="G18" s="24" t="str">
        <v xml:space="preserve">أ+ </v>
      </c>
      <c r="H18" s="26">
        <v>10</v>
      </c>
    </row>
    <row r="19" spans="1:8" ht="31.25" customHeight="1" thickBot="1">
      <c r="A19" s="20" t="str">
        <f t="shared" si="0"/>
        <v>⑧</v>
      </c>
      <c r="B19" s="48" t="s">
        <v>2</v>
      </c>
      <c r="C19" s="21"/>
      <c r="D19" s="22" cm="1">
        <f t="array" ref="D19:H19">_xlfn.XLOOKUP($D$5,'مستوى الاول '!A2:A14,الجدول1[[الساعات (م ENG)]:[النقاط  (م ENG)]])</f>
        <v>3</v>
      </c>
      <c r="E19" s="50">
        <v>90</v>
      </c>
      <c r="F19" s="23">
        <v>4.75</v>
      </c>
      <c r="G19" s="24" t="str">
        <v>أ</v>
      </c>
      <c r="H19" s="26">
        <v>14.25</v>
      </c>
    </row>
    <row r="20" spans="1:8" ht="29.5">
      <c r="A20" s="76" t="s">
        <v>99</v>
      </c>
      <c r="B20" s="77"/>
      <c r="C20" s="78"/>
      <c r="D20" s="40">
        <f>SUM(D13:D19)</f>
        <v>17</v>
      </c>
      <c r="E20" s="41"/>
      <c r="F20" s="41"/>
      <c r="G20" s="41"/>
      <c r="H20" s="42">
        <f>SUM(H13:H19)</f>
        <v>67.25</v>
      </c>
    </row>
    <row r="21" spans="1:8" ht="27">
      <c r="A21" s="79" t="s">
        <v>100</v>
      </c>
      <c r="B21" s="80"/>
      <c r="C21" s="81"/>
      <c r="D21" s="100" cm="1">
        <f t="array" ref="D21">_xlfn.XLOOKUP($D$5,'مستوى الاول '!A2:A14,الجدول1[[المعدل الفصلي ]])</f>
        <v>4.0657894736842106</v>
      </c>
      <c r="E21" s="101"/>
      <c r="F21" s="101"/>
      <c r="G21" s="101"/>
      <c r="H21" s="102"/>
    </row>
    <row r="22" spans="1:8" ht="27">
      <c r="A22" s="82" t="s">
        <v>101</v>
      </c>
      <c r="B22" s="83"/>
      <c r="C22" s="84"/>
      <c r="D22" s="97" cm="1">
        <f t="array" ref="D22">_xlfn.XLOOKUP($D$5,'مستوى الاول '!A2:A14,الجدول1[[المعدل الفصلي ]])</f>
        <v>4.0657894736842106</v>
      </c>
      <c r="E22" s="98"/>
      <c r="F22" s="98"/>
      <c r="G22" s="98"/>
      <c r="H22" s="99"/>
    </row>
    <row r="23" spans="1:8" ht="27">
      <c r="A23" s="79" t="s">
        <v>54</v>
      </c>
      <c r="B23" s="80"/>
      <c r="C23" s="81"/>
      <c r="D23" s="94" t="str" cm="1">
        <f t="array" ref="D23">_xlfn.XLOOKUP($D$5,'مستوى الاول '!A2:A14,الجدول1[التقدير])</f>
        <v xml:space="preserve">جيد جدا </v>
      </c>
      <c r="E23" s="95"/>
      <c r="F23" s="95"/>
      <c r="G23" s="95"/>
      <c r="H23" s="96"/>
    </row>
    <row r="24" spans="1:8" ht="33" thickBot="1">
      <c r="A24" s="88" t="s">
        <v>55</v>
      </c>
      <c r="B24" s="89"/>
      <c r="C24" s="90"/>
      <c r="D24" s="91" cm="1">
        <f t="array" ref="D24">_xlfn.XLOOKUP($D$5,'مستوى الاول '!A2:A14,الجدول1[الترتيب])</f>
        <v>2</v>
      </c>
      <c r="E24" s="92"/>
      <c r="F24" s="92"/>
      <c r="G24" s="92"/>
      <c r="H24" s="93"/>
    </row>
  </sheetData>
  <mergeCells count="23">
    <mergeCell ref="A24:C24"/>
    <mergeCell ref="D24:H24"/>
    <mergeCell ref="D23:H23"/>
    <mergeCell ref="D22:H22"/>
    <mergeCell ref="D21:H21"/>
    <mergeCell ref="A20:C20"/>
    <mergeCell ref="A21:C21"/>
    <mergeCell ref="A22:C22"/>
    <mergeCell ref="A23:C23"/>
    <mergeCell ref="A8:C8"/>
    <mergeCell ref="D8:H8"/>
    <mergeCell ref="A9:A11"/>
    <mergeCell ref="B9:H9"/>
    <mergeCell ref="B10:D10"/>
    <mergeCell ref="E10:E11"/>
    <mergeCell ref="F10:G10"/>
    <mergeCell ref="H10:H11"/>
    <mergeCell ref="A5:C5"/>
    <mergeCell ref="D5:H5"/>
    <mergeCell ref="A6:C6"/>
    <mergeCell ref="D6:H6"/>
    <mergeCell ref="A7:C7"/>
    <mergeCell ref="D7:H7"/>
  </mergeCells>
  <conditionalFormatting sqref="E12:E19">
    <cfRule type="cellIs" dxfId="0" priority="2" operator="lessThan">
      <formula>50</formula>
    </cfRule>
  </conditionalFormatting>
  <pageMargins left="0.7" right="0.7" top="0.75" bottom="0.75" header="0.3" footer="0.3"/>
  <pageSetup orientation="portrait" r:id="rId1"/>
  <headerFooter>
    <oddHeader>&amp;C&amp;D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059C9E-8702-4155-BC49-44E78BC8C57A}">
          <x14:formula1>
            <xm:f>'مستوى الاول '!$A$2:$A$14</xm:f>
          </x14:formula1>
          <xm:sqref>D5:H5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مستوى الاول </vt:lpstr>
      <vt:lpstr>المرجع</vt:lpstr>
      <vt:lpstr>الكشف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Abdouramane Jaibo</cp:lastModifiedBy>
  <cp:lastPrinted>2026-02-23T12:06:56Z</cp:lastPrinted>
  <dcterms:created xsi:type="dcterms:W3CDTF">2015-06-05T18:17:20Z</dcterms:created>
  <dcterms:modified xsi:type="dcterms:W3CDTF">2026-07-23T19:50:50Z</dcterms:modified>
</cp:coreProperties>
</file>