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التراكمي\"/>
    </mc:Choice>
  </mc:AlternateContent>
  <xr:revisionPtr revIDLastSave="0" documentId="13_ncr:1_{93E99612-1C72-498D-8678-5D77A9F0136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المستوى الأول" sheetId="1" r:id="rId1"/>
    <sheet name="المصدر" sheetId="2" r:id="rId2"/>
    <sheet name="كشف م 1" sheetId="3" r:id="rId3"/>
  </sheets>
  <externalReferences>
    <externalReference r:id="rId4"/>
  </externalReferences>
  <definedNames>
    <definedName name="_xlnm._FilterDatabase" localSheetId="0" hidden="1">'المستوى الأول'!$A$1:$AU$25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3" i="1" l="1"/>
  <c r="D6" i="3" l="1" a="1"/>
  <c r="D6" i="3" s="1"/>
  <c r="E18" i="3" a="1"/>
  <c r="E18" i="3" s="1"/>
  <c r="D18" i="3" a="1"/>
  <c r="D18" i="3" s="1"/>
  <c r="E17" i="3" a="1"/>
  <c r="E17" i="3" s="1"/>
  <c r="D17" i="3" a="1"/>
  <c r="D17" i="3" s="1"/>
  <c r="E16" i="3" a="1"/>
  <c r="E16" i="3" s="1"/>
  <c r="D16" i="3" a="1"/>
  <c r="D16" i="3" s="1"/>
  <c r="E15" i="3" a="1"/>
  <c r="E15" i="3" s="1"/>
  <c r="D15" i="3" a="1"/>
  <c r="D15" i="3" s="1"/>
  <c r="E14" i="3" a="1"/>
  <c r="E14" i="3" s="1"/>
  <c r="D14" i="3" a="1"/>
  <c r="D14" i="3" s="1"/>
  <c r="E13" i="3" a="1"/>
  <c r="E13" i="3" s="1"/>
  <c r="D13" i="3" a="1"/>
  <c r="D13" i="3" s="1"/>
  <c r="E12" i="3" a="1"/>
  <c r="E12" i="3" s="1"/>
  <c r="D12" i="3" a="1"/>
  <c r="D12" i="3" s="1"/>
  <c r="A19" i="3" l="1"/>
  <c r="A18" i="3"/>
  <c r="A17" i="3"/>
  <c r="A16" i="3"/>
  <c r="A15" i="3"/>
  <c r="A14" i="3"/>
  <c r="A13" i="3"/>
  <c r="A12" i="3"/>
  <c r="AR4" i="1"/>
  <c r="AR3" i="1"/>
  <c r="AR5" i="1"/>
  <c r="AR6" i="1"/>
  <c r="AR7" i="1"/>
  <c r="AR8" i="1"/>
  <c r="AR9" i="1"/>
  <c r="AR10" i="1"/>
  <c r="AR11" i="1"/>
  <c r="AR12" i="1"/>
  <c r="AR14" i="1"/>
  <c r="AR13" i="1"/>
  <c r="AR15" i="1"/>
  <c r="AR16" i="1"/>
  <c r="AR17" i="1"/>
  <c r="AR18" i="1"/>
  <c r="AR19" i="1"/>
  <c r="AR21" i="1"/>
  <c r="AR20" i="1"/>
  <c r="AR22" i="1"/>
  <c r="AR23" i="1"/>
  <c r="AR24" i="1"/>
  <c r="AR25" i="1"/>
  <c r="AR2" i="1"/>
  <c r="AN25" i="1"/>
  <c r="AP25" i="1" s="1"/>
  <c r="AN24" i="1"/>
  <c r="AO24" i="1" s="1"/>
  <c r="AN23" i="1"/>
  <c r="AO23" i="1" s="1"/>
  <c r="AN22" i="1"/>
  <c r="AP22" i="1" s="1"/>
  <c r="AN20" i="1"/>
  <c r="AP20" i="1" s="1"/>
  <c r="AN21" i="1"/>
  <c r="AO21" i="1" s="1"/>
  <c r="AN19" i="1"/>
  <c r="AO19" i="1" s="1"/>
  <c r="AN18" i="1"/>
  <c r="AP18" i="1" s="1"/>
  <c r="AN17" i="1"/>
  <c r="AP17" i="1" s="1"/>
  <c r="AN16" i="1"/>
  <c r="AO16" i="1" s="1"/>
  <c r="AN15" i="1"/>
  <c r="AO15" i="1" s="1"/>
  <c r="AN13" i="1"/>
  <c r="AP13" i="1" s="1"/>
  <c r="AN14" i="1"/>
  <c r="AP14" i="1" s="1"/>
  <c r="AN12" i="1"/>
  <c r="AO12" i="1" s="1"/>
  <c r="AN11" i="1"/>
  <c r="AO11" i="1" s="1"/>
  <c r="AN10" i="1"/>
  <c r="AP10" i="1" s="1"/>
  <c r="AN9" i="1"/>
  <c r="AP9" i="1" s="1"/>
  <c r="AN8" i="1"/>
  <c r="AO8" i="1" s="1"/>
  <c r="AN7" i="1"/>
  <c r="AO7" i="1" s="1"/>
  <c r="AN6" i="1"/>
  <c r="AN5" i="1"/>
  <c r="AP5" i="1" s="1"/>
  <c r="AN3" i="1"/>
  <c r="AO3" i="1" s="1"/>
  <c r="AN4" i="1"/>
  <c r="AO4" i="1" s="1"/>
  <c r="AN2" i="1"/>
  <c r="AP2" i="1" s="1"/>
  <c r="AI25" i="1"/>
  <c r="AK25" i="1" s="1"/>
  <c r="AI24" i="1"/>
  <c r="AJ24" i="1" s="1"/>
  <c r="AI23" i="1"/>
  <c r="AK23" i="1" s="1"/>
  <c r="AI22" i="1"/>
  <c r="AK22" i="1" s="1"/>
  <c r="AI20" i="1"/>
  <c r="AK20" i="1" s="1"/>
  <c r="AI21" i="1"/>
  <c r="AJ21" i="1" s="1"/>
  <c r="AI19" i="1"/>
  <c r="AK19" i="1" s="1"/>
  <c r="AI18" i="1"/>
  <c r="AK18" i="1" s="1"/>
  <c r="AI17" i="1"/>
  <c r="AK17" i="1" s="1"/>
  <c r="AI16" i="1"/>
  <c r="AJ16" i="1" s="1"/>
  <c r="AI15" i="1"/>
  <c r="AK15" i="1" s="1"/>
  <c r="AI13" i="1"/>
  <c r="AK13" i="1" s="1"/>
  <c r="AI14" i="1"/>
  <c r="AK14" i="1" s="1"/>
  <c r="AI12" i="1"/>
  <c r="AJ12" i="1" s="1"/>
  <c r="AI11" i="1"/>
  <c r="AJ11" i="1" s="1"/>
  <c r="AI10" i="1"/>
  <c r="AK10" i="1" s="1"/>
  <c r="AI9" i="1"/>
  <c r="AK9" i="1" s="1"/>
  <c r="AI8" i="1"/>
  <c r="AJ8" i="1" s="1"/>
  <c r="AI7" i="1"/>
  <c r="AK7" i="1" s="1"/>
  <c r="AI6" i="1"/>
  <c r="AI5" i="1"/>
  <c r="AK5" i="1" s="1"/>
  <c r="AI3" i="1"/>
  <c r="AJ3" i="1" s="1"/>
  <c r="AI4" i="1"/>
  <c r="AK4" i="1" s="1"/>
  <c r="AI2" i="1"/>
  <c r="AK2" i="1" s="1"/>
  <c r="AD25" i="1"/>
  <c r="AF25" i="1" s="1"/>
  <c r="AD24" i="1"/>
  <c r="AE24" i="1" s="1"/>
  <c r="AD23" i="1"/>
  <c r="AE23" i="1" s="1"/>
  <c r="AD22" i="1"/>
  <c r="AE22" i="1" s="1"/>
  <c r="AD20" i="1"/>
  <c r="AF20" i="1" s="1"/>
  <c r="AD21" i="1"/>
  <c r="AE21" i="1" s="1"/>
  <c r="AD19" i="1"/>
  <c r="AE19" i="1" s="1"/>
  <c r="AD18" i="1"/>
  <c r="AE18" i="1" s="1"/>
  <c r="AD17" i="1"/>
  <c r="AF17" i="1" s="1"/>
  <c r="AD16" i="1"/>
  <c r="AE16" i="1" s="1"/>
  <c r="AD15" i="1"/>
  <c r="AE15" i="1" s="1"/>
  <c r="AD13" i="1"/>
  <c r="AE13" i="1" s="1"/>
  <c r="AD14" i="1"/>
  <c r="AF14" i="1" s="1"/>
  <c r="AD12" i="1"/>
  <c r="AE12" i="1" s="1"/>
  <c r="AD11" i="1"/>
  <c r="AF11" i="1" s="1"/>
  <c r="AD10" i="1"/>
  <c r="AE10" i="1" s="1"/>
  <c r="AD9" i="1"/>
  <c r="AF9" i="1" s="1"/>
  <c r="AD8" i="1"/>
  <c r="AE8" i="1" s="1"/>
  <c r="AD7" i="1"/>
  <c r="AF7" i="1" s="1"/>
  <c r="AD6" i="1"/>
  <c r="AD5" i="1"/>
  <c r="AF5" i="1" s="1"/>
  <c r="AD3" i="1"/>
  <c r="AE3" i="1" s="1"/>
  <c r="AD4" i="1"/>
  <c r="AF4" i="1" s="1"/>
  <c r="AD2" i="1"/>
  <c r="AE2" i="1" s="1"/>
  <c r="Y25" i="1"/>
  <c r="AA25" i="1" s="1"/>
  <c r="Y24" i="1"/>
  <c r="Z24" i="1" s="1"/>
  <c r="Y23" i="1"/>
  <c r="AA23" i="1" s="1"/>
  <c r="Y22" i="1"/>
  <c r="AA22" i="1" s="1"/>
  <c r="Y20" i="1"/>
  <c r="AA20" i="1" s="1"/>
  <c r="Y21" i="1"/>
  <c r="Z21" i="1" s="1"/>
  <c r="Y19" i="1"/>
  <c r="AA19" i="1" s="1"/>
  <c r="Y18" i="1"/>
  <c r="AA18" i="1" s="1"/>
  <c r="Y17" i="1"/>
  <c r="AA17" i="1" s="1"/>
  <c r="Y16" i="1"/>
  <c r="Z16" i="1" s="1"/>
  <c r="Y15" i="1"/>
  <c r="Z15" i="1" s="1"/>
  <c r="Y13" i="1"/>
  <c r="AA13" i="1" s="1"/>
  <c r="Y14" i="1"/>
  <c r="AA14" i="1" s="1"/>
  <c r="Y12" i="1"/>
  <c r="Z12" i="1" s="1"/>
  <c r="Y11" i="1"/>
  <c r="AA11" i="1" s="1"/>
  <c r="Y10" i="1"/>
  <c r="Z10" i="1" s="1"/>
  <c r="Y9" i="1"/>
  <c r="AA9" i="1" s="1"/>
  <c r="Y8" i="1"/>
  <c r="Z8" i="1" s="1"/>
  <c r="Y7" i="1"/>
  <c r="AA7" i="1" s="1"/>
  <c r="Y6" i="1"/>
  <c r="Y5" i="1"/>
  <c r="AA5" i="1" s="1"/>
  <c r="Y3" i="1"/>
  <c r="Z3" i="1" s="1"/>
  <c r="Y4" i="1"/>
  <c r="AA4" i="1" s="1"/>
  <c r="Y2" i="1"/>
  <c r="AA2" i="1" s="1"/>
  <c r="T25" i="1"/>
  <c r="V25" i="1" s="1"/>
  <c r="T24" i="1"/>
  <c r="U24" i="1" s="1"/>
  <c r="T23" i="1"/>
  <c r="U23" i="1" s="1"/>
  <c r="T22" i="1"/>
  <c r="V22" i="1" s="1"/>
  <c r="T20" i="1"/>
  <c r="U20" i="1" s="1"/>
  <c r="T21" i="1"/>
  <c r="U21" i="1" s="1"/>
  <c r="T19" i="1"/>
  <c r="V19" i="1" s="1"/>
  <c r="T18" i="1"/>
  <c r="V18" i="1" s="1"/>
  <c r="T17" i="1"/>
  <c r="U17" i="1" s="1"/>
  <c r="T16" i="1"/>
  <c r="V16" i="1" s="1"/>
  <c r="T15" i="1"/>
  <c r="V15" i="1" s="1"/>
  <c r="T13" i="1"/>
  <c r="V13" i="1" s="1"/>
  <c r="T14" i="1"/>
  <c r="U14" i="1" s="1"/>
  <c r="T12" i="1"/>
  <c r="U12" i="1" s="1"/>
  <c r="T11" i="1"/>
  <c r="V11" i="1" s="1"/>
  <c r="T10" i="1"/>
  <c r="V10" i="1" s="1"/>
  <c r="T9" i="1"/>
  <c r="U9" i="1" s="1"/>
  <c r="T8" i="1"/>
  <c r="V8" i="1" s="1"/>
  <c r="T7" i="1"/>
  <c r="U7" i="1" s="1"/>
  <c r="T6" i="1"/>
  <c r="T5" i="1"/>
  <c r="U5" i="1" s="1"/>
  <c r="T3" i="1"/>
  <c r="V3" i="1" s="1"/>
  <c r="T4" i="1"/>
  <c r="U4" i="1" s="1"/>
  <c r="T2" i="1"/>
  <c r="V2" i="1" s="1"/>
  <c r="O25" i="1"/>
  <c r="Q25" i="1" s="1"/>
  <c r="O24" i="1"/>
  <c r="P24" i="1" s="1"/>
  <c r="O23" i="1"/>
  <c r="P23" i="1" s="1"/>
  <c r="O22" i="1"/>
  <c r="Q22" i="1" s="1"/>
  <c r="O20" i="1"/>
  <c r="Q20" i="1" s="1"/>
  <c r="O21" i="1"/>
  <c r="P21" i="1" s="1"/>
  <c r="O19" i="1"/>
  <c r="P19" i="1" s="1"/>
  <c r="O18" i="1"/>
  <c r="Q18" i="1" s="1"/>
  <c r="O17" i="1"/>
  <c r="Q17" i="1" s="1"/>
  <c r="O16" i="1"/>
  <c r="P16" i="1" s="1"/>
  <c r="O15" i="1"/>
  <c r="Q15" i="1" s="1"/>
  <c r="O13" i="1"/>
  <c r="Q13" i="1" s="1"/>
  <c r="O14" i="1"/>
  <c r="Q14" i="1" s="1"/>
  <c r="O12" i="1"/>
  <c r="P12" i="1" s="1"/>
  <c r="O11" i="1"/>
  <c r="Q11" i="1" s="1"/>
  <c r="O10" i="1"/>
  <c r="Q10" i="1" s="1"/>
  <c r="O9" i="1"/>
  <c r="Q9" i="1" s="1"/>
  <c r="O8" i="1"/>
  <c r="P8" i="1" s="1"/>
  <c r="O7" i="1"/>
  <c r="P7" i="1" s="1"/>
  <c r="O6" i="1"/>
  <c r="O5" i="1"/>
  <c r="Q5" i="1" s="1"/>
  <c r="O3" i="1"/>
  <c r="P3" i="1" s="1"/>
  <c r="O4" i="1"/>
  <c r="P4" i="1" s="1"/>
  <c r="O2" i="1"/>
  <c r="Q2" i="1" s="1"/>
  <c r="J25" i="1"/>
  <c r="L25" i="1" s="1"/>
  <c r="J24" i="1"/>
  <c r="K24" i="1" s="1"/>
  <c r="J23" i="1"/>
  <c r="L23" i="1" s="1"/>
  <c r="J22" i="1"/>
  <c r="L22" i="1" s="1"/>
  <c r="J20" i="1"/>
  <c r="L20" i="1" s="1"/>
  <c r="J21" i="1"/>
  <c r="K21" i="1" s="1"/>
  <c r="J19" i="1"/>
  <c r="L19" i="1" s="1"/>
  <c r="J18" i="1"/>
  <c r="L18" i="1" s="1"/>
  <c r="J17" i="1"/>
  <c r="L17" i="1" s="1"/>
  <c r="J16" i="1"/>
  <c r="L16" i="1" s="1"/>
  <c r="J15" i="1"/>
  <c r="L15" i="1" s="1"/>
  <c r="J13" i="1"/>
  <c r="L13" i="1" s="1"/>
  <c r="J14" i="1"/>
  <c r="K14" i="1" s="1"/>
  <c r="J12" i="1"/>
  <c r="L12" i="1" s="1"/>
  <c r="J11" i="1"/>
  <c r="L11" i="1" s="1"/>
  <c r="J10" i="1"/>
  <c r="L10" i="1" s="1"/>
  <c r="J9" i="1"/>
  <c r="K9" i="1" s="1"/>
  <c r="J8" i="1"/>
  <c r="L8" i="1" s="1"/>
  <c r="J7" i="1"/>
  <c r="L7" i="1" s="1"/>
  <c r="J6" i="1"/>
  <c r="J5" i="1"/>
  <c r="K5" i="1" s="1"/>
  <c r="J3" i="1"/>
  <c r="L3" i="1" s="1"/>
  <c r="J4" i="1"/>
  <c r="K4" i="1" s="1"/>
  <c r="J2" i="1"/>
  <c r="L2" i="1" s="1"/>
  <c r="E24" i="1"/>
  <c r="G24" i="1" s="1"/>
  <c r="E25" i="1"/>
  <c r="G25" i="1" s="1"/>
  <c r="E23" i="1"/>
  <c r="F23" i="1" s="1"/>
  <c r="E22" i="1"/>
  <c r="F22" i="1" s="1"/>
  <c r="E20" i="1"/>
  <c r="G20" i="1" s="1"/>
  <c r="E21" i="1"/>
  <c r="G21" i="1" s="1"/>
  <c r="E19" i="1"/>
  <c r="F19" i="1" s="1"/>
  <c r="E18" i="1"/>
  <c r="G18" i="1" s="1"/>
  <c r="E17" i="1"/>
  <c r="G17" i="1" s="1"/>
  <c r="E16" i="1"/>
  <c r="G16" i="1" s="1"/>
  <c r="E15" i="1"/>
  <c r="F15" i="1" s="1"/>
  <c r="E13" i="1"/>
  <c r="G13" i="1" s="1"/>
  <c r="E14" i="1"/>
  <c r="G14" i="1" s="1"/>
  <c r="E12" i="1"/>
  <c r="G12" i="1" s="1"/>
  <c r="E11" i="1"/>
  <c r="F11" i="1" s="1"/>
  <c r="E10" i="1"/>
  <c r="G10" i="1" s="1"/>
  <c r="E9" i="1"/>
  <c r="G9" i="1" s="1"/>
  <c r="E8" i="1"/>
  <c r="G8" i="1" s="1"/>
  <c r="E7" i="1"/>
  <c r="F7" i="1" s="1"/>
  <c r="E6" i="1"/>
  <c r="E5" i="1"/>
  <c r="G5" i="1" s="1"/>
  <c r="E3" i="1"/>
  <c r="G3" i="1" s="1"/>
  <c r="E4" i="1"/>
  <c r="F4" i="1" s="1"/>
  <c r="E2" i="1"/>
  <c r="G2" i="1" s="1"/>
  <c r="AP16" i="1" l="1"/>
  <c r="F6" i="1"/>
  <c r="F12" i="3" a="1"/>
  <c r="F12" i="3" s="1"/>
  <c r="L6" i="1"/>
  <c r="F13" i="3" a="1"/>
  <c r="F13" i="3" s="1"/>
  <c r="P6" i="1"/>
  <c r="F14" i="3" a="1"/>
  <c r="F14" i="3" s="1"/>
  <c r="V6" i="1"/>
  <c r="F15" i="3" a="1"/>
  <c r="F15" i="3" s="1"/>
  <c r="AA6" i="1"/>
  <c r="F16" i="3" a="1"/>
  <c r="F16" i="3" s="1"/>
  <c r="AF6" i="1"/>
  <c r="F17" i="3" a="1"/>
  <c r="F17" i="3" s="1"/>
  <c r="AK6" i="1"/>
  <c r="F18" i="3" a="1"/>
  <c r="F18" i="3" s="1"/>
  <c r="AP6" i="1"/>
  <c r="AJ25" i="1"/>
  <c r="AJ15" i="1"/>
  <c r="AP15" i="1"/>
  <c r="AO17" i="1"/>
  <c r="AJ7" i="1"/>
  <c r="AJ9" i="1"/>
  <c r="AJ23" i="1"/>
  <c r="AP8" i="1"/>
  <c r="AP23" i="1"/>
  <c r="AP7" i="1"/>
  <c r="AO9" i="1"/>
  <c r="AE9" i="1"/>
  <c r="AP4" i="1"/>
  <c r="AO5" i="1"/>
  <c r="AP12" i="1"/>
  <c r="AP19" i="1"/>
  <c r="AO20" i="1"/>
  <c r="AP24" i="1"/>
  <c r="AK11" i="1"/>
  <c r="AJ17" i="1"/>
  <c r="AP3" i="1"/>
  <c r="AP11" i="1"/>
  <c r="AO14" i="1"/>
  <c r="AP21" i="1"/>
  <c r="AQ25" i="1"/>
  <c r="AS25" i="1" s="1"/>
  <c r="AJ4" i="1"/>
  <c r="AJ5" i="1"/>
  <c r="AJ19" i="1"/>
  <c r="AJ20" i="1"/>
  <c r="AJ14" i="1"/>
  <c r="AO2" i="1"/>
  <c r="AO6" i="1"/>
  <c r="AO10" i="1"/>
  <c r="AO13" i="1"/>
  <c r="AO18" i="1"/>
  <c r="AO22" i="1"/>
  <c r="AO25" i="1"/>
  <c r="AK3" i="1"/>
  <c r="AK8" i="1"/>
  <c r="AK12" i="1"/>
  <c r="AK16" i="1"/>
  <c r="AK21" i="1"/>
  <c r="AK24" i="1"/>
  <c r="AJ2" i="1"/>
  <c r="AJ6" i="1"/>
  <c r="AJ10" i="1"/>
  <c r="AJ13" i="1"/>
  <c r="AJ18" i="1"/>
  <c r="AJ22" i="1"/>
  <c r="AF15" i="1"/>
  <c r="AF19" i="1"/>
  <c r="AE11" i="1"/>
  <c r="AF23" i="1"/>
  <c r="AF2" i="1"/>
  <c r="AQ2" i="1" s="1"/>
  <c r="AS2" i="1" s="1"/>
  <c r="AE7" i="1"/>
  <c r="AF13" i="1"/>
  <c r="AQ13" i="1" s="1"/>
  <c r="AS13" i="1" s="1"/>
  <c r="AF18" i="1"/>
  <c r="AQ18" i="1" s="1"/>
  <c r="AS18" i="1" s="1"/>
  <c r="AF22" i="1"/>
  <c r="AE5" i="1"/>
  <c r="AF10" i="1"/>
  <c r="AE4" i="1"/>
  <c r="AE14" i="1"/>
  <c r="AE17" i="1"/>
  <c r="AE20" i="1"/>
  <c r="AE25" i="1"/>
  <c r="AF3" i="1"/>
  <c r="AF8" i="1"/>
  <c r="AF12" i="1"/>
  <c r="AF16" i="1"/>
  <c r="AF21" i="1"/>
  <c r="AF24" i="1"/>
  <c r="AE6" i="1"/>
  <c r="AA15" i="1"/>
  <c r="AA8" i="1"/>
  <c r="Z11" i="1"/>
  <c r="AA24" i="1"/>
  <c r="AA3" i="1"/>
  <c r="Z7" i="1"/>
  <c r="AA21" i="1"/>
  <c r="Z23" i="1"/>
  <c r="Z4" i="1"/>
  <c r="AA16" i="1"/>
  <c r="Z19" i="1"/>
  <c r="AA12" i="1"/>
  <c r="Z2" i="1"/>
  <c r="Z13" i="1"/>
  <c r="Z18" i="1"/>
  <c r="AA10" i="1"/>
  <c r="Z6" i="1"/>
  <c r="Z22" i="1"/>
  <c r="Z5" i="1"/>
  <c r="Z9" i="1"/>
  <c r="Z14" i="1"/>
  <c r="Z17" i="1"/>
  <c r="Z20" i="1"/>
  <c r="Z25" i="1"/>
  <c r="U3" i="1"/>
  <c r="V14" i="1"/>
  <c r="U16" i="1"/>
  <c r="V21" i="1"/>
  <c r="V17" i="1"/>
  <c r="AQ17" i="1" s="1"/>
  <c r="AS17" i="1" s="1"/>
  <c r="V5" i="1"/>
  <c r="U8" i="1"/>
  <c r="V12" i="1"/>
  <c r="V20" i="1"/>
  <c r="AQ20" i="1" s="1"/>
  <c r="AS20" i="1" s="1"/>
  <c r="V24" i="1"/>
  <c r="V9" i="1"/>
  <c r="U11" i="1"/>
  <c r="U15" i="1"/>
  <c r="U19" i="1"/>
  <c r="U2" i="1"/>
  <c r="V4" i="1"/>
  <c r="U6" i="1"/>
  <c r="G15" i="3" s="1" a="1"/>
  <c r="G15" i="3" s="1"/>
  <c r="V7" i="1"/>
  <c r="U10" i="1"/>
  <c r="U13" i="1"/>
  <c r="U18" i="1"/>
  <c r="U22" i="1"/>
  <c r="V23" i="1"/>
  <c r="U25" i="1"/>
  <c r="Q4" i="1"/>
  <c r="Q19" i="1"/>
  <c r="Q7" i="1"/>
  <c r="Q23" i="1"/>
  <c r="Q16" i="1"/>
  <c r="Q12" i="1"/>
  <c r="P15" i="1"/>
  <c r="Q8" i="1"/>
  <c r="P11" i="1"/>
  <c r="Q24" i="1"/>
  <c r="Q3" i="1"/>
  <c r="Q21" i="1"/>
  <c r="P2" i="1"/>
  <c r="P10" i="1"/>
  <c r="P13" i="1"/>
  <c r="P18" i="1"/>
  <c r="P22" i="1"/>
  <c r="P5" i="1"/>
  <c r="Q6" i="1"/>
  <c r="H14" i="3" s="1" a="1"/>
  <c r="H14" i="3" s="1"/>
  <c r="P9" i="1"/>
  <c r="P14" i="1"/>
  <c r="P17" i="1"/>
  <c r="P20" i="1"/>
  <c r="P25" i="1"/>
  <c r="L9" i="1"/>
  <c r="L14" i="1"/>
  <c r="AQ14" i="1" s="1"/>
  <c r="AS14" i="1" s="1"/>
  <c r="L21" i="1"/>
  <c r="K23" i="1"/>
  <c r="L5" i="1"/>
  <c r="K3" i="1"/>
  <c r="K16" i="1"/>
  <c r="L24" i="1"/>
  <c r="K8" i="1"/>
  <c r="K12" i="1"/>
  <c r="K19" i="1"/>
  <c r="K7" i="1"/>
  <c r="K11" i="1"/>
  <c r="K15" i="1"/>
  <c r="K2" i="1"/>
  <c r="L4" i="1"/>
  <c r="K6" i="1"/>
  <c r="G13" i="3" s="1" a="1"/>
  <c r="G13" i="3" s="1"/>
  <c r="K10" i="1"/>
  <c r="K13" i="1"/>
  <c r="K18" i="1"/>
  <c r="K22" i="1"/>
  <c r="K17" i="1"/>
  <c r="K20" i="1"/>
  <c r="K25" i="1"/>
  <c r="G6" i="1"/>
  <c r="H12" i="3" s="1" a="1"/>
  <c r="H12" i="3" s="1"/>
  <c r="F2" i="1"/>
  <c r="G15" i="1"/>
  <c r="F18" i="1"/>
  <c r="F25" i="1"/>
  <c r="F24" i="1"/>
  <c r="G11" i="1"/>
  <c r="F13" i="1"/>
  <c r="G23" i="1"/>
  <c r="G7" i="1"/>
  <c r="F10" i="1"/>
  <c r="F20" i="1"/>
  <c r="G4" i="1"/>
  <c r="G19" i="1"/>
  <c r="G22" i="1"/>
  <c r="F5" i="1"/>
  <c r="F9" i="1"/>
  <c r="F14" i="1"/>
  <c r="F17" i="1"/>
  <c r="F3" i="1"/>
  <c r="F8" i="1"/>
  <c r="F12" i="1"/>
  <c r="F16" i="1"/>
  <c r="F21" i="1"/>
  <c r="G16" i="3" l="1" a="1"/>
  <c r="G16" i="3" s="1"/>
  <c r="G18" i="3" a="1"/>
  <c r="G18" i="3" s="1"/>
  <c r="D19" i="3" a="1"/>
  <c r="D19" i="3" s="1"/>
  <c r="D20" i="3" s="1"/>
  <c r="H17" i="3" a="1"/>
  <c r="H17" i="3" s="1"/>
  <c r="H18" i="3" a="1"/>
  <c r="H18" i="3" s="1"/>
  <c r="H16" i="3" a="1"/>
  <c r="H16" i="3" s="1"/>
  <c r="G17" i="3" a="1"/>
  <c r="G17" i="3" s="1"/>
  <c r="H15" i="3" a="1"/>
  <c r="H15" i="3" s="1"/>
  <c r="H13" i="3" a="1"/>
  <c r="H13" i="3" s="1"/>
  <c r="G14" i="3" a="1"/>
  <c r="G14" i="3" s="1"/>
  <c r="G12" i="3" a="1"/>
  <c r="G12" i="3" s="1"/>
  <c r="AT18" i="1"/>
  <c r="AT13" i="1"/>
  <c r="AT20" i="1"/>
  <c r="AT25" i="1"/>
  <c r="AQ11" i="1"/>
  <c r="AS11" i="1" s="1"/>
  <c r="AT2" i="1"/>
  <c r="AT14" i="1"/>
  <c r="AT17" i="1"/>
  <c r="AQ6" i="1"/>
  <c r="AS6" i="1" s="1"/>
  <c r="AQ9" i="1"/>
  <c r="AS9" i="1" s="1"/>
  <c r="AQ5" i="1"/>
  <c r="AS5" i="1" s="1"/>
  <c r="AQ23" i="1"/>
  <c r="AS23" i="1" s="1"/>
  <c r="AQ10" i="1"/>
  <c r="AS10" i="1" s="1"/>
  <c r="AQ12" i="1"/>
  <c r="AS12" i="1" s="1"/>
  <c r="AQ19" i="1"/>
  <c r="AS19" i="1" s="1"/>
  <c r="AQ22" i="1"/>
  <c r="AS22" i="1" s="1"/>
  <c r="AQ15" i="1"/>
  <c r="AS15" i="1" s="1"/>
  <c r="AQ8" i="1"/>
  <c r="AS8" i="1" s="1"/>
  <c r="AQ3" i="1"/>
  <c r="AS3" i="1" s="1"/>
  <c r="AQ16" i="1"/>
  <c r="AS16" i="1" s="1"/>
  <c r="AQ21" i="1"/>
  <c r="AS21" i="1" s="1"/>
  <c r="AQ7" i="1"/>
  <c r="AS7" i="1" s="1"/>
  <c r="AQ4" i="1"/>
  <c r="AS4" i="1" s="1"/>
  <c r="AQ24" i="1"/>
  <c r="AS24" i="1" s="1"/>
  <c r="AU3" i="1" l="1"/>
  <c r="H20" i="3"/>
  <c r="D22" i="3" a="1"/>
  <c r="D22" i="3" s="1"/>
  <c r="D21" i="3" a="1"/>
  <c r="D21" i="3" s="1"/>
  <c r="AU14" i="1"/>
  <c r="AU7" i="1"/>
  <c r="AT7" i="1"/>
  <c r="AU8" i="1"/>
  <c r="AT8" i="1"/>
  <c r="AU12" i="1"/>
  <c r="AT12" i="1"/>
  <c r="AU9" i="1"/>
  <c r="AT9" i="1"/>
  <c r="AU11" i="1"/>
  <c r="AT11" i="1"/>
  <c r="AU20" i="1"/>
  <c r="AU18" i="1"/>
  <c r="AU21" i="1"/>
  <c r="AT21" i="1"/>
  <c r="AU15" i="1"/>
  <c r="AT15" i="1"/>
  <c r="AU10" i="1"/>
  <c r="AT10" i="1"/>
  <c r="AU6" i="1"/>
  <c r="AT6" i="1"/>
  <c r="AU24" i="1"/>
  <c r="AT24" i="1"/>
  <c r="AU16" i="1"/>
  <c r="AT16" i="1"/>
  <c r="AU22" i="1"/>
  <c r="AT22" i="1"/>
  <c r="AU23" i="1"/>
  <c r="AT23" i="1"/>
  <c r="AU25" i="1"/>
  <c r="AU13" i="1"/>
  <c r="AU4" i="1"/>
  <c r="AT4" i="1"/>
  <c r="AT3" i="1"/>
  <c r="AU19" i="1"/>
  <c r="AT19" i="1"/>
  <c r="AU5" i="1"/>
  <c r="AT5" i="1"/>
  <c r="AU17" i="1"/>
  <c r="AU2" i="1"/>
  <c r="D23" i="3" l="1" a="1"/>
  <c r="D23" i="3" s="1"/>
  <c r="D24" i="3" a="1"/>
  <c r="D2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<sst xmlns="http://schemas.openxmlformats.org/spreadsheetml/2006/main" count="132" uniqueCount="121">
  <si>
    <t xml:space="preserve">رقم الجامعي </t>
  </si>
  <si>
    <t xml:space="preserve">أسماء الطلبة </t>
  </si>
  <si>
    <t xml:space="preserve">القرآن الكريم </t>
  </si>
  <si>
    <t>التوحيد 1</t>
  </si>
  <si>
    <t>التدوين في علم  العقيدة</t>
  </si>
  <si>
    <t xml:space="preserve">مناهج البحث </t>
  </si>
  <si>
    <t xml:space="preserve">المدخل إلى علوم القرآن </t>
  </si>
  <si>
    <t>التجويد</t>
  </si>
  <si>
    <t>النحو (1)</t>
  </si>
  <si>
    <t>English(2)</t>
  </si>
  <si>
    <t>التقدير</t>
  </si>
  <si>
    <t xml:space="preserve">شعيب حبيب كبي </t>
  </si>
  <si>
    <t xml:space="preserve">محمد إبراهيم توري </t>
  </si>
  <si>
    <t>فاطمة الأمين توري</t>
  </si>
  <si>
    <t xml:space="preserve">حليمة دمبا امبالو </t>
  </si>
  <si>
    <t xml:space="preserve">فاطمة إسماعيل بارو </t>
  </si>
  <si>
    <t>لالية شيخ تونكارا</t>
  </si>
  <si>
    <t xml:space="preserve">عثمان سراج كروما </t>
  </si>
  <si>
    <t xml:space="preserve">عائشة محمد توري </t>
  </si>
  <si>
    <t xml:space="preserve">جالبا محمد كونتي </t>
  </si>
  <si>
    <t xml:space="preserve">شيخ إبراهيم حيدرا </t>
  </si>
  <si>
    <t xml:space="preserve">مالا إبراهيم سانيا </t>
  </si>
  <si>
    <t xml:space="preserve">بنت كرمو سيلا </t>
  </si>
  <si>
    <t xml:space="preserve">جنة شيخنا درامي </t>
  </si>
  <si>
    <t>ماماسا شيخ تنكارا</t>
  </si>
  <si>
    <t xml:space="preserve">إبراهيم أبوبكر سيدي </t>
  </si>
  <si>
    <t xml:space="preserve">فاطمة الحاج دابو </t>
  </si>
  <si>
    <t>عمر دمبا كمارا</t>
  </si>
  <si>
    <t>محمد محمود تروالي</t>
  </si>
  <si>
    <t>بنت فودي سيسي</t>
  </si>
  <si>
    <t>يحيي كيبا بارو</t>
  </si>
  <si>
    <t>درامي محمد</t>
  </si>
  <si>
    <t>عمر محمد جاورا</t>
  </si>
  <si>
    <t xml:space="preserve">تيجان جدو سيصوغو </t>
  </si>
  <si>
    <t xml:space="preserve">إدريس باكر ماني </t>
  </si>
  <si>
    <t>الوزن</t>
  </si>
  <si>
    <t>مجموع النقاط</t>
  </si>
  <si>
    <t>مجموع الساعات</t>
  </si>
  <si>
    <t xml:space="preserve">المعدل الفصلي </t>
  </si>
  <si>
    <t>الترتيب</t>
  </si>
  <si>
    <t>الدرجة</t>
  </si>
  <si>
    <t xml:space="preserve">المعدلة </t>
  </si>
  <si>
    <t xml:space="preserve">رمز المعدلة </t>
  </si>
  <si>
    <t>ه</t>
  </si>
  <si>
    <t>راسب</t>
  </si>
  <si>
    <t>د</t>
  </si>
  <si>
    <t>مقبول</t>
  </si>
  <si>
    <t>د+</t>
  </si>
  <si>
    <t xml:space="preserve">مقبول مرتفع </t>
  </si>
  <si>
    <t>ج</t>
  </si>
  <si>
    <t xml:space="preserve">جيد </t>
  </si>
  <si>
    <t>ج+</t>
  </si>
  <si>
    <t xml:space="preserve">جيد مرتفع </t>
  </si>
  <si>
    <t>ب</t>
  </si>
  <si>
    <t xml:space="preserve">جيد جدا </t>
  </si>
  <si>
    <t>ب+</t>
  </si>
  <si>
    <t>جيد جد مرتفع</t>
  </si>
  <si>
    <t>أ</t>
  </si>
  <si>
    <t xml:space="preserve">ممتاز </t>
  </si>
  <si>
    <t xml:space="preserve">أ+ </t>
  </si>
  <si>
    <t xml:space="preserve">ممتاز مرتفع </t>
  </si>
  <si>
    <t>الساعة (م ق)</t>
  </si>
  <si>
    <t>الوزن (م ق)</t>
  </si>
  <si>
    <t>الرمز (م ق)</t>
  </si>
  <si>
    <t>النقاط(م ق)</t>
  </si>
  <si>
    <t>الساعة (م ت)</t>
  </si>
  <si>
    <t>الوزن (م ت)</t>
  </si>
  <si>
    <t>الرمز (م ت)</t>
  </si>
  <si>
    <t>النقاط (م ت)</t>
  </si>
  <si>
    <t>الساعة (م ت ع)</t>
  </si>
  <si>
    <t>الوزن (م ت ع)</t>
  </si>
  <si>
    <t>الرمز (م ت ع)</t>
  </si>
  <si>
    <t>النقاط (م ت ع)</t>
  </si>
  <si>
    <t>الساعة ( م ب)</t>
  </si>
  <si>
    <t>الوزن  ( م ب)</t>
  </si>
  <si>
    <t>الرمز  ( م ب)</t>
  </si>
  <si>
    <t>النقاط  ( م ب)</t>
  </si>
  <si>
    <t>الساعة ( م ع ق)</t>
  </si>
  <si>
    <t>الوزن ( م ع ق)</t>
  </si>
  <si>
    <t>الرمز  ( م ع ق)</t>
  </si>
  <si>
    <t>النقاط ( م ع ق)</t>
  </si>
  <si>
    <t>الساعة ( م تج)</t>
  </si>
  <si>
    <t>الوزن ( م تج)</t>
  </si>
  <si>
    <t>الرمز ( م تج)</t>
  </si>
  <si>
    <t>النقاط ( م تج)</t>
  </si>
  <si>
    <t>الساعة( م ن)</t>
  </si>
  <si>
    <t>الوزن ( م ن)</t>
  </si>
  <si>
    <t>الرمز ( م ن)</t>
  </si>
  <si>
    <t>النقاطة ( م ن)</t>
  </si>
  <si>
    <t>الساعة (مEng)</t>
  </si>
  <si>
    <t>الوزن (مEng)</t>
  </si>
  <si>
    <t>الرمز (مEng)</t>
  </si>
  <si>
    <t>النقاط  (مEng)</t>
  </si>
  <si>
    <t>الرقم الجامعي</t>
  </si>
  <si>
    <t>اسم الطالب/ ة</t>
  </si>
  <si>
    <t xml:space="preserve">الكلية </t>
  </si>
  <si>
    <t xml:space="preserve">المستوى </t>
  </si>
  <si>
    <t>الأول</t>
  </si>
  <si>
    <t>م</t>
  </si>
  <si>
    <t>الفصل الأول/ 2025-2026</t>
  </si>
  <si>
    <t>المقرر</t>
  </si>
  <si>
    <t xml:space="preserve">الدرجة النهائة </t>
  </si>
  <si>
    <t>النقاط</t>
  </si>
  <si>
    <t xml:space="preserve">اسمه </t>
  </si>
  <si>
    <t xml:space="preserve">رمزه </t>
  </si>
  <si>
    <t>ساعته</t>
  </si>
  <si>
    <t>وزنه</t>
  </si>
  <si>
    <t>رمزه</t>
  </si>
  <si>
    <t>المجموع</t>
  </si>
  <si>
    <t xml:space="preserve">المعدل الفصلي   </t>
  </si>
  <si>
    <t xml:space="preserve">المعدل التراكمي </t>
  </si>
  <si>
    <t xml:space="preserve">التقدير </t>
  </si>
  <si>
    <t xml:space="preserve">الترتيب </t>
  </si>
  <si>
    <t>العقيدة والدعوة</t>
  </si>
  <si>
    <t>قرأ 101</t>
  </si>
  <si>
    <t xml:space="preserve">عقد 101 </t>
  </si>
  <si>
    <t>ترب 101</t>
  </si>
  <si>
    <t>فسر 101</t>
  </si>
  <si>
    <t>عقد 101</t>
  </si>
  <si>
    <t>العقيدة 1</t>
  </si>
  <si>
    <t>لغة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</si>
</sst>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9">
    <font>
      <sz val="11"/>
      <color theme="1"/>
      <name val="Calibri"/>
      <family val="2"/>
      <scheme val="minor"/>
    </font>
    <font>
      <b/>
      <sz val="20"/>
      <color theme="1"/>
      <name val="Sakkal Majalla"/>
    </font>
    <font>
      <sz val="16"/>
      <color theme="1"/>
      <name val="Calibri"/>
      <family val="2"/>
      <scheme val="minor"/>
    </font>
    <font>
      <b/>
      <sz val="18"/>
      <color theme="1"/>
      <name val="Adobe Arabic"/>
      <family val="1"/>
    </font>
    <font>
      <sz val="14"/>
      <color theme="1"/>
      <name val="Albertus Medium"/>
      <family val="2"/>
    </font>
    <font>
      <b/>
      <sz val="18"/>
      <color theme="1"/>
      <name val="Traditional Arabic"/>
      <family val="1"/>
    </font>
    <font>
      <b/>
      <sz val="11"/>
      <name val="Lemonada SemiBold"/>
    </font>
    <font>
      <b/>
      <sz val="14"/>
      <color rgb="FFCC0000"/>
      <name val="Calibri"/>
      <family val="2"/>
      <scheme val="minor"/>
    </font>
    <font>
      <b/>
      <sz val="16"/>
      <color rgb="FF0000CC"/>
      <name val="Calibri"/>
      <family val="2"/>
      <scheme val="minor"/>
    </font>
    <font>
      <b/>
      <sz val="16"/>
      <color rgb="FF990099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rgb="FF10087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Lemonada Medium"/>
    </font>
    <font>
      <b/>
      <sz val="22"/>
      <color theme="0"/>
      <name val="Calibri Light"/>
      <family val="1"/>
      <scheme val="major"/>
    </font>
    <font>
      <b/>
      <sz val="16"/>
      <color theme="0"/>
      <name val="Simplified Arabic"/>
      <family val="1"/>
    </font>
    <font>
      <b/>
      <sz val="20"/>
      <color theme="0"/>
      <name val="Aharoni"/>
      <charset val="177"/>
    </font>
    <font>
      <b/>
      <sz val="12"/>
      <color theme="0"/>
      <name val="Lemonada Medium"/>
    </font>
    <font>
      <b/>
      <sz val="18"/>
      <color theme="1"/>
      <name val="Calibri"/>
      <family val="2"/>
      <scheme val="minor"/>
    </font>
    <font>
      <b/>
      <sz val="14"/>
      <name val="Al Qabas Bold"/>
      <charset val="178"/>
    </font>
    <font>
      <b/>
      <sz val="16"/>
      <name val="Al-Mohanad Bold"/>
      <family val="1"/>
    </font>
    <font>
      <sz val="14"/>
      <name val="Al Qabas Bold"/>
      <charset val="178"/>
    </font>
    <font>
      <b/>
      <sz val="18"/>
      <name val="Al-Mohanad Bold"/>
      <family val="1"/>
    </font>
    <font>
      <sz val="20"/>
      <name val="Al-Mohanad Bold"/>
      <family val="1"/>
    </font>
    <font>
      <sz val="16"/>
      <name val="Al-Mohanad Bold"/>
      <family val="1"/>
    </font>
    <font>
      <sz val="11"/>
      <color theme="1"/>
      <name val="Al Qabas Bold"/>
      <charset val="178"/>
    </font>
    <font>
      <sz val="20"/>
      <name val="Calibri Light"/>
      <family val="1"/>
      <scheme val="major"/>
    </font>
    <font>
      <b/>
      <sz val="18"/>
      <name val="Arabic Typesetting"/>
      <family val="4"/>
    </font>
    <font>
      <b/>
      <sz val="18"/>
      <color rgb="FFC00000"/>
      <name val="Sakkal Majalla"/>
    </font>
    <font>
      <b/>
      <sz val="22"/>
      <color rgb="FFC00000"/>
      <name val="Sakkal Majalla"/>
    </font>
    <font>
      <sz val="16"/>
      <color rgb="FF003300"/>
      <name val="Calibri"/>
      <family val="2"/>
      <scheme val="minor"/>
    </font>
    <font>
      <b/>
      <sz val="18"/>
      <color rgb="FF003300"/>
      <name val="Adobe Arabic"/>
      <family val="1"/>
    </font>
    <font>
      <b/>
      <sz val="12"/>
      <color rgb="FF003300"/>
      <name val="Al Qabas Bold"/>
      <charset val="178"/>
    </font>
    <font>
      <b/>
      <sz val="11"/>
      <color rgb="FF003300"/>
      <name val="Lemonada SemiBold"/>
    </font>
    <font>
      <b/>
      <sz val="14"/>
      <color rgb="FF0000CC"/>
      <name val="Rubik Black"/>
    </font>
    <font>
      <b/>
      <sz val="14"/>
      <color rgb="FFC00000"/>
      <name val="Rubik Black"/>
    </font>
    <font>
      <b/>
      <sz val="14"/>
      <color rgb="FF003300"/>
      <name val="Al Qabas Bold"/>
      <charset val="178"/>
    </font>
    <font>
      <b/>
      <sz val="20"/>
      <name val="Calibri Light"/>
      <family val="1"/>
      <scheme val="major"/>
    </font>
    <font>
      <b/>
      <sz val="16"/>
      <color rgb="FFFF0000"/>
      <name val="Sakkal Majalla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FF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CC33"/>
      </left>
      <right/>
      <top style="thin">
        <color rgb="FF33CC33"/>
      </top>
      <bottom style="thin">
        <color rgb="FF33CC33"/>
      </bottom>
      <diagonal/>
    </border>
    <border>
      <left/>
      <right/>
      <top style="thin">
        <color rgb="FF33CC33"/>
      </top>
      <bottom style="thin">
        <color rgb="FF33CC33"/>
      </bottom>
      <diagonal/>
    </border>
    <border>
      <left/>
      <right style="thin">
        <color rgb="FF33CC33"/>
      </right>
      <top style="thin">
        <color rgb="FF33CC33"/>
      </top>
      <bottom style="thin">
        <color rgb="FF33CC33"/>
      </bottom>
      <diagonal/>
    </border>
    <border>
      <left style="thin">
        <color rgb="FF33CC33"/>
      </left>
      <right/>
      <top style="thin">
        <color rgb="FF33CC33"/>
      </top>
      <bottom style="medium">
        <color indexed="64"/>
      </bottom>
      <diagonal/>
    </border>
    <border>
      <left/>
      <right/>
      <top style="thin">
        <color rgb="FF33CC33"/>
      </top>
      <bottom style="medium">
        <color indexed="64"/>
      </bottom>
      <diagonal/>
    </border>
    <border>
      <left/>
      <right style="thin">
        <color rgb="FF33CC33"/>
      </right>
      <top style="thin">
        <color rgb="FF33CC33"/>
      </top>
      <bottom style="medium">
        <color indexed="64"/>
      </bottom>
      <diagonal/>
    </border>
    <border>
      <left style="thin">
        <color rgb="FF33CC33"/>
      </left>
      <right/>
      <top style="thin">
        <color rgb="FF33CC33"/>
      </top>
      <bottom/>
      <diagonal/>
    </border>
    <border>
      <left/>
      <right/>
      <top style="thin">
        <color rgb="FF33CC33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textRotation="90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textRotation="90" shrinkToFit="1"/>
    </xf>
    <xf numFmtId="164" fontId="7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2" fontId="9" fillId="8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3" fillId="11" borderId="19" xfId="0" applyFont="1" applyFill="1" applyBorder="1"/>
    <xf numFmtId="0" fontId="24" fillId="11" borderId="1" xfId="0" applyFont="1" applyFill="1" applyBorder="1" applyAlignment="1">
      <alignment horizontal="center"/>
    </xf>
    <xf numFmtId="0" fontId="24" fillId="11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5" fillId="11" borderId="1" xfId="0" applyFont="1" applyFill="1" applyBorder="1" applyAlignment="1">
      <alignment horizontal="center"/>
    </xf>
    <xf numFmtId="0" fontId="12" fillId="0" borderId="22" xfId="0" applyFont="1" applyBorder="1" applyAlignment="1">
      <alignment horizontal="center" vertical="center"/>
    </xf>
    <xf numFmtId="0" fontId="26" fillId="12" borderId="20" xfId="0" applyFont="1" applyFill="1" applyBorder="1" applyAlignment="1">
      <alignment horizontal="center" vertical="center"/>
    </xf>
    <xf numFmtId="0" fontId="26" fillId="11" borderId="20" xfId="0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center" vertical="center"/>
    </xf>
    <xf numFmtId="164" fontId="26" fillId="14" borderId="20" xfId="0" applyNumberFormat="1" applyFont="1" applyFill="1" applyBorder="1" applyAlignment="1">
      <alignment horizontal="center" vertical="center"/>
    </xf>
    <xf numFmtId="0" fontId="26" fillId="14" borderId="20" xfId="0" applyFont="1" applyFill="1" applyBorder="1" applyAlignment="1">
      <alignment horizontal="center" vertical="center"/>
    </xf>
    <xf numFmtId="0" fontId="28" fillId="15" borderId="24" xfId="0" applyFont="1" applyFill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11" fillId="8" borderId="15" xfId="0" applyFont="1" applyFill="1" applyBorder="1" applyAlignment="1">
      <alignment horizontal="center"/>
    </xf>
    <xf numFmtId="0" fontId="2" fillId="0" borderId="3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/>
    </xf>
    <xf numFmtId="2" fontId="4" fillId="4" borderId="16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164" fontId="7" fillId="8" borderId="16" xfId="0" applyNumberFormat="1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2" fontId="9" fillId="8" borderId="16" xfId="0" applyNumberFormat="1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/>
    </xf>
    <xf numFmtId="0" fontId="11" fillId="8" borderId="38" xfId="0" applyFont="1" applyFill="1" applyBorder="1" applyAlignment="1">
      <alignment horizontal="center"/>
    </xf>
    <xf numFmtId="0" fontId="30" fillId="0" borderId="35" xfId="0" applyFont="1" applyBorder="1" applyAlignment="1">
      <alignment horizontal="center" vertical="center" textRotation="90"/>
    </xf>
    <xf numFmtId="0" fontId="30" fillId="0" borderId="20" xfId="0" applyFont="1" applyBorder="1" applyAlignment="1">
      <alignment horizontal="center" vertical="center" textRotation="90"/>
    </xf>
    <xf numFmtId="0" fontId="31" fillId="3" borderId="20" xfId="0" applyFont="1" applyFill="1" applyBorder="1" applyAlignment="1">
      <alignment horizontal="center" vertical="center" textRotation="90"/>
    </xf>
    <xf numFmtId="0" fontId="30" fillId="9" borderId="20" xfId="0" applyFont="1" applyFill="1" applyBorder="1" applyAlignment="1">
      <alignment horizontal="center" vertical="center" textRotation="90"/>
    </xf>
    <xf numFmtId="0" fontId="32" fillId="4" borderId="20" xfId="0" applyFont="1" applyFill="1" applyBorder="1" applyAlignment="1">
      <alignment horizontal="center" vertical="center" textRotation="90"/>
    </xf>
    <xf numFmtId="0" fontId="32" fillId="2" borderId="20" xfId="0" applyFont="1" applyFill="1" applyBorder="1" applyAlignment="1">
      <alignment horizontal="center" vertical="center" textRotation="90"/>
    </xf>
    <xf numFmtId="0" fontId="32" fillId="5" borderId="20" xfId="0" applyFont="1" applyFill="1" applyBorder="1" applyAlignment="1">
      <alignment horizontal="center" vertical="center" textRotation="90"/>
    </xf>
    <xf numFmtId="0" fontId="33" fillId="6" borderId="20" xfId="0" applyFont="1" applyFill="1" applyBorder="1" applyAlignment="1">
      <alignment horizontal="center" vertical="center" textRotation="90" shrinkToFit="1"/>
    </xf>
    <xf numFmtId="0" fontId="33" fillId="7" borderId="20" xfId="0" applyFont="1" applyFill="1" applyBorder="1" applyAlignment="1">
      <alignment horizontal="center" vertical="center" textRotation="90" shrinkToFit="1"/>
    </xf>
    <xf numFmtId="0" fontId="33" fillId="6" borderId="36" xfId="0" applyFont="1" applyFill="1" applyBorder="1" applyAlignment="1">
      <alignment horizontal="center" vertical="center" textRotation="90" shrinkToFit="1"/>
    </xf>
    <xf numFmtId="0" fontId="12" fillId="0" borderId="0" xfId="0" applyFont="1" applyAlignment="1">
      <alignment horizontal="center"/>
    </xf>
    <xf numFmtId="0" fontId="37" fillId="13" borderId="20" xfId="0" applyFont="1" applyFill="1" applyBorder="1" applyAlignment="1">
      <alignment horizontal="center" vertical="center"/>
    </xf>
    <xf numFmtId="0" fontId="29" fillId="15" borderId="26" xfId="0" applyFont="1" applyFill="1" applyBorder="1" applyAlignment="1">
      <alignment horizontal="center" vertical="center"/>
    </xf>
    <xf numFmtId="2" fontId="29" fillId="15" borderId="27" xfId="0" applyNumberFormat="1" applyFont="1" applyFill="1" applyBorder="1" applyAlignment="1">
      <alignment horizontal="center" vertical="center"/>
    </xf>
    <xf numFmtId="0" fontId="38" fillId="0" borderId="20" xfId="0" applyFont="1" applyBorder="1" applyAlignment="1">
      <alignment horizontal="right" vertical="center"/>
    </xf>
    <xf numFmtId="0" fontId="38" fillId="0" borderId="20" xfId="0" applyFont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8" fillId="11" borderId="10" xfId="0" applyFont="1" applyFill="1" applyBorder="1" applyAlignment="1">
      <alignment horizontal="center" vertical="center"/>
    </xf>
    <xf numFmtId="0" fontId="18" fillId="11" borderId="13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19" fillId="11" borderId="11" xfId="0" applyFont="1" applyFill="1" applyBorder="1" applyAlignment="1">
      <alignment horizontal="center" vertical="center"/>
    </xf>
    <xf numFmtId="0" fontId="19" fillId="11" borderId="12" xfId="0" applyFont="1" applyFill="1" applyBorder="1" applyAlignment="1">
      <alignment horizontal="center" vertical="center"/>
    </xf>
    <xf numFmtId="0" fontId="20" fillId="11" borderId="14" xfId="0" applyFont="1" applyFill="1" applyBorder="1" applyAlignment="1">
      <alignment horizontal="center" vertical="center"/>
    </xf>
    <xf numFmtId="0" fontId="20" fillId="11" borderId="15" xfId="0" applyFont="1" applyFill="1" applyBorder="1" applyAlignment="1">
      <alignment horizontal="center" vertical="center"/>
    </xf>
    <xf numFmtId="0" fontId="21" fillId="11" borderId="16" xfId="0" applyFont="1" applyFill="1" applyBorder="1" applyAlignment="1">
      <alignment horizontal="center" vertical="center" wrapText="1"/>
    </xf>
    <xf numFmtId="0" fontId="21" fillId="11" borderId="20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/>
    </xf>
    <xf numFmtId="0" fontId="22" fillId="11" borderId="17" xfId="0" applyFont="1" applyFill="1" applyBorder="1" applyAlignment="1">
      <alignment horizontal="center" vertical="center"/>
    </xf>
    <xf numFmtId="0" fontId="22" fillId="11" borderId="21" xfId="0" applyFont="1" applyFill="1" applyBorder="1" applyAlignment="1">
      <alignment horizontal="center" vertical="center"/>
    </xf>
    <xf numFmtId="0" fontId="28" fillId="15" borderId="23" xfId="0" applyFont="1" applyFill="1" applyBorder="1" applyAlignment="1">
      <alignment horizontal="center" vertical="top"/>
    </xf>
    <xf numFmtId="0" fontId="28" fillId="15" borderId="24" xfId="0" applyFont="1" applyFill="1" applyBorder="1" applyAlignment="1">
      <alignment horizontal="center" vertical="top"/>
    </xf>
    <xf numFmtId="0" fontId="28" fillId="15" borderId="25" xfId="0" applyFont="1" applyFill="1" applyBorder="1" applyAlignment="1">
      <alignment horizontal="center" vertical="top"/>
    </xf>
    <xf numFmtId="0" fontId="28" fillId="15" borderId="28" xfId="0" applyFont="1" applyFill="1" applyBorder="1" applyAlignment="1">
      <alignment horizontal="right" vertical="top"/>
    </xf>
    <xf numFmtId="0" fontId="28" fillId="15" borderId="14" xfId="0" applyFont="1" applyFill="1" applyBorder="1" applyAlignment="1">
      <alignment horizontal="right" vertical="top"/>
    </xf>
    <xf numFmtId="0" fontId="28" fillId="15" borderId="15" xfId="0" applyFont="1" applyFill="1" applyBorder="1" applyAlignment="1">
      <alignment horizontal="right" vertical="top"/>
    </xf>
    <xf numFmtId="0" fontId="28" fillId="15" borderId="28" xfId="0" applyFont="1" applyFill="1" applyBorder="1" applyAlignment="1">
      <alignment vertical="top"/>
    </xf>
    <xf numFmtId="0" fontId="28" fillId="15" borderId="14" xfId="0" applyFont="1" applyFill="1" applyBorder="1" applyAlignment="1">
      <alignment vertical="top"/>
    </xf>
    <xf numFmtId="0" fontId="28" fillId="15" borderId="15" xfId="0" applyFont="1" applyFill="1" applyBorder="1" applyAlignment="1">
      <alignment vertical="top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28" fillId="15" borderId="31" xfId="0" applyFont="1" applyFill="1" applyBorder="1" applyAlignment="1">
      <alignment horizontal="right" vertical="top"/>
    </xf>
    <xf numFmtId="0" fontId="28" fillId="15" borderId="32" xfId="0" applyFont="1" applyFill="1" applyBorder="1" applyAlignment="1">
      <alignment horizontal="right" vertical="top"/>
    </xf>
    <xf numFmtId="0" fontId="28" fillId="15" borderId="19" xfId="0" applyFont="1" applyFill="1" applyBorder="1" applyAlignment="1">
      <alignment horizontal="right" vertical="top"/>
    </xf>
    <xf numFmtId="0" fontId="29" fillId="15" borderId="33" xfId="0" applyFont="1" applyFill="1" applyBorder="1" applyAlignment="1">
      <alignment horizontal="center" vertical="center"/>
    </xf>
    <xf numFmtId="0" fontId="29" fillId="15" borderId="32" xfId="0" applyFont="1" applyFill="1" applyBorder="1" applyAlignment="1">
      <alignment horizontal="center" vertical="center"/>
    </xf>
    <xf numFmtId="0" fontId="29" fillId="15" borderId="34" xfId="0" applyFont="1" applyFill="1" applyBorder="1" applyAlignment="1">
      <alignment horizontal="center" vertical="center"/>
    </xf>
    <xf numFmtId="2" fontId="35" fillId="15" borderId="29" xfId="0" applyNumberFormat="1" applyFont="1" applyFill="1" applyBorder="1" applyAlignment="1">
      <alignment horizontal="center"/>
    </xf>
    <xf numFmtId="2" fontId="35" fillId="15" borderId="14" xfId="0" applyNumberFormat="1" applyFont="1" applyFill="1" applyBorder="1" applyAlignment="1">
      <alignment horizontal="center"/>
    </xf>
    <xf numFmtId="2" fontId="35" fillId="15" borderId="30" xfId="0" applyNumberFormat="1" applyFont="1" applyFill="1" applyBorder="1" applyAlignment="1">
      <alignment horizontal="center"/>
    </xf>
    <xf numFmtId="2" fontId="34" fillId="15" borderId="29" xfId="0" applyNumberFormat="1" applyFont="1" applyFill="1" applyBorder="1" applyAlignment="1">
      <alignment horizontal="center"/>
    </xf>
    <xf numFmtId="2" fontId="34" fillId="15" borderId="14" xfId="0" applyNumberFormat="1" applyFont="1" applyFill="1" applyBorder="1" applyAlignment="1">
      <alignment horizontal="center"/>
    </xf>
    <xf numFmtId="2" fontId="34" fillId="15" borderId="30" xfId="0" applyNumberFormat="1" applyFont="1" applyFill="1" applyBorder="1" applyAlignment="1">
      <alignment horizontal="center"/>
    </xf>
    <xf numFmtId="2" fontId="36" fillId="15" borderId="29" xfId="0" applyNumberFormat="1" applyFont="1" applyFill="1" applyBorder="1" applyAlignment="1">
      <alignment horizontal="center" vertical="center"/>
    </xf>
    <xf numFmtId="2" fontId="36" fillId="15" borderId="14" xfId="0" applyNumberFormat="1" applyFont="1" applyFill="1" applyBorder="1" applyAlignment="1">
      <alignment horizontal="center" vertical="center"/>
    </xf>
    <xf numFmtId="2" fontId="36" fillId="15" borderId="30" xfId="0" applyNumberFormat="1" applyFont="1" applyFill="1" applyBorder="1" applyAlignment="1">
      <alignment horizontal="center" vertical="center"/>
    </xf>
  </cellXfs>
  <cellStyles count="1">
    <cellStyle name="عادي" xfId="0" builtinId="0"/>
  </cellStyles>
  <dxfs count="6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100872"/>
        <name val="Arial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990099"/>
        <name val="Arial"/>
        <family val="2"/>
        <scheme val="minor"/>
      </font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CC"/>
        <name val="Arial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C0000"/>
        <name val="Arial"/>
        <family val="2"/>
        <scheme val="minor"/>
      </font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bertus Medium"/>
        <family val="2"/>
        <scheme val="none"/>
      </font>
      <fill>
        <patternFill patternType="solid">
          <fgColor indexed="64"/>
          <bgColor rgb="FFCC66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bertus Medium"/>
        <family val="2"/>
        <scheme val="none"/>
      </font>
      <numFmt numFmtId="2" formatCode="0.00"/>
      <fill>
        <patternFill patternType="solid">
          <fgColor indexed="64"/>
          <bgColor rgb="FF99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dobe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bertus Medium"/>
        <family val="2"/>
        <scheme val="none"/>
      </font>
      <fill>
        <patternFill patternType="solid">
          <fgColor indexed="64"/>
          <bgColor rgb="FFCC66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bertus Medium"/>
        <family val="2"/>
        <scheme val="none"/>
      </font>
      <numFmt numFmtId="2" formatCode="0.00"/>
      <fill>
        <patternFill patternType="solid">
          <fgColor indexed="64"/>
          <bgColor rgb="FF99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dobe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bertus Medium"/>
        <family val="2"/>
        <scheme val="none"/>
      </font>
      <fill>
        <patternFill patternType="solid">
          <fgColor indexed="64"/>
          <bgColor rgb="FFCC66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bertus Medium"/>
        <family val="2"/>
        <scheme val="none"/>
      </font>
      <numFmt numFmtId="2" formatCode="0.00"/>
      <fill>
        <patternFill patternType="solid">
          <fgColor indexed="64"/>
          <bgColor rgb="FF99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dobe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bertus Medium"/>
        <family val="2"/>
        <scheme val="none"/>
      </font>
      <fill>
        <patternFill patternType="solid">
          <fgColor indexed="64"/>
          <bgColor rgb="FFCC66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bertus Medium"/>
        <family val="2"/>
        <scheme val="none"/>
      </font>
      <numFmt numFmtId="2" formatCode="0.00"/>
      <fill>
        <patternFill patternType="solid">
          <fgColor indexed="64"/>
          <bgColor rgb="FF99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dobe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bertus Medium"/>
        <family val="2"/>
        <scheme val="none"/>
      </font>
      <fill>
        <patternFill patternType="solid">
          <fgColor indexed="64"/>
          <bgColor rgb="FFCC66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bertus Medium"/>
        <family val="2"/>
        <scheme val="none"/>
      </font>
      <numFmt numFmtId="2" formatCode="0.00"/>
      <fill>
        <patternFill patternType="solid">
          <fgColor indexed="64"/>
          <bgColor rgb="FF99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dobe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bertus Medium"/>
        <family val="2"/>
        <scheme val="none"/>
      </font>
      <fill>
        <patternFill patternType="solid">
          <fgColor indexed="64"/>
          <bgColor rgb="FFCC66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bertus Medium"/>
        <family val="2"/>
        <scheme val="none"/>
      </font>
      <numFmt numFmtId="2" formatCode="0.00"/>
      <fill>
        <patternFill patternType="solid">
          <fgColor indexed="64"/>
          <bgColor rgb="FF99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dobe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bertus Medium"/>
        <family val="2"/>
        <scheme val="none"/>
      </font>
      <fill>
        <patternFill patternType="solid">
          <fgColor indexed="64"/>
          <bgColor rgb="FFCC66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bertus Medium"/>
        <family val="2"/>
        <scheme val="none"/>
      </font>
      <numFmt numFmtId="2" formatCode="0.00"/>
      <fill>
        <patternFill patternType="solid">
          <fgColor indexed="64"/>
          <bgColor rgb="FF99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dobe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bertus Medium"/>
        <family val="2"/>
        <scheme val="none"/>
      </font>
      <fill>
        <patternFill patternType="solid">
          <fgColor indexed="64"/>
          <bgColor rgb="FFCC66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bertus Medium"/>
        <family val="2"/>
        <scheme val="none"/>
      </font>
      <numFmt numFmtId="2" formatCode="0.00"/>
      <fill>
        <patternFill patternType="solid">
          <fgColor indexed="64"/>
          <bgColor rgb="FF99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dobe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3300"/>
        <name val="Lemonada SemiBold"/>
        <scheme val="none"/>
      </font>
      <fill>
        <patternFill patternType="solid">
          <fgColor indexed="64"/>
          <bgColor rgb="FFFFFFCC"/>
        </patternFill>
      </fill>
      <alignment horizontal="center" vertical="center" textRotation="9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24</xdr:row>
      <xdr:rowOff>0</xdr:rowOff>
    </xdr:from>
    <xdr:to>
      <xdr:col>7</xdr:col>
      <xdr:colOff>609600</xdr:colOff>
      <xdr:row>25</xdr:row>
      <xdr:rowOff>160020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D420874F-C0D1-4C37-B646-1F9FEDF12F84}"/>
            </a:ext>
          </a:extLst>
        </xdr:cNvPr>
        <xdr:cNvSpPr txBox="1"/>
      </xdr:nvSpPr>
      <xdr:spPr>
        <a:xfrm>
          <a:off x="11230714140" y="8115300"/>
          <a:ext cx="1668780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200" b="1" kern="1200"/>
            <a:t>     توقيع مدير الامتحانات </a:t>
          </a:r>
        </a:p>
      </xdr:txBody>
    </xdr:sp>
    <xdr:clientData/>
  </xdr:twoCellAnchor>
  <xdr:twoCellAnchor>
    <xdr:from>
      <xdr:col>0</xdr:col>
      <xdr:colOff>15240</xdr:colOff>
      <xdr:row>0</xdr:row>
      <xdr:rowOff>7620</xdr:rowOff>
    </xdr:from>
    <xdr:to>
      <xdr:col>7</xdr:col>
      <xdr:colOff>792480</xdr:colOff>
      <xdr:row>4</xdr:row>
      <xdr:rowOff>0</xdr:rowOff>
    </xdr:to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6F1A6147-D965-402A-946A-A4D8D2CA4341}"/>
            </a:ext>
          </a:extLst>
        </xdr:cNvPr>
        <xdr:cNvSpPr txBox="1"/>
      </xdr:nvSpPr>
      <xdr:spPr>
        <a:xfrm>
          <a:off x="11230676040" y="7620"/>
          <a:ext cx="6156960" cy="693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ar-SA" sz="2400" b="1">
              <a:solidFill>
                <a:schemeClr val="bg1"/>
              </a:solidFill>
            </a:rPr>
            <a:t>                                                      </a:t>
          </a:r>
          <a:endParaRPr lang="ar-SA" sz="2400" b="1">
            <a:solidFill>
              <a:schemeClr val="bg1"/>
            </a:solidFill>
            <a:latin typeface="Al Qabas Bold" panose="00000800000000000000" pitchFamily="2" charset="-78"/>
            <a:cs typeface="Al Qabas Bold" panose="00000800000000000000" pitchFamily="2" charset="-78"/>
          </a:endParaRP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1</xdr:col>
      <xdr:colOff>1264920</xdr:colOff>
      <xdr:row>25</xdr:row>
      <xdr:rowOff>167640</xdr:rowOff>
    </xdr:to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9BE9C10F-90BF-4418-A994-FAE0D49A2059}"/>
            </a:ext>
          </a:extLst>
        </xdr:cNvPr>
        <xdr:cNvSpPr txBox="1"/>
      </xdr:nvSpPr>
      <xdr:spPr>
        <a:xfrm>
          <a:off x="11235293760" y="8115300"/>
          <a:ext cx="16078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200" b="1" kern="1200"/>
            <a:t>     توقيع مدير الجامعة  </a:t>
          </a:r>
        </a:p>
      </xdr:txBody>
    </xdr:sp>
    <xdr:clientData/>
  </xdr:twoCellAnchor>
  <xdr:twoCellAnchor>
    <xdr:from>
      <xdr:col>2</xdr:col>
      <xdr:colOff>91440</xdr:colOff>
      <xdr:row>24</xdr:row>
      <xdr:rowOff>0</xdr:rowOff>
    </xdr:from>
    <xdr:to>
      <xdr:col>5</xdr:col>
      <xdr:colOff>182880</xdr:colOff>
      <xdr:row>26</xdr:row>
      <xdr:rowOff>0</xdr:rowOff>
    </xdr:to>
    <xdr:sp macro="" textlink="">
      <xdr:nvSpPr>
        <xdr:cNvPr id="5" name="مربع نص 4">
          <a:extLst>
            <a:ext uri="{FF2B5EF4-FFF2-40B4-BE49-F238E27FC236}">
              <a16:creationId xmlns:a16="http://schemas.microsoft.com/office/drawing/2014/main" id="{B9214254-DCD6-4377-B506-31A68428173C}"/>
            </a:ext>
          </a:extLst>
        </xdr:cNvPr>
        <xdr:cNvSpPr txBox="1"/>
      </xdr:nvSpPr>
      <xdr:spPr>
        <a:xfrm>
          <a:off x="11232512460" y="8115300"/>
          <a:ext cx="224028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200" b="1" kern="1200"/>
            <a:t>     الختم</a:t>
          </a:r>
          <a:r>
            <a:rPr lang="ar-SA" sz="1200" b="1" kern="1200" baseline="0"/>
            <a:t> الرسمي </a:t>
          </a:r>
          <a:endParaRPr lang="ar-SA" sz="1200" b="1" kern="1200"/>
        </a:p>
      </xdr:txBody>
    </xdr:sp>
    <xdr:clientData/>
  </xdr:twoCellAnchor>
  <xdr:twoCellAnchor>
    <xdr:from>
      <xdr:col>0</xdr:col>
      <xdr:colOff>365760</xdr:colOff>
      <xdr:row>1</xdr:row>
      <xdr:rowOff>91440</xdr:rowOff>
    </xdr:from>
    <xdr:to>
      <xdr:col>2</xdr:col>
      <xdr:colOff>441960</xdr:colOff>
      <xdr:row>3</xdr:row>
      <xdr:rowOff>76200</xdr:rowOff>
    </xdr:to>
    <xdr:sp macro="" textlink="">
      <xdr:nvSpPr>
        <xdr:cNvPr id="6" name="مستطيل 5">
          <a:extLst>
            <a:ext uri="{FF2B5EF4-FFF2-40B4-BE49-F238E27FC236}">
              <a16:creationId xmlns:a16="http://schemas.microsoft.com/office/drawing/2014/main" id="{18882A8C-48B6-4A4C-8C12-A689D0EE8AF9}"/>
            </a:ext>
          </a:extLst>
        </xdr:cNvPr>
        <xdr:cNvSpPr/>
      </xdr:nvSpPr>
      <xdr:spPr>
        <a:xfrm>
          <a:off x="11234402220" y="266700"/>
          <a:ext cx="21564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ar-SA" sz="1600" b="1">
              <a:solidFill>
                <a:srgbClr val="0070C0"/>
              </a:solidFill>
              <a:latin typeface="Al Qabas Bold" panose="00000800000000000000" pitchFamily="2" charset="-78"/>
              <a:cs typeface="Al Qabas Bold" panose="00000800000000000000" pitchFamily="2" charset="-78"/>
            </a:rPr>
            <a:t>كلية</a:t>
          </a:r>
          <a:r>
            <a:rPr lang="ar-SA" sz="1600" b="1" baseline="0">
              <a:solidFill>
                <a:srgbClr val="0070C0"/>
              </a:solidFill>
              <a:latin typeface="Al Qabas Bold" panose="00000800000000000000" pitchFamily="2" charset="-78"/>
              <a:cs typeface="Al Qabas Bold" panose="00000800000000000000" pitchFamily="2" charset="-78"/>
            </a:rPr>
            <a:t> </a:t>
          </a:r>
          <a:r>
            <a:rPr lang="ar-SY" sz="1600" b="1" baseline="0">
              <a:solidFill>
                <a:srgbClr val="0070C0"/>
              </a:solidFill>
              <a:latin typeface="Al Qabas Bold" panose="00000800000000000000" pitchFamily="2" charset="-78"/>
              <a:cs typeface="Al Qabas Bold" panose="00000800000000000000" pitchFamily="2" charset="-78"/>
            </a:rPr>
            <a:t>العقيدة والدعوة </a:t>
          </a:r>
          <a:endParaRPr lang="ar-SA" sz="1600" b="1">
            <a:solidFill>
              <a:srgbClr val="0070C0"/>
            </a:solidFill>
            <a:latin typeface="Al Qabas Bold" panose="00000800000000000000" pitchFamily="2" charset="-78"/>
            <a:cs typeface="Al Qabas Bold" panose="00000800000000000000" pitchFamily="2" charset="-7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OneDrive\Desktop\&#1575;&#1604;&#1578;&#1585;&#1575;&#1603;&#1605;&#1610;\&#1575;&#1604;&#1601;&#1608;&#1580;%20&#1575;&#1604;&#1579;&#1575;&#1606;&#1610;%20&#1581;&#1583;&#1583;&#1610;&#1579;.xlsx" TargetMode="External"/><Relationship Id="rId1" Type="http://schemas.openxmlformats.org/officeDocument/2006/relationships/externalLinkPath" Target="&#1575;&#1604;&#1601;&#1608;&#1580;%20&#1575;&#1604;&#1579;&#1575;&#1606;&#1610;%20&#1581;&#1583;&#1583;&#1610;&#157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المستوى الأول "/>
      <sheetName val="المستوى الثاني "/>
      <sheetName val="المستوى الثالث "/>
      <sheetName val="المرجع"/>
      <sheetName val="ورقة1"/>
      <sheetName val="كشف الدجات "/>
    </sheetNames>
    <sheetDataSet>
      <sheetData sheetId="0"/>
      <sheetData sheetId="1"/>
      <sheetData sheetId="2"/>
      <sheetData sheetId="3">
        <row r="2">
          <cell r="B2" t="str">
            <v>الدرجة</v>
          </cell>
          <cell r="C2" t="str">
            <v>الوزن</v>
          </cell>
          <cell r="D2" t="str">
            <v xml:space="preserve">المعدلة </v>
          </cell>
          <cell r="E2" t="str">
            <v xml:space="preserve">رمز المعدلة </v>
          </cell>
        </row>
        <row r="3">
          <cell r="B3">
            <v>0</v>
          </cell>
          <cell r="C3">
            <v>0</v>
          </cell>
          <cell r="D3">
            <v>0</v>
          </cell>
          <cell r="E3" t="str">
            <v>ه</v>
          </cell>
        </row>
        <row r="4">
          <cell r="B4">
            <v>50</v>
          </cell>
          <cell r="C4">
            <v>2</v>
          </cell>
          <cell r="D4">
            <v>2</v>
          </cell>
          <cell r="E4" t="str">
            <v>د</v>
          </cell>
        </row>
        <row r="5">
          <cell r="B5">
            <v>65</v>
          </cell>
          <cell r="C5">
            <v>2.5</v>
          </cell>
          <cell r="D5">
            <v>2.1</v>
          </cell>
          <cell r="E5" t="str">
            <v>د+</v>
          </cell>
        </row>
        <row r="6">
          <cell r="B6">
            <v>70</v>
          </cell>
          <cell r="C6">
            <v>3</v>
          </cell>
          <cell r="D6">
            <v>2.6</v>
          </cell>
          <cell r="E6" t="str">
            <v>ج</v>
          </cell>
        </row>
        <row r="7">
          <cell r="B7">
            <v>75</v>
          </cell>
          <cell r="C7">
            <v>3.5</v>
          </cell>
          <cell r="D7">
            <v>3.1</v>
          </cell>
          <cell r="E7" t="str">
            <v>ج+</v>
          </cell>
        </row>
        <row r="8">
          <cell r="B8">
            <v>80</v>
          </cell>
          <cell r="C8">
            <v>4</v>
          </cell>
          <cell r="D8">
            <v>3.6</v>
          </cell>
          <cell r="E8" t="str">
            <v>ب</v>
          </cell>
        </row>
        <row r="9">
          <cell r="B9">
            <v>85</v>
          </cell>
          <cell r="C9">
            <v>4.5</v>
          </cell>
          <cell r="D9">
            <v>4.0999999999999996</v>
          </cell>
          <cell r="E9" t="str">
            <v>ب+</v>
          </cell>
        </row>
        <row r="10">
          <cell r="B10">
            <v>90</v>
          </cell>
          <cell r="C10">
            <v>4.75</v>
          </cell>
          <cell r="D10">
            <v>4.5999999999999996</v>
          </cell>
          <cell r="E10" t="str">
            <v>أ</v>
          </cell>
        </row>
        <row r="11">
          <cell r="B11">
            <v>95</v>
          </cell>
          <cell r="C11">
            <v>5</v>
          </cell>
          <cell r="D11">
            <v>4.76</v>
          </cell>
          <cell r="E11" t="str">
            <v xml:space="preserve">أ+ </v>
          </cell>
        </row>
      </sheetData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A6C63-A607-4D68-947A-6DD901702CD6}" name="الجدول1" displayName="الجدول1" ref="A1:AU25" totalsRowShown="0" headerRowDxfId="60" headerRowBorderDxfId="59" tableBorderDxfId="58" totalsRowBorderDxfId="57">
  <autoFilter ref="A1:AU25" xr:uid="{00000000-0001-0000-0000-000000000000}"/>
  <sortState xmlns:xlrd2="http://schemas.microsoft.com/office/spreadsheetml/2017/richdata2" ref="A2:AU25">
    <sortCondition ref="AU1:AU25"/>
  </sortState>
  <tableColumns count="47">
    <tableColumn id="1" xr3:uid="{E4ECCAC9-4B56-4BEF-8B9C-C2E2F6563476}" name="رقم الجامعي " dataDxfId="56"/>
    <tableColumn id="2" xr3:uid="{3C1F792A-9029-4E2C-B57B-EAB576AFD370}" name="أسماء الطلبة " dataDxfId="55"/>
    <tableColumn id="3" xr3:uid="{8FB14ADB-51F0-4DF1-8F36-B304A9C4937A}" name="الساعة (م ق)" dataDxfId="54"/>
    <tableColumn id="4" xr3:uid="{2013F198-9919-4E91-AC6A-96C436E7CA84}" name="القرآن الكريم " dataDxfId="53"/>
    <tableColumn id="5" xr3:uid="{E8B81B96-CDA1-4371-B83C-8E5311D19F9D}" name="الوزن (م ق)" dataDxfId="52">
      <calculatedColumnFormula>VLOOKUP(D2,[1]المرجع!$B$2:$C$11,2)</calculatedColumnFormula>
    </tableColumn>
    <tableColumn id="6" xr3:uid="{AC999A51-508E-4F81-B003-E2AA693C7640}" name="الرمز (م ق)" dataDxfId="51">
      <calculatedColumnFormula>VLOOKUP(E2,[1]المرجع!$D$2:$E$11,2)</calculatedColumnFormula>
    </tableColumn>
    <tableColumn id="7" xr3:uid="{4476FD66-338E-4F31-A97A-E601A92FDE55}" name="النقاط(م ق)" dataDxfId="50">
      <calculatedColumnFormula>E2*C2</calculatedColumnFormula>
    </tableColumn>
    <tableColumn id="8" xr3:uid="{0173DBD3-6AEB-4848-A148-A8EFDA55C997}" name="الساعة (م ت)" dataDxfId="49"/>
    <tableColumn id="9" xr3:uid="{D3C37765-34B4-48A6-9AE5-C00834F17C22}" name="التوحيد 1" dataDxfId="48"/>
    <tableColumn id="10" xr3:uid="{62DE8414-1614-427F-BA38-136AC31D4604}" name="الوزن (م ت)" dataDxfId="47">
      <calculatedColumnFormula>VLOOKUP(I2,[1]المرجع!$B$2:$C$11,2)</calculatedColumnFormula>
    </tableColumn>
    <tableColumn id="11" xr3:uid="{BAD63FCB-6D48-4EF1-9DE7-75888169E71C}" name="الرمز (م ت)" dataDxfId="46">
      <calculatedColumnFormula>VLOOKUP(J2,[1]المرجع!$D$2:$E$11,2)</calculatedColumnFormula>
    </tableColumn>
    <tableColumn id="12" xr3:uid="{49614C61-F1A7-4E9A-A7DD-69AF3953543E}" name="النقاط (م ت)" dataDxfId="45">
      <calculatedColumnFormula>J2*H2</calculatedColumnFormula>
    </tableColumn>
    <tableColumn id="13" xr3:uid="{F3E6C2F8-567B-4F9D-9727-6EAA7F52BD71}" name="الساعة (م ت ع)" dataDxfId="44"/>
    <tableColumn id="14" xr3:uid="{3A1FE1EE-6BE3-42F7-A281-8B75DC07822B}" name="التدوين في علم  العقيدة" dataDxfId="43"/>
    <tableColumn id="15" xr3:uid="{E4CE59A9-3789-4FE3-B961-1B5602F9012D}" name="الوزن (م ت ع)" dataDxfId="42">
      <calculatedColumnFormula>VLOOKUP(N2,[1]المرجع!$B$2:$C$11,2)</calculatedColumnFormula>
    </tableColumn>
    <tableColumn id="16" xr3:uid="{B39CBFA5-2D82-40F4-AD07-76AD80A42197}" name="الرمز (م ت ع)" dataDxfId="41">
      <calculatedColumnFormula>VLOOKUP(O2,[1]المرجع!$D$2:$E$11,2)</calculatedColumnFormula>
    </tableColumn>
    <tableColumn id="17" xr3:uid="{C59DF4AA-3E22-4D7C-A5CA-4C545D4A4B50}" name="النقاط (م ت ع)" dataDxfId="40">
      <calculatedColumnFormula>O2*M2</calculatedColumnFormula>
    </tableColumn>
    <tableColumn id="18" xr3:uid="{C7C3AFA6-2FBE-4ACE-959D-B0E4C519BE8D}" name="الساعة ( م ب)" dataDxfId="39"/>
    <tableColumn id="19" xr3:uid="{4731C233-E380-411F-9A6F-BEB3768B97C6}" name="مناهج البحث " dataDxfId="38"/>
    <tableColumn id="20" xr3:uid="{35F9A8F5-9BD7-4EBB-A6A6-E2E50888E3AA}" name="الوزن  ( م ب)" dataDxfId="37">
      <calculatedColumnFormula>VLOOKUP(S2,[1]المرجع!$B$2:$C$11,2)</calculatedColumnFormula>
    </tableColumn>
    <tableColumn id="21" xr3:uid="{44A6E0F8-3540-45F4-9E84-DB4D759694A0}" name="الرمز  ( م ب)" dataDxfId="36">
      <calculatedColumnFormula>VLOOKUP(T2,[1]المرجع!$D$2:$E$11,2)</calculatedColumnFormula>
    </tableColumn>
    <tableColumn id="22" xr3:uid="{3DBA8D7D-5CAE-407E-89D3-93041B6D3672}" name="النقاط  ( م ب)" dataDxfId="35">
      <calculatedColumnFormula>T2*R2</calculatedColumnFormula>
    </tableColumn>
    <tableColumn id="23" xr3:uid="{F56D6ABE-55C4-45BB-9A2E-22015BF1CCE4}" name="الساعة ( م ع ق)" dataDxfId="34"/>
    <tableColumn id="24" xr3:uid="{127D005A-47E6-4EA5-9BF5-8CE15FCF7A8C}" name="المدخل إلى علوم القرآن " dataDxfId="33"/>
    <tableColumn id="25" xr3:uid="{137FF15A-CAD1-4773-ABB9-A1199AB159A1}" name="الوزن ( م ع ق)" dataDxfId="32">
      <calculatedColumnFormula>VLOOKUP(X2,[1]المرجع!$B$2:$C$11,2)</calculatedColumnFormula>
    </tableColumn>
    <tableColumn id="26" xr3:uid="{D73AB4AB-E008-4935-91E2-739065E8C6C5}" name="الرمز  ( م ع ق)" dataDxfId="31">
      <calculatedColumnFormula>VLOOKUP(Y2,[1]المرجع!$D$2:$E$11,2)</calculatedColumnFormula>
    </tableColumn>
    <tableColumn id="27" xr3:uid="{0BB4BC12-7543-4630-82E6-AEC480D7144A}" name="النقاط ( م ع ق)" dataDxfId="30">
      <calculatedColumnFormula>Y2*W2</calculatedColumnFormula>
    </tableColumn>
    <tableColumn id="28" xr3:uid="{48B275DA-3817-424B-A14F-20FD342B9275}" name="الساعة ( م تج)" dataDxfId="29"/>
    <tableColumn id="29" xr3:uid="{89AE69E0-A128-4166-8CB4-87E87F8B053B}" name="التجويد" dataDxfId="28"/>
    <tableColumn id="30" xr3:uid="{72E4E9AA-B715-4DC3-8A4A-E1C0E391EA54}" name="الوزن ( م تج)" dataDxfId="27">
      <calculatedColumnFormula>VLOOKUP(AC2,[1]المرجع!$B$2:$C$11,2)</calculatedColumnFormula>
    </tableColumn>
    <tableColumn id="31" xr3:uid="{D519DEB5-5DDA-4606-83CE-0A2D0B5E2FC3}" name="الرمز ( م تج)" dataDxfId="26">
      <calculatedColumnFormula>VLOOKUP(AD2,[1]المرجع!$D$2:$E$11,2)</calculatedColumnFormula>
    </tableColumn>
    <tableColumn id="32" xr3:uid="{C677A70D-8A70-4DB4-9526-A0165D6E7F54}" name="النقاط ( م تج)" dataDxfId="25">
      <calculatedColumnFormula>AD2*AB2</calculatedColumnFormula>
    </tableColumn>
    <tableColumn id="33" xr3:uid="{59D74F0D-97E1-40C7-86E0-CAC7D4C5644A}" name="الساعة( م ن)" dataDxfId="24"/>
    <tableColumn id="34" xr3:uid="{7A3573CC-D550-4A79-B211-590349BA2505}" name="النحو (1)" dataDxfId="23"/>
    <tableColumn id="35" xr3:uid="{4275B31B-641F-4FA7-B9DA-73C7B2354849}" name="الوزن ( م ن)" dataDxfId="22">
      <calculatedColumnFormula>VLOOKUP(AH2,[1]المرجع!$B$2:$C$11,2)</calculatedColumnFormula>
    </tableColumn>
    <tableColumn id="36" xr3:uid="{8FBC4C9D-8088-40DC-872F-CAAF9BF94A3C}" name="الرمز ( م ن)" dataDxfId="21">
      <calculatedColumnFormula>VLOOKUP(AI2,[1]المرجع!$D$2:$E$11,2)</calculatedColumnFormula>
    </tableColumn>
    <tableColumn id="37" xr3:uid="{532EC2B9-26F8-4E25-9C42-3085B01E5CAC}" name="النقاطة ( م ن)" dataDxfId="20">
      <calculatedColumnFormula>AI2*AG2</calculatedColumnFormula>
    </tableColumn>
    <tableColumn id="38" xr3:uid="{2A19ACE3-D0A7-4040-A393-59471C05EE03}" name="الساعة (مEng)" dataDxfId="19"/>
    <tableColumn id="39" xr3:uid="{B7B71829-C1D5-46FF-ACF0-1E206D899AB5}" name="English(2)" dataDxfId="18"/>
    <tableColumn id="40" xr3:uid="{4FBAEDF7-E95D-419B-9CC6-6D493682159D}" name="الوزن (مEng)" dataDxfId="17">
      <calculatedColumnFormula>VLOOKUP(AM2,[1]المرجع!$B$2:$C$11,2)</calculatedColumnFormula>
    </tableColumn>
    <tableColumn id="41" xr3:uid="{48A969EC-5729-40AA-B2D1-1A440BAD3881}" name="الرمز (مEng)" dataDxfId="16">
      <calculatedColumnFormula>VLOOKUP(AN2,[1]المرجع!$D$2:$E$11,2)</calculatedColumnFormula>
    </tableColumn>
    <tableColumn id="42" xr3:uid="{E32E0FC2-884B-4AD4-A892-B47B1EB6933F}" name="النقاط  (مEng)" dataDxfId="15">
      <calculatedColumnFormula>AN2*AL2</calculatedColumnFormula>
    </tableColumn>
    <tableColumn id="43" xr3:uid="{A7F27F7B-1D5D-46EB-9163-185CC79347A3}" name="مجموع النقاط" dataDxfId="14">
      <calculatedColumnFormula>AP2+AK2+AF2+AA2+V2+Q2+L2+G2</calculatedColumnFormula>
    </tableColumn>
    <tableColumn id="44" xr3:uid="{3B8F1313-3C28-4BD0-934B-0EAEFFA6D037}" name="مجموع الساعات" dataDxfId="13">
      <calculatedColumnFormula>AL2+AG2+AB2+W2+R2+M2+H2+C2</calculatedColumnFormula>
    </tableColumn>
    <tableColumn id="45" xr3:uid="{39457873-2A8B-4D8F-937D-4C07AE100FE1}" name="المعدل الفصلي " dataDxfId="12">
      <calculatedColumnFormula>AQ2/AR2</calculatedColumnFormula>
    </tableColumn>
    <tableColumn id="46" xr3:uid="{2111F287-FA39-47D3-8A0D-C668979E04D2}" name="التقدير" dataDxfId="11">
      <calculatedColumnFormula>VLOOKUP(AS2,المصدر!$C$1:$E$10,3)</calculatedColumnFormula>
    </tableColumn>
    <tableColumn id="47" xr3:uid="{943F51F1-12C8-4202-B8A9-AFC47615E531}" name="الترتيب" dataDxfId="10">
      <calculatedColumnFormula>RANK(AS2,$AS$2:$AS$25)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7"/>
  <sheetViews>
    <sheetView rightToLeft="1" topLeftCell="A11" workbookViewId="0">
      <selection activeCell="I23" sqref="I23"/>
    </sheetView>
  </sheetViews>
  <sheetFormatPr defaultRowHeight="14.5"/>
  <cols>
    <col min="1" max="1" width="14.81640625" customWidth="1"/>
    <col min="2" max="2" width="20.1796875" bestFit="1" customWidth="1"/>
    <col min="3" max="3" width="5.08984375" customWidth="1"/>
    <col min="4" max="4" width="6.08984375" customWidth="1"/>
    <col min="5" max="5" width="6" bestFit="1" customWidth="1"/>
    <col min="6" max="7" width="5.08984375" customWidth="1"/>
    <col min="8" max="8" width="6.7265625" customWidth="1"/>
    <col min="9" max="9" width="6.08984375" customWidth="1"/>
    <col min="10" max="10" width="6" bestFit="1" customWidth="1"/>
    <col min="11" max="12" width="5.6328125" customWidth="1"/>
    <col min="13" max="13" width="5.26953125" customWidth="1"/>
    <col min="14" max="14" width="6.08984375" customWidth="1"/>
    <col min="15" max="15" width="6" bestFit="1" customWidth="1"/>
    <col min="16" max="17" width="5.6328125" customWidth="1"/>
    <col min="18" max="18" width="5.7265625" customWidth="1"/>
    <col min="19" max="19" width="6.08984375" customWidth="1"/>
    <col min="20" max="20" width="6" bestFit="1" customWidth="1"/>
    <col min="21" max="22" width="5.08984375" customWidth="1"/>
    <col min="23" max="23" width="5.453125" customWidth="1"/>
    <col min="24" max="24" width="6.08984375" customWidth="1"/>
    <col min="25" max="25" width="6" customWidth="1"/>
    <col min="26" max="27" width="5.08984375" customWidth="1"/>
    <col min="28" max="29" width="6.08984375" customWidth="1"/>
    <col min="30" max="30" width="6" customWidth="1"/>
    <col min="31" max="32" width="5.6328125" customWidth="1"/>
    <col min="33" max="33" width="4.453125" customWidth="1"/>
    <col min="34" max="34" width="6.08984375" customWidth="1"/>
    <col min="35" max="35" width="6" bestFit="1" customWidth="1"/>
    <col min="36" max="37" width="5.6328125" customWidth="1"/>
    <col min="38" max="38" width="4.90625" customWidth="1"/>
    <col min="39" max="39" width="6.08984375" customWidth="1"/>
    <col min="40" max="42" width="6.453125" customWidth="1"/>
    <col min="43" max="43" width="10.90625" bestFit="1" customWidth="1"/>
    <col min="46" max="46" width="9.7265625" bestFit="1" customWidth="1"/>
    <col min="47" max="47" width="9.26953125" customWidth="1"/>
  </cols>
  <sheetData>
    <row r="1" spans="1:47" s="1" customFormat="1" ht="131">
      <c r="A1" s="41" t="s">
        <v>0</v>
      </c>
      <c r="B1" s="42" t="s">
        <v>1</v>
      </c>
      <c r="C1" s="43" t="s">
        <v>61</v>
      </c>
      <c r="D1" s="44" t="s">
        <v>2</v>
      </c>
      <c r="E1" s="45" t="s">
        <v>62</v>
      </c>
      <c r="F1" s="46" t="s">
        <v>63</v>
      </c>
      <c r="G1" s="47" t="s">
        <v>64</v>
      </c>
      <c r="H1" s="43" t="s">
        <v>65</v>
      </c>
      <c r="I1" s="44" t="s">
        <v>3</v>
      </c>
      <c r="J1" s="45" t="s">
        <v>66</v>
      </c>
      <c r="K1" s="46" t="s">
        <v>67</v>
      </c>
      <c r="L1" s="47" t="s">
        <v>68</v>
      </c>
      <c r="M1" s="43" t="s">
        <v>69</v>
      </c>
      <c r="N1" s="44" t="s">
        <v>4</v>
      </c>
      <c r="O1" s="45" t="s">
        <v>70</v>
      </c>
      <c r="P1" s="46" t="s">
        <v>71</v>
      </c>
      <c r="Q1" s="47" t="s">
        <v>72</v>
      </c>
      <c r="R1" s="43" t="s">
        <v>73</v>
      </c>
      <c r="S1" s="44" t="s">
        <v>5</v>
      </c>
      <c r="T1" s="45" t="s">
        <v>74</v>
      </c>
      <c r="U1" s="46" t="s">
        <v>75</v>
      </c>
      <c r="V1" s="47" t="s">
        <v>76</v>
      </c>
      <c r="W1" s="43" t="s">
        <v>77</v>
      </c>
      <c r="X1" s="44" t="s">
        <v>6</v>
      </c>
      <c r="Y1" s="45" t="s">
        <v>78</v>
      </c>
      <c r="Z1" s="46" t="s">
        <v>79</v>
      </c>
      <c r="AA1" s="47" t="s">
        <v>80</v>
      </c>
      <c r="AB1" s="43" t="s">
        <v>81</v>
      </c>
      <c r="AC1" s="44" t="s">
        <v>7</v>
      </c>
      <c r="AD1" s="45" t="s">
        <v>82</v>
      </c>
      <c r="AE1" s="46" t="s">
        <v>83</v>
      </c>
      <c r="AF1" s="47" t="s">
        <v>84</v>
      </c>
      <c r="AG1" s="43" t="s">
        <v>85</v>
      </c>
      <c r="AH1" s="44" t="s">
        <v>8</v>
      </c>
      <c r="AI1" s="45" t="s">
        <v>86</v>
      </c>
      <c r="AJ1" s="46" t="s">
        <v>87</v>
      </c>
      <c r="AK1" s="47" t="s">
        <v>88</v>
      </c>
      <c r="AL1" s="43" t="s">
        <v>89</v>
      </c>
      <c r="AM1" s="44" t="s">
        <v>9</v>
      </c>
      <c r="AN1" s="45" t="s">
        <v>90</v>
      </c>
      <c r="AO1" s="46" t="s">
        <v>91</v>
      </c>
      <c r="AP1" s="47" t="s">
        <v>92</v>
      </c>
      <c r="AQ1" s="48" t="s">
        <v>36</v>
      </c>
      <c r="AR1" s="48" t="s">
        <v>37</v>
      </c>
      <c r="AS1" s="48" t="s">
        <v>38</v>
      </c>
      <c r="AT1" s="49" t="s">
        <v>10</v>
      </c>
      <c r="AU1" s="50" t="s">
        <v>39</v>
      </c>
    </row>
    <row r="2" spans="1:47" ht="28.5">
      <c r="A2" s="27">
        <v>2025370</v>
      </c>
      <c r="B2" s="2" t="s">
        <v>11</v>
      </c>
      <c r="C2" s="3">
        <v>1</v>
      </c>
      <c r="D2" s="2">
        <v>95</v>
      </c>
      <c r="E2" s="4">
        <f>VLOOKUP(D2,[1]المرجع!$B$2:$C$11,2)</f>
        <v>5</v>
      </c>
      <c r="F2" s="5" t="str">
        <f>VLOOKUP(E2,[1]المرجع!$D$2:$E$11,2)</f>
        <v xml:space="preserve">أ+ </v>
      </c>
      <c r="G2" s="6">
        <f t="shared" ref="G2:G25" si="0">E2*C2</f>
        <v>5</v>
      </c>
      <c r="H2" s="12">
        <v>3</v>
      </c>
      <c r="I2" s="2">
        <v>95</v>
      </c>
      <c r="J2" s="4">
        <f>VLOOKUP(I2,[1]المرجع!$B$2:$C$11,2)</f>
        <v>5</v>
      </c>
      <c r="K2" s="5" t="str">
        <f>VLOOKUP(J2,[1]المرجع!$D$2:$E$11,2)</f>
        <v xml:space="preserve">أ+ </v>
      </c>
      <c r="L2" s="6">
        <f t="shared" ref="L2:L25" si="1">J2*H2</f>
        <v>15</v>
      </c>
      <c r="M2" s="12">
        <v>2</v>
      </c>
      <c r="N2" s="2">
        <v>100</v>
      </c>
      <c r="O2" s="4">
        <f>VLOOKUP(N2,[1]المرجع!$B$2:$C$11,2)</f>
        <v>5</v>
      </c>
      <c r="P2" s="5" t="str">
        <f>VLOOKUP(O2,[1]المرجع!$D$2:$E$11,2)</f>
        <v xml:space="preserve">أ+ </v>
      </c>
      <c r="Q2" s="6">
        <f t="shared" ref="Q2:Q25" si="2">O2*M2</f>
        <v>10</v>
      </c>
      <c r="R2" s="12">
        <v>2</v>
      </c>
      <c r="S2" s="2">
        <v>98</v>
      </c>
      <c r="T2" s="4">
        <f>VLOOKUP(S2,[1]المرجع!$B$2:$C$11,2)</f>
        <v>5</v>
      </c>
      <c r="U2" s="5" t="str">
        <f>VLOOKUP(T2,[1]المرجع!$D$2:$E$11,2)</f>
        <v xml:space="preserve">أ+ </v>
      </c>
      <c r="V2" s="6">
        <f t="shared" ref="V2:V25" si="3">T2*R2</f>
        <v>10</v>
      </c>
      <c r="W2" s="12">
        <v>2</v>
      </c>
      <c r="X2" s="2">
        <v>91</v>
      </c>
      <c r="Y2" s="4">
        <f>VLOOKUP(X2,[1]المرجع!$B$2:$C$11,2)</f>
        <v>4.75</v>
      </c>
      <c r="Z2" s="5" t="str">
        <f>VLOOKUP(Y2,[1]المرجع!$D$2:$E$11,2)</f>
        <v>أ</v>
      </c>
      <c r="AA2" s="6">
        <f t="shared" ref="AA2:AA25" si="4">Y2*W2</f>
        <v>9.5</v>
      </c>
      <c r="AB2" s="12">
        <v>2</v>
      </c>
      <c r="AC2" s="2">
        <v>94</v>
      </c>
      <c r="AD2" s="4">
        <f>VLOOKUP(AC2,[1]المرجع!$B$2:$C$11,2)</f>
        <v>4.75</v>
      </c>
      <c r="AE2" s="5" t="str">
        <f>VLOOKUP(AD2,[1]المرجع!$D$2:$E$11,2)</f>
        <v>أ</v>
      </c>
      <c r="AF2" s="6">
        <f t="shared" ref="AF2:AF25" si="5">AD2*AB2</f>
        <v>9.5</v>
      </c>
      <c r="AG2" s="12">
        <v>2</v>
      </c>
      <c r="AH2" s="2">
        <v>100</v>
      </c>
      <c r="AI2" s="4">
        <f>VLOOKUP(AH2,[1]المرجع!$B$2:$C$11,2)</f>
        <v>5</v>
      </c>
      <c r="AJ2" s="5" t="str">
        <f>VLOOKUP(AI2,[1]المرجع!$D$2:$E$11,2)</f>
        <v xml:space="preserve">أ+ </v>
      </c>
      <c r="AK2" s="6">
        <f t="shared" ref="AK2:AK25" si="6">AI2*AG2</f>
        <v>10</v>
      </c>
      <c r="AL2" s="12">
        <v>2</v>
      </c>
      <c r="AM2" s="2">
        <v>96</v>
      </c>
      <c r="AN2" s="4">
        <f>VLOOKUP(AM2,[1]المرجع!$B$2:$C$11,2)</f>
        <v>5</v>
      </c>
      <c r="AO2" s="5" t="str">
        <f>VLOOKUP(AN2,[1]المرجع!$D$2:$E$11,2)</f>
        <v xml:space="preserve">أ+ </v>
      </c>
      <c r="AP2" s="6">
        <f t="shared" ref="AP2:AP25" si="7">AN2*AL2</f>
        <v>10</v>
      </c>
      <c r="AQ2" s="8">
        <f t="shared" ref="AQ2:AQ25" si="8">AP2+AK2+AF2+AA2+V2+Q2+L2+G2</f>
        <v>79</v>
      </c>
      <c r="AR2" s="9">
        <f t="shared" ref="AR2:AR25" si="9">AL2+AG2+AB2+W2+R2+M2+H2+C2</f>
        <v>16</v>
      </c>
      <c r="AS2" s="10">
        <f t="shared" ref="AS2:AS25" si="10">AQ2/AR2</f>
        <v>4.9375</v>
      </c>
      <c r="AT2" s="11" t="str">
        <f>VLOOKUP(AS2,المصدر!$C$1:$E$10,3)</f>
        <v xml:space="preserve">ممتاز مرتفع </v>
      </c>
      <c r="AU2" s="28">
        <f t="shared" ref="AU2:AU25" si="11">RANK(AS2,$AS$2:$AS$25)</f>
        <v>1</v>
      </c>
    </row>
    <row r="3" spans="1:47" ht="28.5">
      <c r="A3" s="27">
        <v>2025417</v>
      </c>
      <c r="B3" s="2" t="s">
        <v>13</v>
      </c>
      <c r="C3" s="3">
        <v>1</v>
      </c>
      <c r="D3" s="2">
        <v>100</v>
      </c>
      <c r="E3" s="4">
        <f>VLOOKUP(D3,[1]المرجع!$B$2:$C$11,2)</f>
        <v>5</v>
      </c>
      <c r="F3" s="5" t="str">
        <f>VLOOKUP(E3,[1]المرجع!$D$2:$E$11,2)</f>
        <v xml:space="preserve">أ+ </v>
      </c>
      <c r="G3" s="6">
        <f t="shared" si="0"/>
        <v>5</v>
      </c>
      <c r="H3" s="12">
        <v>3</v>
      </c>
      <c r="I3" s="2">
        <v>100</v>
      </c>
      <c r="J3" s="4">
        <f>VLOOKUP(I3,[1]المرجع!$B$2:$C$11,2)</f>
        <v>5</v>
      </c>
      <c r="K3" s="5" t="str">
        <f>VLOOKUP(J3,[1]المرجع!$D$2:$E$11,2)</f>
        <v xml:space="preserve">أ+ </v>
      </c>
      <c r="L3" s="6">
        <f t="shared" si="1"/>
        <v>15</v>
      </c>
      <c r="M3" s="12">
        <v>2</v>
      </c>
      <c r="N3" s="2">
        <v>99</v>
      </c>
      <c r="O3" s="4">
        <f>VLOOKUP(N3,[1]المرجع!$B$2:$C$11,2)</f>
        <v>5</v>
      </c>
      <c r="P3" s="5" t="str">
        <f>VLOOKUP(O3,[1]المرجع!$D$2:$E$11,2)</f>
        <v xml:space="preserve">أ+ </v>
      </c>
      <c r="Q3" s="6">
        <f t="shared" si="2"/>
        <v>10</v>
      </c>
      <c r="R3" s="12">
        <v>2</v>
      </c>
      <c r="S3" s="2">
        <v>94</v>
      </c>
      <c r="T3" s="4">
        <f>VLOOKUP(S3,[1]المرجع!$B$2:$C$11,2)</f>
        <v>4.75</v>
      </c>
      <c r="U3" s="5" t="str">
        <f>VLOOKUP(T3,[1]المرجع!$D$2:$E$11,2)</f>
        <v>أ</v>
      </c>
      <c r="V3" s="6">
        <f t="shared" si="3"/>
        <v>9.5</v>
      </c>
      <c r="W3" s="12">
        <v>2</v>
      </c>
      <c r="X3" s="2">
        <v>90</v>
      </c>
      <c r="Y3" s="4">
        <f>VLOOKUP(X3,[1]المرجع!$B$2:$C$11,2)</f>
        <v>4.75</v>
      </c>
      <c r="Z3" s="5" t="str">
        <f>VLOOKUP(Y3,[1]المرجع!$D$2:$E$11,2)</f>
        <v>أ</v>
      </c>
      <c r="AA3" s="6">
        <f t="shared" si="4"/>
        <v>9.5</v>
      </c>
      <c r="AB3" s="12">
        <v>2</v>
      </c>
      <c r="AC3" s="2">
        <v>85</v>
      </c>
      <c r="AD3" s="4">
        <f>VLOOKUP(AC3,[1]المرجع!$B$2:$C$11,2)</f>
        <v>4.5</v>
      </c>
      <c r="AE3" s="5" t="str">
        <f>VLOOKUP(AD3,[1]المرجع!$D$2:$E$11,2)</f>
        <v>ب+</v>
      </c>
      <c r="AF3" s="6">
        <f t="shared" si="5"/>
        <v>9</v>
      </c>
      <c r="AG3" s="12">
        <v>2</v>
      </c>
      <c r="AH3" s="2">
        <v>96</v>
      </c>
      <c r="AI3" s="4">
        <f>VLOOKUP(AH3,[1]المرجع!$B$2:$C$11,2)</f>
        <v>5</v>
      </c>
      <c r="AJ3" s="5" t="str">
        <f>VLOOKUP(AI3,[1]المرجع!$D$2:$E$11,2)</f>
        <v xml:space="preserve">أ+ </v>
      </c>
      <c r="AK3" s="6">
        <f t="shared" si="6"/>
        <v>10</v>
      </c>
      <c r="AL3" s="12">
        <v>2</v>
      </c>
      <c r="AM3" s="2">
        <v>100</v>
      </c>
      <c r="AN3" s="4">
        <f>VLOOKUP(AM3,[1]المرجع!$B$2:$C$11,2)</f>
        <v>5</v>
      </c>
      <c r="AO3" s="5" t="str">
        <f>VLOOKUP(AN3,[1]المرجع!$D$2:$E$11,2)</f>
        <v xml:space="preserve">أ+ </v>
      </c>
      <c r="AP3" s="6">
        <f t="shared" si="7"/>
        <v>10</v>
      </c>
      <c r="AQ3" s="8">
        <f t="shared" si="8"/>
        <v>78</v>
      </c>
      <c r="AR3" s="9">
        <f t="shared" si="9"/>
        <v>16</v>
      </c>
      <c r="AS3" s="10">
        <f t="shared" si="10"/>
        <v>4.875</v>
      </c>
      <c r="AT3" s="11" t="str">
        <f>VLOOKUP(AS3,المصدر!$C$1:$E$10,3)</f>
        <v xml:space="preserve">ممتاز مرتفع </v>
      </c>
      <c r="AU3" s="28">
        <f t="shared" si="11"/>
        <v>2</v>
      </c>
    </row>
    <row r="4" spans="1:47" ht="28.5">
      <c r="A4" s="27">
        <v>2025426</v>
      </c>
      <c r="B4" s="2" t="s">
        <v>12</v>
      </c>
      <c r="C4" s="3">
        <v>1</v>
      </c>
      <c r="D4" s="2">
        <v>95</v>
      </c>
      <c r="E4" s="4">
        <f>VLOOKUP(D4,[1]المرجع!$B$2:$C$11,2)</f>
        <v>5</v>
      </c>
      <c r="F4" s="5" t="str">
        <f>VLOOKUP(E4,[1]المرجع!$D$2:$E$11,2)</f>
        <v xml:space="preserve">أ+ </v>
      </c>
      <c r="G4" s="6">
        <f t="shared" si="0"/>
        <v>5</v>
      </c>
      <c r="H4" s="12">
        <v>3</v>
      </c>
      <c r="I4" s="2">
        <v>97</v>
      </c>
      <c r="J4" s="4">
        <f>VLOOKUP(I4,[1]المرجع!$B$2:$C$11,2)</f>
        <v>5</v>
      </c>
      <c r="K4" s="5" t="str">
        <f>VLOOKUP(J4,[1]المرجع!$D$2:$E$11,2)</f>
        <v xml:space="preserve">أ+ </v>
      </c>
      <c r="L4" s="6">
        <f t="shared" si="1"/>
        <v>15</v>
      </c>
      <c r="M4" s="12">
        <v>2</v>
      </c>
      <c r="N4" s="2">
        <v>97</v>
      </c>
      <c r="O4" s="4">
        <f>VLOOKUP(N4,[1]المرجع!$B$2:$C$11,2)</f>
        <v>5</v>
      </c>
      <c r="P4" s="5" t="str">
        <f>VLOOKUP(O4,[1]المرجع!$D$2:$E$11,2)</f>
        <v xml:space="preserve">أ+ </v>
      </c>
      <c r="Q4" s="6">
        <f t="shared" si="2"/>
        <v>10</v>
      </c>
      <c r="R4" s="12">
        <v>2</v>
      </c>
      <c r="S4" s="2">
        <v>84</v>
      </c>
      <c r="T4" s="4">
        <f>VLOOKUP(S4,[1]المرجع!$B$2:$C$11,2)</f>
        <v>4</v>
      </c>
      <c r="U4" s="5" t="str">
        <f>VLOOKUP(T4,[1]المرجع!$D$2:$E$11,2)</f>
        <v>ب</v>
      </c>
      <c r="V4" s="6">
        <f t="shared" si="3"/>
        <v>8</v>
      </c>
      <c r="W4" s="12">
        <v>2</v>
      </c>
      <c r="X4" s="2">
        <v>90</v>
      </c>
      <c r="Y4" s="4">
        <f>VLOOKUP(X4,[1]المرجع!$B$2:$C$11,2)</f>
        <v>4.75</v>
      </c>
      <c r="Z4" s="5" t="str">
        <f>VLOOKUP(Y4,[1]المرجع!$D$2:$E$11,2)</f>
        <v>أ</v>
      </c>
      <c r="AA4" s="6">
        <f t="shared" si="4"/>
        <v>9.5</v>
      </c>
      <c r="AB4" s="12">
        <v>2</v>
      </c>
      <c r="AC4" s="2">
        <v>100</v>
      </c>
      <c r="AD4" s="4">
        <f>VLOOKUP(AC4,[1]المرجع!$B$2:$C$11,2)</f>
        <v>5</v>
      </c>
      <c r="AE4" s="5" t="str">
        <f>VLOOKUP(AD4,[1]المرجع!$D$2:$E$11,2)</f>
        <v xml:space="preserve">أ+ </v>
      </c>
      <c r="AF4" s="6">
        <f t="shared" si="5"/>
        <v>10</v>
      </c>
      <c r="AG4" s="12">
        <v>2</v>
      </c>
      <c r="AH4" s="2">
        <v>99</v>
      </c>
      <c r="AI4" s="4">
        <f>VLOOKUP(AH4,[1]المرجع!$B$2:$C$11,2)</f>
        <v>5</v>
      </c>
      <c r="AJ4" s="5" t="str">
        <f>VLOOKUP(AI4,[1]المرجع!$D$2:$E$11,2)</f>
        <v xml:space="preserve">أ+ </v>
      </c>
      <c r="AK4" s="6">
        <f t="shared" si="6"/>
        <v>10</v>
      </c>
      <c r="AL4" s="12">
        <v>2</v>
      </c>
      <c r="AM4" s="2">
        <v>100</v>
      </c>
      <c r="AN4" s="4">
        <f>VLOOKUP(AM4,[1]المرجع!$B$2:$C$11,2)</f>
        <v>5</v>
      </c>
      <c r="AO4" s="5" t="str">
        <f>VLOOKUP(AN4,[1]المرجع!$D$2:$E$11,2)</f>
        <v xml:space="preserve">أ+ </v>
      </c>
      <c r="AP4" s="6">
        <f t="shared" si="7"/>
        <v>10</v>
      </c>
      <c r="AQ4" s="8">
        <f t="shared" si="8"/>
        <v>77.5</v>
      </c>
      <c r="AR4" s="9">
        <f t="shared" si="9"/>
        <v>16</v>
      </c>
      <c r="AS4" s="10">
        <f t="shared" si="10"/>
        <v>4.84375</v>
      </c>
      <c r="AT4" s="11" t="str">
        <f>VLOOKUP(AS4,المصدر!$C$1:$E$10,3)</f>
        <v xml:space="preserve">ممتاز مرتفع </v>
      </c>
      <c r="AU4" s="28">
        <f t="shared" si="11"/>
        <v>3</v>
      </c>
    </row>
    <row r="5" spans="1:47" ht="28.5">
      <c r="A5" s="27">
        <v>2025339</v>
      </c>
      <c r="B5" s="2" t="s">
        <v>14</v>
      </c>
      <c r="C5" s="3">
        <v>1</v>
      </c>
      <c r="D5" s="2">
        <v>78</v>
      </c>
      <c r="E5" s="4">
        <f>VLOOKUP(D5,[1]المرجع!$B$2:$C$11,2)</f>
        <v>3.5</v>
      </c>
      <c r="F5" s="5" t="str">
        <f>VLOOKUP(E5,[1]المرجع!$D$2:$E$11,2)</f>
        <v>ج+</v>
      </c>
      <c r="G5" s="6">
        <f t="shared" si="0"/>
        <v>3.5</v>
      </c>
      <c r="H5" s="12">
        <v>3</v>
      </c>
      <c r="I5" s="2">
        <v>100</v>
      </c>
      <c r="J5" s="4">
        <f>VLOOKUP(I5,[1]المرجع!$B$2:$C$11,2)</f>
        <v>5</v>
      </c>
      <c r="K5" s="5" t="str">
        <f>VLOOKUP(J5,[1]المرجع!$D$2:$E$11,2)</f>
        <v xml:space="preserve">أ+ </v>
      </c>
      <c r="L5" s="6">
        <f t="shared" si="1"/>
        <v>15</v>
      </c>
      <c r="M5" s="12">
        <v>2</v>
      </c>
      <c r="N5" s="2">
        <v>100</v>
      </c>
      <c r="O5" s="4">
        <f>VLOOKUP(N5,[1]المرجع!$B$2:$C$11,2)</f>
        <v>5</v>
      </c>
      <c r="P5" s="5" t="str">
        <f>VLOOKUP(O5,[1]المرجع!$D$2:$E$11,2)</f>
        <v xml:space="preserve">أ+ </v>
      </c>
      <c r="Q5" s="6">
        <f t="shared" si="2"/>
        <v>10</v>
      </c>
      <c r="R5" s="12">
        <v>2</v>
      </c>
      <c r="S5" s="2">
        <v>95</v>
      </c>
      <c r="T5" s="4">
        <f>VLOOKUP(S5,[1]المرجع!$B$2:$C$11,2)</f>
        <v>5</v>
      </c>
      <c r="U5" s="5" t="str">
        <f>VLOOKUP(T5,[1]المرجع!$D$2:$E$11,2)</f>
        <v xml:space="preserve">أ+ </v>
      </c>
      <c r="V5" s="6">
        <f t="shared" si="3"/>
        <v>10</v>
      </c>
      <c r="W5" s="12">
        <v>2</v>
      </c>
      <c r="X5" s="2">
        <v>86</v>
      </c>
      <c r="Y5" s="4">
        <f>VLOOKUP(X5,[1]المرجع!$B$2:$C$11,2)</f>
        <v>4.5</v>
      </c>
      <c r="Z5" s="5" t="str">
        <f>VLOOKUP(Y5,[1]المرجع!$D$2:$E$11,2)</f>
        <v>ب+</v>
      </c>
      <c r="AA5" s="6">
        <f t="shared" si="4"/>
        <v>9</v>
      </c>
      <c r="AB5" s="12">
        <v>2</v>
      </c>
      <c r="AC5" s="2">
        <v>79</v>
      </c>
      <c r="AD5" s="4">
        <f>VLOOKUP(AC5,[1]المرجع!$B$2:$C$11,2)</f>
        <v>3.5</v>
      </c>
      <c r="AE5" s="5" t="str">
        <f>VLOOKUP(AD5,[1]المرجع!$D$2:$E$11,2)</f>
        <v>ج+</v>
      </c>
      <c r="AF5" s="6">
        <f t="shared" si="5"/>
        <v>7</v>
      </c>
      <c r="AG5" s="12">
        <v>2</v>
      </c>
      <c r="AH5" s="2">
        <v>96</v>
      </c>
      <c r="AI5" s="4">
        <f>VLOOKUP(AH5,[1]المرجع!$B$2:$C$11,2)</f>
        <v>5</v>
      </c>
      <c r="AJ5" s="5" t="str">
        <f>VLOOKUP(AI5,[1]المرجع!$D$2:$E$11,2)</f>
        <v xml:space="preserve">أ+ </v>
      </c>
      <c r="AK5" s="6">
        <f t="shared" si="6"/>
        <v>10</v>
      </c>
      <c r="AL5" s="12">
        <v>2</v>
      </c>
      <c r="AM5" s="2">
        <v>98</v>
      </c>
      <c r="AN5" s="4">
        <f>VLOOKUP(AM5,[1]المرجع!$B$2:$C$11,2)</f>
        <v>5</v>
      </c>
      <c r="AO5" s="5" t="str">
        <f>VLOOKUP(AN5,[1]المرجع!$D$2:$E$11,2)</f>
        <v xml:space="preserve">أ+ </v>
      </c>
      <c r="AP5" s="6">
        <f t="shared" si="7"/>
        <v>10</v>
      </c>
      <c r="AQ5" s="8">
        <f t="shared" si="8"/>
        <v>74.5</v>
      </c>
      <c r="AR5" s="9">
        <f t="shared" si="9"/>
        <v>16</v>
      </c>
      <c r="AS5" s="10">
        <f t="shared" si="10"/>
        <v>4.65625</v>
      </c>
      <c r="AT5" s="11" t="str">
        <f>VLOOKUP(AS5,المصدر!$C$1:$E$10,3)</f>
        <v xml:space="preserve">ممتاز </v>
      </c>
      <c r="AU5" s="28">
        <f t="shared" si="11"/>
        <v>4</v>
      </c>
    </row>
    <row r="6" spans="1:47" ht="28.5">
      <c r="A6" s="27">
        <v>2025326</v>
      </c>
      <c r="B6" s="2" t="s">
        <v>15</v>
      </c>
      <c r="C6" s="3">
        <v>1</v>
      </c>
      <c r="D6" s="2">
        <v>86</v>
      </c>
      <c r="E6" s="4">
        <f>VLOOKUP(D6,[1]المرجع!$B$2:$C$11,2)</f>
        <v>4.5</v>
      </c>
      <c r="F6" s="5" t="str">
        <f>VLOOKUP(E6,[1]المرجع!$D$2:$E$11,2)</f>
        <v>ب+</v>
      </c>
      <c r="G6" s="6">
        <f t="shared" si="0"/>
        <v>4.5</v>
      </c>
      <c r="H6" s="12">
        <v>3</v>
      </c>
      <c r="I6" s="2">
        <v>94</v>
      </c>
      <c r="J6" s="4">
        <f>VLOOKUP(I6,[1]المرجع!$B$2:$C$11,2)</f>
        <v>4.75</v>
      </c>
      <c r="K6" s="5" t="str">
        <f>VLOOKUP(J6,[1]المرجع!$D$2:$E$11,2)</f>
        <v>أ</v>
      </c>
      <c r="L6" s="6">
        <f t="shared" si="1"/>
        <v>14.25</v>
      </c>
      <c r="M6" s="12">
        <v>2</v>
      </c>
      <c r="N6" s="2">
        <v>80</v>
      </c>
      <c r="O6" s="4">
        <f>VLOOKUP(N6,[1]المرجع!$B$2:$C$11,2)</f>
        <v>4</v>
      </c>
      <c r="P6" s="5" t="str">
        <f>VLOOKUP(O6,[1]المرجع!$D$2:$E$11,2)</f>
        <v>ب</v>
      </c>
      <c r="Q6" s="6">
        <f t="shared" si="2"/>
        <v>8</v>
      </c>
      <c r="R6" s="12">
        <v>2</v>
      </c>
      <c r="S6" s="2">
        <v>96</v>
      </c>
      <c r="T6" s="4">
        <f>VLOOKUP(S6,[1]المرجع!$B$2:$C$11,2)</f>
        <v>5</v>
      </c>
      <c r="U6" s="5" t="str">
        <f>VLOOKUP(T6,[1]المرجع!$D$2:$E$11,2)</f>
        <v xml:space="preserve">أ+ </v>
      </c>
      <c r="V6" s="6">
        <f t="shared" si="3"/>
        <v>10</v>
      </c>
      <c r="W6" s="12">
        <v>2</v>
      </c>
      <c r="X6" s="2">
        <v>81</v>
      </c>
      <c r="Y6" s="4">
        <f>VLOOKUP(X6,[1]المرجع!$B$2:$C$11,2)</f>
        <v>4</v>
      </c>
      <c r="Z6" s="5" t="str">
        <f>VLOOKUP(Y6,[1]المرجع!$D$2:$E$11,2)</f>
        <v>ب</v>
      </c>
      <c r="AA6" s="6">
        <f t="shared" si="4"/>
        <v>8</v>
      </c>
      <c r="AB6" s="12">
        <v>2</v>
      </c>
      <c r="AC6" s="2">
        <v>89</v>
      </c>
      <c r="AD6" s="4">
        <f>VLOOKUP(AC6,[1]المرجع!$B$2:$C$11,2)</f>
        <v>4.5</v>
      </c>
      <c r="AE6" s="5" t="str">
        <f>VLOOKUP(AD6,[1]المرجع!$D$2:$E$11,2)</f>
        <v>ب+</v>
      </c>
      <c r="AF6" s="6">
        <f t="shared" si="5"/>
        <v>9</v>
      </c>
      <c r="AG6" s="12">
        <v>2</v>
      </c>
      <c r="AH6" s="2">
        <v>97</v>
      </c>
      <c r="AI6" s="4">
        <f>VLOOKUP(AH6,[1]المرجع!$B$2:$C$11,2)</f>
        <v>5</v>
      </c>
      <c r="AJ6" s="5" t="str">
        <f>VLOOKUP(AI6,[1]المرجع!$D$2:$E$11,2)</f>
        <v xml:space="preserve">أ+ </v>
      </c>
      <c r="AK6" s="6">
        <f t="shared" si="6"/>
        <v>10</v>
      </c>
      <c r="AL6" s="12">
        <v>2</v>
      </c>
      <c r="AM6" s="2">
        <v>98</v>
      </c>
      <c r="AN6" s="4">
        <f>VLOOKUP(AM6,[1]المرجع!$B$2:$C$11,2)</f>
        <v>5</v>
      </c>
      <c r="AO6" s="5" t="str">
        <f>VLOOKUP(AN6,[1]المرجع!$D$2:$E$11,2)</f>
        <v xml:space="preserve">أ+ </v>
      </c>
      <c r="AP6" s="6">
        <f t="shared" si="7"/>
        <v>10</v>
      </c>
      <c r="AQ6" s="8">
        <f t="shared" si="8"/>
        <v>73.75</v>
      </c>
      <c r="AR6" s="9">
        <f t="shared" si="9"/>
        <v>16</v>
      </c>
      <c r="AS6" s="10">
        <f t="shared" si="10"/>
        <v>4.609375</v>
      </c>
      <c r="AT6" s="11" t="str">
        <f>VLOOKUP(AS6,المصدر!$C$1:$E$10,3)</f>
        <v xml:space="preserve">ممتاز </v>
      </c>
      <c r="AU6" s="28">
        <f t="shared" si="11"/>
        <v>5</v>
      </c>
    </row>
    <row r="7" spans="1:47" ht="28.5">
      <c r="A7" s="27">
        <v>2025379</v>
      </c>
      <c r="B7" s="2" t="s">
        <v>16</v>
      </c>
      <c r="C7" s="3">
        <v>1</v>
      </c>
      <c r="D7" s="2">
        <v>84</v>
      </c>
      <c r="E7" s="4">
        <f>VLOOKUP(D7,[1]المرجع!$B$2:$C$11,2)</f>
        <v>4</v>
      </c>
      <c r="F7" s="5" t="str">
        <f>VLOOKUP(E7,[1]المرجع!$D$2:$E$11,2)</f>
        <v>ب</v>
      </c>
      <c r="G7" s="6">
        <f t="shared" si="0"/>
        <v>4</v>
      </c>
      <c r="H7" s="12">
        <v>3</v>
      </c>
      <c r="I7" s="2">
        <v>100</v>
      </c>
      <c r="J7" s="4">
        <f>VLOOKUP(I7,[1]المرجع!$B$2:$C$11,2)</f>
        <v>5</v>
      </c>
      <c r="K7" s="5" t="str">
        <f>VLOOKUP(J7,[1]المرجع!$D$2:$E$11,2)</f>
        <v xml:space="preserve">أ+ </v>
      </c>
      <c r="L7" s="6">
        <f t="shared" si="1"/>
        <v>15</v>
      </c>
      <c r="M7" s="12">
        <v>2</v>
      </c>
      <c r="N7" s="2">
        <v>80</v>
      </c>
      <c r="O7" s="4">
        <f>VLOOKUP(N7,[1]المرجع!$B$2:$C$11,2)</f>
        <v>4</v>
      </c>
      <c r="P7" s="5" t="str">
        <f>VLOOKUP(O7,[1]المرجع!$D$2:$E$11,2)</f>
        <v>ب</v>
      </c>
      <c r="Q7" s="6">
        <f t="shared" si="2"/>
        <v>8</v>
      </c>
      <c r="R7" s="12">
        <v>2</v>
      </c>
      <c r="S7" s="2">
        <v>81</v>
      </c>
      <c r="T7" s="4">
        <f>VLOOKUP(S7,[1]المرجع!$B$2:$C$11,2)</f>
        <v>4</v>
      </c>
      <c r="U7" s="5" t="str">
        <f>VLOOKUP(T7,[1]المرجع!$D$2:$E$11,2)</f>
        <v>ب</v>
      </c>
      <c r="V7" s="6">
        <f t="shared" si="3"/>
        <v>8</v>
      </c>
      <c r="W7" s="12">
        <v>2</v>
      </c>
      <c r="X7" s="2">
        <v>80</v>
      </c>
      <c r="Y7" s="4">
        <f>VLOOKUP(X7,[1]المرجع!$B$2:$C$11,2)</f>
        <v>4</v>
      </c>
      <c r="Z7" s="5" t="str">
        <f>VLOOKUP(Y7,[1]المرجع!$D$2:$E$11,2)</f>
        <v>ب</v>
      </c>
      <c r="AA7" s="6">
        <f t="shared" si="4"/>
        <v>8</v>
      </c>
      <c r="AB7" s="12">
        <v>2</v>
      </c>
      <c r="AC7" s="2">
        <v>90</v>
      </c>
      <c r="AD7" s="4">
        <f>VLOOKUP(AC7,[1]المرجع!$B$2:$C$11,2)</f>
        <v>4.75</v>
      </c>
      <c r="AE7" s="5" t="str">
        <f>VLOOKUP(AD7,[1]المرجع!$D$2:$E$11,2)</f>
        <v>أ</v>
      </c>
      <c r="AF7" s="6">
        <f t="shared" si="5"/>
        <v>9.5</v>
      </c>
      <c r="AG7" s="12">
        <v>2</v>
      </c>
      <c r="AH7" s="2">
        <v>98</v>
      </c>
      <c r="AI7" s="4">
        <f>VLOOKUP(AH7,[1]المرجع!$B$2:$C$11,2)</f>
        <v>5</v>
      </c>
      <c r="AJ7" s="5" t="str">
        <f>VLOOKUP(AI7,[1]المرجع!$D$2:$E$11,2)</f>
        <v xml:space="preserve">أ+ </v>
      </c>
      <c r="AK7" s="6">
        <f t="shared" si="6"/>
        <v>10</v>
      </c>
      <c r="AL7" s="12">
        <v>2</v>
      </c>
      <c r="AM7" s="2">
        <v>98</v>
      </c>
      <c r="AN7" s="4">
        <f>VLOOKUP(AM7,[1]المرجع!$B$2:$C$11,2)</f>
        <v>5</v>
      </c>
      <c r="AO7" s="5" t="str">
        <f>VLOOKUP(AN7,[1]المرجع!$D$2:$E$11,2)</f>
        <v xml:space="preserve">أ+ </v>
      </c>
      <c r="AP7" s="6">
        <f t="shared" si="7"/>
        <v>10</v>
      </c>
      <c r="AQ7" s="8">
        <f t="shared" si="8"/>
        <v>72.5</v>
      </c>
      <c r="AR7" s="9">
        <f t="shared" si="9"/>
        <v>16</v>
      </c>
      <c r="AS7" s="10">
        <f t="shared" si="10"/>
        <v>4.53125</v>
      </c>
      <c r="AT7" s="11" t="str">
        <f>VLOOKUP(AS7,المصدر!$C$1:$E$10,3)</f>
        <v>جيد جد مرتفع</v>
      </c>
      <c r="AU7" s="28">
        <f t="shared" si="11"/>
        <v>6</v>
      </c>
    </row>
    <row r="8" spans="1:47" ht="28.5">
      <c r="A8" s="27">
        <v>2025322</v>
      </c>
      <c r="B8" s="2" t="s">
        <v>17</v>
      </c>
      <c r="C8" s="3">
        <v>1</v>
      </c>
      <c r="D8" s="2">
        <v>91</v>
      </c>
      <c r="E8" s="4">
        <f>VLOOKUP(D8,[1]المرجع!$B$2:$C$11,2)</f>
        <v>4.75</v>
      </c>
      <c r="F8" s="5" t="str">
        <f>VLOOKUP(E8,[1]المرجع!$D$2:$E$11,2)</f>
        <v>أ</v>
      </c>
      <c r="G8" s="6">
        <f t="shared" si="0"/>
        <v>4.75</v>
      </c>
      <c r="H8" s="12">
        <v>3</v>
      </c>
      <c r="I8" s="2">
        <v>99</v>
      </c>
      <c r="J8" s="4">
        <f>VLOOKUP(I8,[1]المرجع!$B$2:$C$11,2)</f>
        <v>5</v>
      </c>
      <c r="K8" s="5" t="str">
        <f>VLOOKUP(J8,[1]المرجع!$D$2:$E$11,2)</f>
        <v xml:space="preserve">أ+ </v>
      </c>
      <c r="L8" s="6">
        <f t="shared" si="1"/>
        <v>15</v>
      </c>
      <c r="M8" s="12">
        <v>2</v>
      </c>
      <c r="N8" s="2">
        <v>97</v>
      </c>
      <c r="O8" s="4">
        <f>VLOOKUP(N8,[1]المرجع!$B$2:$C$11,2)</f>
        <v>5</v>
      </c>
      <c r="P8" s="5" t="str">
        <f>VLOOKUP(O8,[1]المرجع!$D$2:$E$11,2)</f>
        <v xml:space="preserve">أ+ </v>
      </c>
      <c r="Q8" s="6">
        <f t="shared" si="2"/>
        <v>10</v>
      </c>
      <c r="R8" s="12">
        <v>2</v>
      </c>
      <c r="S8" s="2">
        <v>93</v>
      </c>
      <c r="T8" s="4">
        <f>VLOOKUP(S8,[1]المرجع!$B$2:$C$11,2)</f>
        <v>4.75</v>
      </c>
      <c r="U8" s="5" t="str">
        <f>VLOOKUP(T8,[1]المرجع!$D$2:$E$11,2)</f>
        <v>أ</v>
      </c>
      <c r="V8" s="6">
        <f t="shared" si="3"/>
        <v>9.5</v>
      </c>
      <c r="W8" s="12">
        <v>2</v>
      </c>
      <c r="X8" s="2">
        <v>79</v>
      </c>
      <c r="Y8" s="4">
        <f>VLOOKUP(X8,[1]المرجع!$B$2:$C$11,2)</f>
        <v>3.5</v>
      </c>
      <c r="Z8" s="5" t="str">
        <f>VLOOKUP(Y8,[1]المرجع!$D$2:$E$11,2)</f>
        <v>ج+</v>
      </c>
      <c r="AA8" s="6">
        <f t="shared" si="4"/>
        <v>7</v>
      </c>
      <c r="AB8" s="12">
        <v>2</v>
      </c>
      <c r="AC8" s="2">
        <v>59</v>
      </c>
      <c r="AD8" s="4">
        <f>VLOOKUP(AC8,[1]المرجع!$B$2:$C$11,2)</f>
        <v>2</v>
      </c>
      <c r="AE8" s="5" t="str">
        <f>VLOOKUP(AD8,[1]المرجع!$D$2:$E$11,2)</f>
        <v>د</v>
      </c>
      <c r="AF8" s="6">
        <f t="shared" si="5"/>
        <v>4</v>
      </c>
      <c r="AG8" s="12">
        <v>2</v>
      </c>
      <c r="AH8" s="2">
        <v>91</v>
      </c>
      <c r="AI8" s="4">
        <f>VLOOKUP(AH8,[1]المرجع!$B$2:$C$11,2)</f>
        <v>4.75</v>
      </c>
      <c r="AJ8" s="5" t="str">
        <f>VLOOKUP(AI8,[1]المرجع!$D$2:$E$11,2)</f>
        <v>أ</v>
      </c>
      <c r="AK8" s="6">
        <f t="shared" si="6"/>
        <v>9.5</v>
      </c>
      <c r="AL8" s="12">
        <v>2</v>
      </c>
      <c r="AM8" s="2">
        <v>100</v>
      </c>
      <c r="AN8" s="4">
        <f>VLOOKUP(AM8,[1]المرجع!$B$2:$C$11,2)</f>
        <v>5</v>
      </c>
      <c r="AO8" s="5" t="str">
        <f>VLOOKUP(AN8,[1]المرجع!$D$2:$E$11,2)</f>
        <v xml:space="preserve">أ+ </v>
      </c>
      <c r="AP8" s="6">
        <f t="shared" si="7"/>
        <v>10</v>
      </c>
      <c r="AQ8" s="8">
        <f t="shared" si="8"/>
        <v>69.75</v>
      </c>
      <c r="AR8" s="9">
        <f t="shared" si="9"/>
        <v>16</v>
      </c>
      <c r="AS8" s="10">
        <f t="shared" si="10"/>
        <v>4.359375</v>
      </c>
      <c r="AT8" s="11" t="str">
        <f>VLOOKUP(AS8,المصدر!$C$1:$E$10,3)</f>
        <v>جيد جد مرتفع</v>
      </c>
      <c r="AU8" s="28">
        <f t="shared" si="11"/>
        <v>7</v>
      </c>
    </row>
    <row r="9" spans="1:47" ht="28.5">
      <c r="A9" s="27">
        <v>2025404</v>
      </c>
      <c r="B9" s="2" t="s">
        <v>18</v>
      </c>
      <c r="C9" s="3">
        <v>1</v>
      </c>
      <c r="D9" s="2">
        <v>84</v>
      </c>
      <c r="E9" s="4">
        <f>VLOOKUP(D9,[1]المرجع!$B$2:$C$11,2)</f>
        <v>4</v>
      </c>
      <c r="F9" s="5" t="str">
        <f>VLOOKUP(E9,[1]المرجع!$D$2:$E$11,2)</f>
        <v>ب</v>
      </c>
      <c r="G9" s="6">
        <f t="shared" si="0"/>
        <v>4</v>
      </c>
      <c r="H9" s="12">
        <v>3</v>
      </c>
      <c r="I9" s="2">
        <v>97</v>
      </c>
      <c r="J9" s="4">
        <f>VLOOKUP(I9,[1]المرجع!$B$2:$C$11,2)</f>
        <v>5</v>
      </c>
      <c r="K9" s="5" t="str">
        <f>VLOOKUP(J9,[1]المرجع!$D$2:$E$11,2)</f>
        <v xml:space="preserve">أ+ </v>
      </c>
      <c r="L9" s="6">
        <f t="shared" si="1"/>
        <v>15</v>
      </c>
      <c r="M9" s="12">
        <v>2</v>
      </c>
      <c r="N9" s="2">
        <v>100</v>
      </c>
      <c r="O9" s="4">
        <f>VLOOKUP(N9,[1]المرجع!$B$2:$C$11,2)</f>
        <v>5</v>
      </c>
      <c r="P9" s="5" t="str">
        <f>VLOOKUP(O9,[1]المرجع!$D$2:$E$11,2)</f>
        <v xml:space="preserve">أ+ </v>
      </c>
      <c r="Q9" s="6">
        <f t="shared" si="2"/>
        <v>10</v>
      </c>
      <c r="R9" s="12">
        <v>2</v>
      </c>
      <c r="S9" s="2">
        <v>83</v>
      </c>
      <c r="T9" s="4">
        <f>VLOOKUP(S9,[1]المرجع!$B$2:$C$11,2)</f>
        <v>4</v>
      </c>
      <c r="U9" s="5" t="str">
        <f>VLOOKUP(T9,[1]المرجع!$D$2:$E$11,2)</f>
        <v>ب</v>
      </c>
      <c r="V9" s="6">
        <f t="shared" si="3"/>
        <v>8</v>
      </c>
      <c r="W9" s="12">
        <v>2</v>
      </c>
      <c r="X9" s="2">
        <v>74</v>
      </c>
      <c r="Y9" s="4">
        <f>VLOOKUP(X9,[1]المرجع!$B$2:$C$11,2)</f>
        <v>3</v>
      </c>
      <c r="Z9" s="5" t="str">
        <f>VLOOKUP(Y9,[1]المرجع!$D$2:$E$11,2)</f>
        <v>ج</v>
      </c>
      <c r="AA9" s="6">
        <f t="shared" si="4"/>
        <v>6</v>
      </c>
      <c r="AB9" s="12">
        <v>2</v>
      </c>
      <c r="AC9" s="2">
        <v>63</v>
      </c>
      <c r="AD9" s="4">
        <f>VLOOKUP(AC9,[1]المرجع!$B$2:$C$11,2)</f>
        <v>2</v>
      </c>
      <c r="AE9" s="5" t="str">
        <f>VLOOKUP(AD9,[1]المرجع!$D$2:$E$11,2)</f>
        <v>د</v>
      </c>
      <c r="AF9" s="6">
        <f t="shared" si="5"/>
        <v>4</v>
      </c>
      <c r="AG9" s="12">
        <v>2</v>
      </c>
      <c r="AH9" s="2">
        <v>94</v>
      </c>
      <c r="AI9" s="4">
        <f>VLOOKUP(AH9,[1]المرجع!$B$2:$C$11,2)</f>
        <v>4.75</v>
      </c>
      <c r="AJ9" s="5" t="str">
        <f>VLOOKUP(AI9,[1]المرجع!$D$2:$E$11,2)</f>
        <v>أ</v>
      </c>
      <c r="AK9" s="6">
        <f t="shared" si="6"/>
        <v>9.5</v>
      </c>
      <c r="AL9" s="12">
        <v>2</v>
      </c>
      <c r="AM9" s="2">
        <v>93</v>
      </c>
      <c r="AN9" s="4">
        <f>VLOOKUP(AM9,[1]المرجع!$B$2:$C$11,2)</f>
        <v>4.75</v>
      </c>
      <c r="AO9" s="5" t="str">
        <f>VLOOKUP(AN9,[1]المرجع!$D$2:$E$11,2)</f>
        <v>أ</v>
      </c>
      <c r="AP9" s="6">
        <f t="shared" si="7"/>
        <v>9.5</v>
      </c>
      <c r="AQ9" s="8">
        <f t="shared" si="8"/>
        <v>66</v>
      </c>
      <c r="AR9" s="9">
        <f t="shared" si="9"/>
        <v>16</v>
      </c>
      <c r="AS9" s="10">
        <f t="shared" si="10"/>
        <v>4.125</v>
      </c>
      <c r="AT9" s="11" t="str">
        <f>VLOOKUP(AS9,المصدر!$C$1:$E$10,3)</f>
        <v>جيد جد مرتفع</v>
      </c>
      <c r="AU9" s="28">
        <f t="shared" si="11"/>
        <v>8</v>
      </c>
    </row>
    <row r="10" spans="1:47" ht="28.5">
      <c r="A10" s="27">
        <v>2025387</v>
      </c>
      <c r="B10" s="2" t="s">
        <v>19</v>
      </c>
      <c r="C10" s="3">
        <v>1</v>
      </c>
      <c r="D10" s="2">
        <v>97</v>
      </c>
      <c r="E10" s="4">
        <f>VLOOKUP(D10,[1]المرجع!$B$2:$C$11,2)</f>
        <v>5</v>
      </c>
      <c r="F10" s="5" t="str">
        <f>VLOOKUP(E10,[1]المرجع!$D$2:$E$11,2)</f>
        <v xml:space="preserve">أ+ </v>
      </c>
      <c r="G10" s="6">
        <f t="shared" si="0"/>
        <v>5</v>
      </c>
      <c r="H10" s="12">
        <v>3</v>
      </c>
      <c r="I10" s="2">
        <v>100</v>
      </c>
      <c r="J10" s="4">
        <f>VLOOKUP(I10,[1]المرجع!$B$2:$C$11,2)</f>
        <v>5</v>
      </c>
      <c r="K10" s="5" t="str">
        <f>VLOOKUP(J10,[1]المرجع!$D$2:$E$11,2)</f>
        <v xml:space="preserve">أ+ </v>
      </c>
      <c r="L10" s="6">
        <f t="shared" si="1"/>
        <v>15</v>
      </c>
      <c r="M10" s="12">
        <v>2</v>
      </c>
      <c r="N10" s="2">
        <v>97</v>
      </c>
      <c r="O10" s="4">
        <f>VLOOKUP(N10,[1]المرجع!$B$2:$C$11,2)</f>
        <v>5</v>
      </c>
      <c r="P10" s="5" t="str">
        <f>VLOOKUP(O10,[1]المرجع!$D$2:$E$11,2)</f>
        <v xml:space="preserve">أ+ </v>
      </c>
      <c r="Q10" s="6">
        <f t="shared" si="2"/>
        <v>10</v>
      </c>
      <c r="R10" s="12">
        <v>2</v>
      </c>
      <c r="S10" s="2">
        <v>69</v>
      </c>
      <c r="T10" s="4">
        <f>VLOOKUP(S10,[1]المرجع!$B$2:$C$11,2)</f>
        <v>2.5</v>
      </c>
      <c r="U10" s="5" t="str">
        <f>VLOOKUP(T10,[1]المرجع!$D$2:$E$11,2)</f>
        <v>د+</v>
      </c>
      <c r="V10" s="6">
        <f t="shared" si="3"/>
        <v>5</v>
      </c>
      <c r="W10" s="12">
        <v>2</v>
      </c>
      <c r="X10" s="2">
        <v>79</v>
      </c>
      <c r="Y10" s="4">
        <f>VLOOKUP(X10,[1]المرجع!$B$2:$C$11,2)</f>
        <v>3.5</v>
      </c>
      <c r="Z10" s="5" t="str">
        <f>VLOOKUP(Y10,[1]المرجع!$D$2:$E$11,2)</f>
        <v>ج+</v>
      </c>
      <c r="AA10" s="6">
        <f t="shared" si="4"/>
        <v>7</v>
      </c>
      <c r="AB10" s="12">
        <v>2</v>
      </c>
      <c r="AC10" s="2">
        <v>94</v>
      </c>
      <c r="AD10" s="4">
        <f>VLOOKUP(AC10,[1]المرجع!$B$2:$C$11,2)</f>
        <v>4.75</v>
      </c>
      <c r="AE10" s="5" t="str">
        <f>VLOOKUP(AD10,[1]المرجع!$D$2:$E$11,2)</f>
        <v>أ</v>
      </c>
      <c r="AF10" s="6">
        <f t="shared" si="5"/>
        <v>9.5</v>
      </c>
      <c r="AG10" s="12">
        <v>2</v>
      </c>
      <c r="AH10" s="2">
        <v>66</v>
      </c>
      <c r="AI10" s="4">
        <f>VLOOKUP(AH10,[1]المرجع!$B$2:$C$11,2)</f>
        <v>2.5</v>
      </c>
      <c r="AJ10" s="5" t="str">
        <f>VLOOKUP(AI10,[1]المرجع!$D$2:$E$11,2)</f>
        <v>د+</v>
      </c>
      <c r="AK10" s="6">
        <f t="shared" si="6"/>
        <v>5</v>
      </c>
      <c r="AL10" s="12">
        <v>2</v>
      </c>
      <c r="AM10" s="2">
        <v>81</v>
      </c>
      <c r="AN10" s="4">
        <f>VLOOKUP(AM10,[1]المرجع!$B$2:$C$11,2)</f>
        <v>4</v>
      </c>
      <c r="AO10" s="5" t="str">
        <f>VLOOKUP(AN10,[1]المرجع!$D$2:$E$11,2)</f>
        <v>ب</v>
      </c>
      <c r="AP10" s="6">
        <f t="shared" si="7"/>
        <v>8</v>
      </c>
      <c r="AQ10" s="8">
        <f t="shared" si="8"/>
        <v>64.5</v>
      </c>
      <c r="AR10" s="9">
        <f t="shared" si="9"/>
        <v>16</v>
      </c>
      <c r="AS10" s="10">
        <f t="shared" si="10"/>
        <v>4.03125</v>
      </c>
      <c r="AT10" s="11" t="str">
        <f>VLOOKUP(AS10,المصدر!$C$1:$E$10,3)</f>
        <v xml:space="preserve">جيد جدا </v>
      </c>
      <c r="AU10" s="28">
        <f t="shared" si="11"/>
        <v>9</v>
      </c>
    </row>
    <row r="11" spans="1:47" ht="28.5">
      <c r="A11" s="27">
        <v>2025323</v>
      </c>
      <c r="B11" s="2" t="s">
        <v>20</v>
      </c>
      <c r="C11" s="3">
        <v>1</v>
      </c>
      <c r="D11" s="2">
        <v>93</v>
      </c>
      <c r="E11" s="4">
        <f>VLOOKUP(D11,[1]المرجع!$B$2:$C$11,2)</f>
        <v>4.75</v>
      </c>
      <c r="F11" s="5" t="str">
        <f>VLOOKUP(E11,[1]المرجع!$D$2:$E$11,2)</f>
        <v>أ</v>
      </c>
      <c r="G11" s="6">
        <f t="shared" si="0"/>
        <v>4.75</v>
      </c>
      <c r="H11" s="12">
        <v>3</v>
      </c>
      <c r="I11" s="2">
        <v>89</v>
      </c>
      <c r="J11" s="4">
        <f>VLOOKUP(I11,[1]المرجع!$B$2:$C$11,2)</f>
        <v>4.5</v>
      </c>
      <c r="K11" s="5" t="str">
        <f>VLOOKUP(J11,[1]المرجع!$D$2:$E$11,2)</f>
        <v>ب+</v>
      </c>
      <c r="L11" s="6">
        <f t="shared" si="1"/>
        <v>13.5</v>
      </c>
      <c r="M11" s="12">
        <v>2</v>
      </c>
      <c r="N11" s="2">
        <v>95</v>
      </c>
      <c r="O11" s="4">
        <f>VLOOKUP(N11,[1]المرجع!$B$2:$C$11,2)</f>
        <v>5</v>
      </c>
      <c r="P11" s="5" t="str">
        <f>VLOOKUP(O11,[1]المرجع!$D$2:$E$11,2)</f>
        <v xml:space="preserve">أ+ </v>
      </c>
      <c r="Q11" s="6">
        <f t="shared" si="2"/>
        <v>10</v>
      </c>
      <c r="R11" s="12">
        <v>2</v>
      </c>
      <c r="S11" s="2">
        <v>77</v>
      </c>
      <c r="T11" s="4">
        <f>VLOOKUP(S11,[1]المرجع!$B$2:$C$11,2)</f>
        <v>3.5</v>
      </c>
      <c r="U11" s="5" t="str">
        <f>VLOOKUP(T11,[1]المرجع!$D$2:$E$11,2)</f>
        <v>ج+</v>
      </c>
      <c r="V11" s="6">
        <f t="shared" si="3"/>
        <v>7</v>
      </c>
      <c r="W11" s="12">
        <v>2</v>
      </c>
      <c r="X11" s="2">
        <v>72</v>
      </c>
      <c r="Y11" s="4">
        <f>VLOOKUP(X11,[1]المرجع!$B$2:$C$11,2)</f>
        <v>3</v>
      </c>
      <c r="Z11" s="5" t="str">
        <f>VLOOKUP(Y11,[1]المرجع!$D$2:$E$11,2)</f>
        <v>ج</v>
      </c>
      <c r="AA11" s="6">
        <f t="shared" si="4"/>
        <v>6</v>
      </c>
      <c r="AB11" s="12">
        <v>2</v>
      </c>
      <c r="AC11" s="2">
        <v>74</v>
      </c>
      <c r="AD11" s="4">
        <f>VLOOKUP(AC11,[1]المرجع!$B$2:$C$11,2)</f>
        <v>3</v>
      </c>
      <c r="AE11" s="5" t="str">
        <f>VLOOKUP(AD11,[1]المرجع!$D$2:$E$11,2)</f>
        <v>ج</v>
      </c>
      <c r="AF11" s="6">
        <f t="shared" si="5"/>
        <v>6</v>
      </c>
      <c r="AG11" s="12">
        <v>2</v>
      </c>
      <c r="AH11" s="2">
        <v>92</v>
      </c>
      <c r="AI11" s="4">
        <f>VLOOKUP(AH11,[1]المرجع!$B$2:$C$11,2)</f>
        <v>4.75</v>
      </c>
      <c r="AJ11" s="5" t="str">
        <f>VLOOKUP(AI11,[1]المرجع!$D$2:$E$11,2)</f>
        <v>أ</v>
      </c>
      <c r="AK11" s="6">
        <f t="shared" si="6"/>
        <v>9.5</v>
      </c>
      <c r="AL11" s="12">
        <v>2</v>
      </c>
      <c r="AM11" s="2">
        <v>72</v>
      </c>
      <c r="AN11" s="4">
        <f>VLOOKUP(AM11,[1]المرجع!$B$2:$C$11,2)</f>
        <v>3</v>
      </c>
      <c r="AO11" s="5" t="str">
        <f>VLOOKUP(AN11,[1]المرجع!$D$2:$E$11,2)</f>
        <v>ج</v>
      </c>
      <c r="AP11" s="6">
        <f t="shared" si="7"/>
        <v>6</v>
      </c>
      <c r="AQ11" s="8">
        <f t="shared" si="8"/>
        <v>62.75</v>
      </c>
      <c r="AR11" s="9">
        <f t="shared" si="9"/>
        <v>16</v>
      </c>
      <c r="AS11" s="10">
        <f t="shared" si="10"/>
        <v>3.921875</v>
      </c>
      <c r="AT11" s="11" t="str">
        <f>VLOOKUP(AS11,المصدر!$C$1:$E$10,3)</f>
        <v xml:space="preserve">جيد جدا </v>
      </c>
      <c r="AU11" s="28">
        <f t="shared" si="11"/>
        <v>10</v>
      </c>
    </row>
    <row r="12" spans="1:47" ht="28.5">
      <c r="A12" s="27">
        <v>2025376</v>
      </c>
      <c r="B12" s="2" t="s">
        <v>21</v>
      </c>
      <c r="C12" s="3">
        <v>1</v>
      </c>
      <c r="D12" s="2">
        <v>95</v>
      </c>
      <c r="E12" s="4">
        <f>VLOOKUP(D12,[1]المرجع!$B$2:$C$11,2)</f>
        <v>5</v>
      </c>
      <c r="F12" s="5" t="str">
        <f>VLOOKUP(E12,[1]المرجع!$D$2:$E$11,2)</f>
        <v xml:space="preserve">أ+ </v>
      </c>
      <c r="G12" s="6">
        <f t="shared" si="0"/>
        <v>5</v>
      </c>
      <c r="H12" s="12">
        <v>3</v>
      </c>
      <c r="I12" s="2">
        <v>89</v>
      </c>
      <c r="J12" s="4">
        <f>VLOOKUP(I12,[1]المرجع!$B$2:$C$11,2)</f>
        <v>4.5</v>
      </c>
      <c r="K12" s="5" t="str">
        <f>VLOOKUP(J12,[1]المرجع!$D$2:$E$11,2)</f>
        <v>ب+</v>
      </c>
      <c r="L12" s="6">
        <f t="shared" si="1"/>
        <v>13.5</v>
      </c>
      <c r="M12" s="12">
        <v>2</v>
      </c>
      <c r="N12" s="2">
        <v>88</v>
      </c>
      <c r="O12" s="4">
        <f>VLOOKUP(N12,[1]المرجع!$B$2:$C$11,2)</f>
        <v>4.5</v>
      </c>
      <c r="P12" s="5" t="str">
        <f>VLOOKUP(O12,[1]المرجع!$D$2:$E$11,2)</f>
        <v>ب+</v>
      </c>
      <c r="Q12" s="6">
        <f t="shared" si="2"/>
        <v>9</v>
      </c>
      <c r="R12" s="12">
        <v>2</v>
      </c>
      <c r="S12" s="2">
        <v>70</v>
      </c>
      <c r="T12" s="4">
        <f>VLOOKUP(S12,[1]المرجع!$B$2:$C$11,2)</f>
        <v>3</v>
      </c>
      <c r="U12" s="5" t="str">
        <f>VLOOKUP(T12,[1]المرجع!$D$2:$E$11,2)</f>
        <v>ج</v>
      </c>
      <c r="V12" s="6">
        <f t="shared" si="3"/>
        <v>6</v>
      </c>
      <c r="W12" s="12">
        <v>2</v>
      </c>
      <c r="X12" s="2">
        <v>79</v>
      </c>
      <c r="Y12" s="4">
        <f>VLOOKUP(X12,[1]المرجع!$B$2:$C$11,2)</f>
        <v>3.5</v>
      </c>
      <c r="Z12" s="5" t="str">
        <f>VLOOKUP(Y12,[1]المرجع!$D$2:$E$11,2)</f>
        <v>ج+</v>
      </c>
      <c r="AA12" s="6">
        <f t="shared" si="4"/>
        <v>7</v>
      </c>
      <c r="AB12" s="12">
        <v>2</v>
      </c>
      <c r="AC12" s="2">
        <v>74</v>
      </c>
      <c r="AD12" s="4">
        <f>VLOOKUP(AC12,[1]المرجع!$B$2:$C$11,2)</f>
        <v>3</v>
      </c>
      <c r="AE12" s="5" t="str">
        <f>VLOOKUP(AD12,[1]المرجع!$D$2:$E$11,2)</f>
        <v>ج</v>
      </c>
      <c r="AF12" s="6">
        <f t="shared" si="5"/>
        <v>6</v>
      </c>
      <c r="AG12" s="12">
        <v>2</v>
      </c>
      <c r="AH12" s="2">
        <v>97</v>
      </c>
      <c r="AI12" s="4">
        <f>VLOOKUP(AH12,[1]المرجع!$B$2:$C$11,2)</f>
        <v>5</v>
      </c>
      <c r="AJ12" s="5" t="str">
        <f>VLOOKUP(AI12,[1]المرجع!$D$2:$E$11,2)</f>
        <v xml:space="preserve">أ+ </v>
      </c>
      <c r="AK12" s="6">
        <f t="shared" si="6"/>
        <v>10</v>
      </c>
      <c r="AL12" s="12">
        <v>2</v>
      </c>
      <c r="AM12" s="2">
        <v>65</v>
      </c>
      <c r="AN12" s="4">
        <f>VLOOKUP(AM12,[1]المرجع!$B$2:$C$11,2)</f>
        <v>2.5</v>
      </c>
      <c r="AO12" s="5" t="str">
        <f>VLOOKUP(AN12,[1]المرجع!$D$2:$E$11,2)</f>
        <v>د+</v>
      </c>
      <c r="AP12" s="6">
        <f t="shared" si="7"/>
        <v>5</v>
      </c>
      <c r="AQ12" s="8">
        <f t="shared" si="8"/>
        <v>61.5</v>
      </c>
      <c r="AR12" s="9">
        <f t="shared" si="9"/>
        <v>16</v>
      </c>
      <c r="AS12" s="10">
        <f t="shared" si="10"/>
        <v>3.84375</v>
      </c>
      <c r="AT12" s="11" t="str">
        <f>VLOOKUP(AS12,المصدر!$C$1:$E$10,3)</f>
        <v xml:space="preserve">جيد جدا </v>
      </c>
      <c r="AU12" s="28">
        <f t="shared" si="11"/>
        <v>11</v>
      </c>
    </row>
    <row r="13" spans="1:47" ht="28.5">
      <c r="A13" s="27">
        <v>2025386</v>
      </c>
      <c r="B13" s="2" t="s">
        <v>23</v>
      </c>
      <c r="C13" s="3">
        <v>1</v>
      </c>
      <c r="D13" s="2">
        <v>60</v>
      </c>
      <c r="E13" s="4">
        <f>VLOOKUP(D13,[1]المرجع!$B$2:$C$11,2)</f>
        <v>2</v>
      </c>
      <c r="F13" s="5" t="str">
        <f>VLOOKUP(E13,[1]المرجع!$D$2:$E$11,2)</f>
        <v>د</v>
      </c>
      <c r="G13" s="6">
        <f t="shared" si="0"/>
        <v>2</v>
      </c>
      <c r="H13" s="12">
        <v>3</v>
      </c>
      <c r="I13" s="2">
        <v>99</v>
      </c>
      <c r="J13" s="4">
        <f>VLOOKUP(I13,[1]المرجع!$B$2:$C$11,2)</f>
        <v>5</v>
      </c>
      <c r="K13" s="5" t="str">
        <f>VLOOKUP(J13,[1]المرجع!$D$2:$E$11,2)</f>
        <v xml:space="preserve">أ+ </v>
      </c>
      <c r="L13" s="6">
        <f t="shared" si="1"/>
        <v>15</v>
      </c>
      <c r="M13" s="12">
        <v>2</v>
      </c>
      <c r="N13" s="2">
        <v>100</v>
      </c>
      <c r="O13" s="4">
        <f>VLOOKUP(N13,[1]المرجع!$B$2:$C$11,2)</f>
        <v>5</v>
      </c>
      <c r="P13" s="5" t="str">
        <f>VLOOKUP(O13,[1]المرجع!$D$2:$E$11,2)</f>
        <v xml:space="preserve">أ+ </v>
      </c>
      <c r="Q13" s="6">
        <f t="shared" si="2"/>
        <v>10</v>
      </c>
      <c r="R13" s="12">
        <v>2</v>
      </c>
      <c r="S13" s="2">
        <v>67</v>
      </c>
      <c r="T13" s="4">
        <f>VLOOKUP(S13,[1]المرجع!$B$2:$C$11,2)</f>
        <v>2.5</v>
      </c>
      <c r="U13" s="5" t="str">
        <f>VLOOKUP(T13,[1]المرجع!$D$2:$E$11,2)</f>
        <v>د+</v>
      </c>
      <c r="V13" s="6">
        <f t="shared" si="3"/>
        <v>5</v>
      </c>
      <c r="W13" s="12">
        <v>2</v>
      </c>
      <c r="X13" s="2">
        <v>76</v>
      </c>
      <c r="Y13" s="4">
        <f>VLOOKUP(X13,[1]المرجع!$B$2:$C$11,2)</f>
        <v>3.5</v>
      </c>
      <c r="Z13" s="5" t="str">
        <f>VLOOKUP(Y13,[1]المرجع!$D$2:$E$11,2)</f>
        <v>ج+</v>
      </c>
      <c r="AA13" s="6">
        <f t="shared" si="4"/>
        <v>7</v>
      </c>
      <c r="AB13" s="12">
        <v>2</v>
      </c>
      <c r="AC13" s="2">
        <v>50</v>
      </c>
      <c r="AD13" s="4">
        <f>VLOOKUP(AC13,[1]المرجع!$B$2:$C$11,2)</f>
        <v>2</v>
      </c>
      <c r="AE13" s="5" t="str">
        <f>VLOOKUP(AD13,[1]المرجع!$D$2:$E$11,2)</f>
        <v>د</v>
      </c>
      <c r="AF13" s="6">
        <f t="shared" si="5"/>
        <v>4</v>
      </c>
      <c r="AG13" s="12">
        <v>2</v>
      </c>
      <c r="AH13" s="2">
        <v>96</v>
      </c>
      <c r="AI13" s="4">
        <f>VLOOKUP(AH13,[1]المرجع!$B$2:$C$11,2)</f>
        <v>5</v>
      </c>
      <c r="AJ13" s="5" t="str">
        <f>VLOOKUP(AI13,[1]المرجع!$D$2:$E$11,2)</f>
        <v xml:space="preserve">أ+ </v>
      </c>
      <c r="AK13" s="6">
        <f t="shared" si="6"/>
        <v>10</v>
      </c>
      <c r="AL13" s="12">
        <v>2</v>
      </c>
      <c r="AM13" s="2">
        <v>83</v>
      </c>
      <c r="AN13" s="4">
        <f>VLOOKUP(AM13,[1]المرجع!$B$2:$C$11,2)</f>
        <v>4</v>
      </c>
      <c r="AO13" s="5" t="str">
        <f>VLOOKUP(AN13,[1]المرجع!$D$2:$E$11,2)</f>
        <v>ب</v>
      </c>
      <c r="AP13" s="6">
        <f t="shared" si="7"/>
        <v>8</v>
      </c>
      <c r="AQ13" s="8">
        <f t="shared" si="8"/>
        <v>61</v>
      </c>
      <c r="AR13" s="9">
        <f t="shared" si="9"/>
        <v>16</v>
      </c>
      <c r="AS13" s="10">
        <f t="shared" si="10"/>
        <v>3.8125</v>
      </c>
      <c r="AT13" s="11" t="str">
        <f>VLOOKUP(AS13,المصدر!$C$1:$E$10,3)</f>
        <v xml:space="preserve">جيد جدا </v>
      </c>
      <c r="AU13" s="28">
        <f t="shared" si="11"/>
        <v>12</v>
      </c>
    </row>
    <row r="14" spans="1:47" ht="28.5">
      <c r="A14" s="27">
        <v>2025405</v>
      </c>
      <c r="B14" s="2" t="s">
        <v>22</v>
      </c>
      <c r="C14" s="3">
        <v>1</v>
      </c>
      <c r="D14" s="2">
        <v>80</v>
      </c>
      <c r="E14" s="4">
        <f>VLOOKUP(D14,[1]المرجع!$B$2:$C$11,2)</f>
        <v>4</v>
      </c>
      <c r="F14" s="5" t="str">
        <f>VLOOKUP(E14,[1]المرجع!$D$2:$E$11,2)</f>
        <v>ب</v>
      </c>
      <c r="G14" s="6">
        <f t="shared" si="0"/>
        <v>4</v>
      </c>
      <c r="H14" s="12">
        <v>3</v>
      </c>
      <c r="I14" s="2">
        <v>75</v>
      </c>
      <c r="J14" s="4">
        <f>VLOOKUP(I14,[1]المرجع!$B$2:$C$11,2)</f>
        <v>3.5</v>
      </c>
      <c r="K14" s="5" t="str">
        <f>VLOOKUP(J14,[1]المرجع!$D$2:$E$11,2)</f>
        <v>ج+</v>
      </c>
      <c r="L14" s="6">
        <f t="shared" si="1"/>
        <v>10.5</v>
      </c>
      <c r="M14" s="12">
        <v>2</v>
      </c>
      <c r="N14" s="2">
        <v>99</v>
      </c>
      <c r="O14" s="4">
        <f>VLOOKUP(N14,[1]المرجع!$B$2:$C$11,2)</f>
        <v>5</v>
      </c>
      <c r="P14" s="5" t="str">
        <f>VLOOKUP(O14,[1]المرجع!$D$2:$E$11,2)</f>
        <v xml:space="preserve">أ+ </v>
      </c>
      <c r="Q14" s="6">
        <f t="shared" si="2"/>
        <v>10</v>
      </c>
      <c r="R14" s="12">
        <v>2</v>
      </c>
      <c r="S14" s="2">
        <v>81</v>
      </c>
      <c r="T14" s="4">
        <f>VLOOKUP(S14,[1]المرجع!$B$2:$C$11,2)</f>
        <v>4</v>
      </c>
      <c r="U14" s="5" t="str">
        <f>VLOOKUP(T14,[1]المرجع!$D$2:$E$11,2)</f>
        <v>ب</v>
      </c>
      <c r="V14" s="6">
        <f t="shared" si="3"/>
        <v>8</v>
      </c>
      <c r="W14" s="12">
        <v>2</v>
      </c>
      <c r="X14" s="2">
        <v>53</v>
      </c>
      <c r="Y14" s="4">
        <f>VLOOKUP(X14,[1]المرجع!$B$2:$C$11,2)</f>
        <v>2</v>
      </c>
      <c r="Z14" s="5" t="str">
        <f>VLOOKUP(Y14,[1]المرجع!$D$2:$E$11,2)</f>
        <v>د</v>
      </c>
      <c r="AA14" s="6">
        <f t="shared" si="4"/>
        <v>4</v>
      </c>
      <c r="AB14" s="12">
        <v>2</v>
      </c>
      <c r="AC14" s="2">
        <v>62</v>
      </c>
      <c r="AD14" s="4">
        <f>VLOOKUP(AC14,[1]المرجع!$B$2:$C$11,2)</f>
        <v>2</v>
      </c>
      <c r="AE14" s="5" t="str">
        <f>VLOOKUP(AD14,[1]المرجع!$D$2:$E$11,2)</f>
        <v>د</v>
      </c>
      <c r="AF14" s="6">
        <f t="shared" si="5"/>
        <v>4</v>
      </c>
      <c r="AG14" s="12">
        <v>2</v>
      </c>
      <c r="AH14" s="2">
        <v>93</v>
      </c>
      <c r="AI14" s="4">
        <f>VLOOKUP(AH14,[1]المرجع!$B$2:$C$11,2)</f>
        <v>4.75</v>
      </c>
      <c r="AJ14" s="5" t="str">
        <f>VLOOKUP(AI14,[1]المرجع!$D$2:$E$11,2)</f>
        <v>أ</v>
      </c>
      <c r="AK14" s="6">
        <f t="shared" si="6"/>
        <v>9.5</v>
      </c>
      <c r="AL14" s="12">
        <v>2</v>
      </c>
      <c r="AM14" s="2">
        <v>91</v>
      </c>
      <c r="AN14" s="4">
        <f>VLOOKUP(AM14,[1]المرجع!$B$2:$C$11,2)</f>
        <v>4.75</v>
      </c>
      <c r="AO14" s="5" t="str">
        <f>VLOOKUP(AN14,[1]المرجع!$D$2:$E$11,2)</f>
        <v>أ</v>
      </c>
      <c r="AP14" s="6">
        <f t="shared" si="7"/>
        <v>9.5</v>
      </c>
      <c r="AQ14" s="8">
        <f t="shared" si="8"/>
        <v>59.5</v>
      </c>
      <c r="AR14" s="9">
        <f t="shared" si="9"/>
        <v>16</v>
      </c>
      <c r="AS14" s="10">
        <f t="shared" si="10"/>
        <v>3.71875</v>
      </c>
      <c r="AT14" s="11" t="str">
        <f>VLOOKUP(AS14,المصدر!$C$1:$E$10,3)</f>
        <v xml:space="preserve">جيد جدا </v>
      </c>
      <c r="AU14" s="28">
        <f t="shared" si="11"/>
        <v>13</v>
      </c>
    </row>
    <row r="15" spans="1:47" ht="28.5">
      <c r="A15" s="27">
        <v>2025378</v>
      </c>
      <c r="B15" s="2" t="s">
        <v>24</v>
      </c>
      <c r="C15" s="3">
        <v>1</v>
      </c>
      <c r="D15" s="2">
        <v>80</v>
      </c>
      <c r="E15" s="4">
        <f>VLOOKUP(D15,[1]المرجع!$B$2:$C$11,2)</f>
        <v>4</v>
      </c>
      <c r="F15" s="5" t="str">
        <f>VLOOKUP(E15,[1]المرجع!$D$2:$E$11,2)</f>
        <v>ب</v>
      </c>
      <c r="G15" s="6">
        <f t="shared" si="0"/>
        <v>4</v>
      </c>
      <c r="H15" s="12">
        <v>3</v>
      </c>
      <c r="I15" s="2">
        <v>76</v>
      </c>
      <c r="J15" s="4">
        <f>VLOOKUP(I15,[1]المرجع!$B$2:$C$11,2)</f>
        <v>3.5</v>
      </c>
      <c r="K15" s="5" t="str">
        <f>VLOOKUP(J15,[1]المرجع!$D$2:$E$11,2)</f>
        <v>ج+</v>
      </c>
      <c r="L15" s="6">
        <f t="shared" si="1"/>
        <v>10.5</v>
      </c>
      <c r="M15" s="12">
        <v>2</v>
      </c>
      <c r="N15" s="2">
        <v>74</v>
      </c>
      <c r="O15" s="4">
        <f>VLOOKUP(N15,[1]المرجع!$B$2:$C$11,2)</f>
        <v>3</v>
      </c>
      <c r="P15" s="5" t="str">
        <f>VLOOKUP(O15,[1]المرجع!$D$2:$E$11,2)</f>
        <v>ج</v>
      </c>
      <c r="Q15" s="6">
        <f t="shared" si="2"/>
        <v>6</v>
      </c>
      <c r="R15" s="12">
        <v>2</v>
      </c>
      <c r="S15" s="2">
        <v>73</v>
      </c>
      <c r="T15" s="4">
        <f>VLOOKUP(S15,[1]المرجع!$B$2:$C$11,2)</f>
        <v>3</v>
      </c>
      <c r="U15" s="5" t="str">
        <f>VLOOKUP(T15,[1]المرجع!$D$2:$E$11,2)</f>
        <v>ج</v>
      </c>
      <c r="V15" s="6">
        <f t="shared" si="3"/>
        <v>6</v>
      </c>
      <c r="W15" s="12">
        <v>2</v>
      </c>
      <c r="X15" s="2">
        <v>72</v>
      </c>
      <c r="Y15" s="4">
        <f>VLOOKUP(X15,[1]المرجع!$B$2:$C$11,2)</f>
        <v>3</v>
      </c>
      <c r="Z15" s="5" t="str">
        <f>VLOOKUP(Y15,[1]المرجع!$D$2:$E$11,2)</f>
        <v>ج</v>
      </c>
      <c r="AA15" s="6">
        <f t="shared" si="4"/>
        <v>6</v>
      </c>
      <c r="AB15" s="12">
        <v>2</v>
      </c>
      <c r="AC15" s="2">
        <v>50</v>
      </c>
      <c r="AD15" s="4">
        <f>VLOOKUP(AC15,[1]المرجع!$B$2:$C$11,2)</f>
        <v>2</v>
      </c>
      <c r="AE15" s="5" t="str">
        <f>VLOOKUP(AD15,[1]المرجع!$D$2:$E$11,2)</f>
        <v>د</v>
      </c>
      <c r="AF15" s="6">
        <f t="shared" si="5"/>
        <v>4</v>
      </c>
      <c r="AG15" s="12">
        <v>2</v>
      </c>
      <c r="AH15" s="2">
        <v>88</v>
      </c>
      <c r="AI15" s="4">
        <f>VLOOKUP(AH15,[1]المرجع!$B$2:$C$11,2)</f>
        <v>4.5</v>
      </c>
      <c r="AJ15" s="5" t="str">
        <f>VLOOKUP(AI15,[1]المرجع!$D$2:$E$11,2)</f>
        <v>ب+</v>
      </c>
      <c r="AK15" s="6">
        <f t="shared" si="6"/>
        <v>9</v>
      </c>
      <c r="AL15" s="12">
        <v>2</v>
      </c>
      <c r="AM15" s="2">
        <v>83</v>
      </c>
      <c r="AN15" s="4">
        <f>VLOOKUP(AM15,[1]المرجع!$B$2:$C$11,2)</f>
        <v>4</v>
      </c>
      <c r="AO15" s="5" t="str">
        <f>VLOOKUP(AN15,[1]المرجع!$D$2:$E$11,2)</f>
        <v>ب</v>
      </c>
      <c r="AP15" s="6">
        <f t="shared" si="7"/>
        <v>8</v>
      </c>
      <c r="AQ15" s="8">
        <f t="shared" si="8"/>
        <v>53.5</v>
      </c>
      <c r="AR15" s="9">
        <f t="shared" si="9"/>
        <v>16</v>
      </c>
      <c r="AS15" s="10">
        <f t="shared" si="10"/>
        <v>3.34375</v>
      </c>
      <c r="AT15" s="11" t="str">
        <f>VLOOKUP(AS15,المصدر!$C$1:$E$10,3)</f>
        <v xml:space="preserve">جيد مرتفع </v>
      </c>
      <c r="AU15" s="28">
        <f t="shared" si="11"/>
        <v>14</v>
      </c>
    </row>
    <row r="16" spans="1:47" ht="28.5">
      <c r="A16" s="27">
        <v>2025348</v>
      </c>
      <c r="B16" s="2" t="s">
        <v>25</v>
      </c>
      <c r="C16" s="3">
        <v>1</v>
      </c>
      <c r="D16" s="2">
        <v>93</v>
      </c>
      <c r="E16" s="4">
        <f>VLOOKUP(D16,[1]المرجع!$B$2:$C$11,2)</f>
        <v>4.75</v>
      </c>
      <c r="F16" s="5" t="str">
        <f>VLOOKUP(E16,[1]المرجع!$D$2:$E$11,2)</f>
        <v>أ</v>
      </c>
      <c r="G16" s="6">
        <f t="shared" si="0"/>
        <v>4.75</v>
      </c>
      <c r="H16" s="12">
        <v>3</v>
      </c>
      <c r="I16" s="2">
        <v>50</v>
      </c>
      <c r="J16" s="4">
        <f>VLOOKUP(I16,[1]المرجع!$B$2:$C$11,2)</f>
        <v>2</v>
      </c>
      <c r="K16" s="5" t="str">
        <f>VLOOKUP(J16,[1]المرجع!$D$2:$E$11,2)</f>
        <v>د</v>
      </c>
      <c r="L16" s="6">
        <f t="shared" si="1"/>
        <v>6</v>
      </c>
      <c r="M16" s="12">
        <v>2</v>
      </c>
      <c r="N16" s="2">
        <v>97</v>
      </c>
      <c r="O16" s="4">
        <f>VLOOKUP(N16,[1]المرجع!$B$2:$C$11,2)</f>
        <v>5</v>
      </c>
      <c r="P16" s="5" t="str">
        <f>VLOOKUP(O16,[1]المرجع!$D$2:$E$11,2)</f>
        <v xml:space="preserve">أ+ </v>
      </c>
      <c r="Q16" s="6">
        <f t="shared" si="2"/>
        <v>10</v>
      </c>
      <c r="R16" s="12">
        <v>2</v>
      </c>
      <c r="S16" s="2">
        <v>61</v>
      </c>
      <c r="T16" s="4">
        <f>VLOOKUP(S16,[1]المرجع!$B$2:$C$11,2)</f>
        <v>2</v>
      </c>
      <c r="U16" s="5" t="str">
        <f>VLOOKUP(T16,[1]المرجع!$D$2:$E$11,2)</f>
        <v>د</v>
      </c>
      <c r="V16" s="6">
        <f t="shared" si="3"/>
        <v>4</v>
      </c>
      <c r="W16" s="12">
        <v>2</v>
      </c>
      <c r="X16" s="2">
        <v>68</v>
      </c>
      <c r="Y16" s="4">
        <f>VLOOKUP(X16,[1]المرجع!$B$2:$C$11,2)</f>
        <v>2.5</v>
      </c>
      <c r="Z16" s="5" t="str">
        <f>VLOOKUP(Y16,[1]المرجع!$D$2:$E$11,2)</f>
        <v>د+</v>
      </c>
      <c r="AA16" s="6">
        <f t="shared" si="4"/>
        <v>5</v>
      </c>
      <c r="AB16" s="12">
        <v>2</v>
      </c>
      <c r="AC16" s="2">
        <v>52</v>
      </c>
      <c r="AD16" s="4">
        <f>VLOOKUP(AC16,[1]المرجع!$B$2:$C$11,2)</f>
        <v>2</v>
      </c>
      <c r="AE16" s="5" t="str">
        <f>VLOOKUP(AD16,[1]المرجع!$D$2:$E$11,2)</f>
        <v>د</v>
      </c>
      <c r="AF16" s="6">
        <f t="shared" si="5"/>
        <v>4</v>
      </c>
      <c r="AG16" s="12">
        <v>2</v>
      </c>
      <c r="AH16" s="2">
        <v>88</v>
      </c>
      <c r="AI16" s="4">
        <f>VLOOKUP(AH16,[1]المرجع!$B$2:$C$11,2)</f>
        <v>4.5</v>
      </c>
      <c r="AJ16" s="5" t="str">
        <f>VLOOKUP(AI16,[1]المرجع!$D$2:$E$11,2)</f>
        <v>ب+</v>
      </c>
      <c r="AK16" s="6">
        <f t="shared" si="6"/>
        <v>9</v>
      </c>
      <c r="AL16" s="12">
        <v>2</v>
      </c>
      <c r="AM16" s="2">
        <v>80</v>
      </c>
      <c r="AN16" s="4">
        <f>VLOOKUP(AM16,[1]المرجع!$B$2:$C$11,2)</f>
        <v>4</v>
      </c>
      <c r="AO16" s="5" t="str">
        <f>VLOOKUP(AN16,[1]المرجع!$D$2:$E$11,2)</f>
        <v>ب</v>
      </c>
      <c r="AP16" s="6">
        <f t="shared" si="7"/>
        <v>8</v>
      </c>
      <c r="AQ16" s="8">
        <f t="shared" si="8"/>
        <v>50.75</v>
      </c>
      <c r="AR16" s="9">
        <f t="shared" si="9"/>
        <v>16</v>
      </c>
      <c r="AS16" s="10">
        <f t="shared" si="10"/>
        <v>3.171875</v>
      </c>
      <c r="AT16" s="11" t="str">
        <f>VLOOKUP(AS16,المصدر!$C$1:$E$10,3)</f>
        <v xml:space="preserve">جيد مرتفع </v>
      </c>
      <c r="AU16" s="28">
        <f t="shared" si="11"/>
        <v>15</v>
      </c>
    </row>
    <row r="17" spans="1:47" ht="28.5">
      <c r="A17" s="27">
        <v>2025403</v>
      </c>
      <c r="B17" s="2" t="s">
        <v>26</v>
      </c>
      <c r="C17" s="3">
        <v>1</v>
      </c>
      <c r="D17" s="2">
        <v>70</v>
      </c>
      <c r="E17" s="4">
        <f>VLOOKUP(D17,[1]المرجع!$B$2:$C$11,2)</f>
        <v>3</v>
      </c>
      <c r="F17" s="5" t="str">
        <f>VLOOKUP(E17,[1]المرجع!$D$2:$E$11,2)</f>
        <v>ج</v>
      </c>
      <c r="G17" s="6">
        <f t="shared" si="0"/>
        <v>3</v>
      </c>
      <c r="H17" s="12">
        <v>3</v>
      </c>
      <c r="I17" s="2">
        <v>73</v>
      </c>
      <c r="J17" s="4">
        <f>VLOOKUP(I17,[1]المرجع!$B$2:$C$11,2)</f>
        <v>3</v>
      </c>
      <c r="K17" s="5" t="str">
        <f>VLOOKUP(J17,[1]المرجع!$D$2:$E$11,2)</f>
        <v>ج</v>
      </c>
      <c r="L17" s="6">
        <f t="shared" si="1"/>
        <v>9</v>
      </c>
      <c r="M17" s="12">
        <v>2</v>
      </c>
      <c r="N17" s="2">
        <v>57</v>
      </c>
      <c r="O17" s="4">
        <f>VLOOKUP(N17,[1]المرجع!$B$2:$C$11,2)</f>
        <v>2</v>
      </c>
      <c r="P17" s="5" t="str">
        <f>VLOOKUP(O17,[1]المرجع!$D$2:$E$11,2)</f>
        <v>د</v>
      </c>
      <c r="Q17" s="6">
        <f t="shared" si="2"/>
        <v>4</v>
      </c>
      <c r="R17" s="12">
        <v>2</v>
      </c>
      <c r="S17" s="2">
        <v>52</v>
      </c>
      <c r="T17" s="4">
        <f>VLOOKUP(S17,[1]المرجع!$B$2:$C$11,2)</f>
        <v>2</v>
      </c>
      <c r="U17" s="5" t="str">
        <f>VLOOKUP(T17,[1]المرجع!$D$2:$E$11,2)</f>
        <v>د</v>
      </c>
      <c r="V17" s="6">
        <f t="shared" si="3"/>
        <v>4</v>
      </c>
      <c r="W17" s="12">
        <v>2</v>
      </c>
      <c r="X17" s="2">
        <v>27</v>
      </c>
      <c r="Y17" s="4">
        <f>VLOOKUP(X17,[1]المرجع!$B$2:$C$11,2)</f>
        <v>0</v>
      </c>
      <c r="Z17" s="5" t="str">
        <f>VLOOKUP(Y17,[1]المرجع!$D$2:$E$11,2)</f>
        <v>ه</v>
      </c>
      <c r="AA17" s="6">
        <f t="shared" si="4"/>
        <v>0</v>
      </c>
      <c r="AB17" s="12">
        <v>2</v>
      </c>
      <c r="AC17" s="2">
        <v>50</v>
      </c>
      <c r="AD17" s="4">
        <f>VLOOKUP(AC17,[1]المرجع!$B$2:$C$11,2)</f>
        <v>2</v>
      </c>
      <c r="AE17" s="5" t="str">
        <f>VLOOKUP(AD17,[1]المرجع!$D$2:$E$11,2)</f>
        <v>د</v>
      </c>
      <c r="AF17" s="6">
        <f t="shared" si="5"/>
        <v>4</v>
      </c>
      <c r="AG17" s="12">
        <v>2</v>
      </c>
      <c r="AH17" s="2">
        <v>69</v>
      </c>
      <c r="AI17" s="4">
        <f>VLOOKUP(AH17,[1]المرجع!$B$2:$C$11,2)</f>
        <v>2.5</v>
      </c>
      <c r="AJ17" s="5" t="str">
        <f>VLOOKUP(AI17,[1]المرجع!$D$2:$E$11,2)</f>
        <v>د+</v>
      </c>
      <c r="AK17" s="6">
        <f t="shared" si="6"/>
        <v>5</v>
      </c>
      <c r="AL17" s="12">
        <v>2</v>
      </c>
      <c r="AM17" s="2">
        <v>82</v>
      </c>
      <c r="AN17" s="4">
        <f>VLOOKUP(AM17,[1]المرجع!$B$2:$C$11,2)</f>
        <v>4</v>
      </c>
      <c r="AO17" s="5" t="str">
        <f>VLOOKUP(AN17,[1]المرجع!$D$2:$E$11,2)</f>
        <v>ب</v>
      </c>
      <c r="AP17" s="6">
        <f t="shared" si="7"/>
        <v>8</v>
      </c>
      <c r="AQ17" s="8">
        <f t="shared" si="8"/>
        <v>37</v>
      </c>
      <c r="AR17" s="9">
        <f t="shared" si="9"/>
        <v>16</v>
      </c>
      <c r="AS17" s="10">
        <f t="shared" si="10"/>
        <v>2.3125</v>
      </c>
      <c r="AT17" s="11" t="str">
        <f>VLOOKUP(AS17,المصدر!$C$1:$E$10,3)</f>
        <v xml:space="preserve">مقبول مرتفع </v>
      </c>
      <c r="AU17" s="28">
        <f t="shared" si="11"/>
        <v>16</v>
      </c>
    </row>
    <row r="18" spans="1:47" ht="28.5">
      <c r="A18" s="27">
        <v>2025338</v>
      </c>
      <c r="B18" s="2" t="s">
        <v>27</v>
      </c>
      <c r="C18" s="3">
        <v>1</v>
      </c>
      <c r="D18" s="2">
        <v>50</v>
      </c>
      <c r="E18" s="4">
        <f>VLOOKUP(D18,[1]المرجع!$B$2:$C$11,2)</f>
        <v>2</v>
      </c>
      <c r="F18" s="5" t="str">
        <f>VLOOKUP(E18,[1]المرجع!$D$2:$E$11,2)</f>
        <v>د</v>
      </c>
      <c r="G18" s="6">
        <f t="shared" si="0"/>
        <v>2</v>
      </c>
      <c r="H18" s="12">
        <v>3</v>
      </c>
      <c r="I18" s="2">
        <v>55</v>
      </c>
      <c r="J18" s="4">
        <f>VLOOKUP(I18,[1]المرجع!$B$2:$C$11,2)</f>
        <v>2</v>
      </c>
      <c r="K18" s="5" t="str">
        <f>VLOOKUP(J18,[1]المرجع!$D$2:$E$11,2)</f>
        <v>د</v>
      </c>
      <c r="L18" s="6">
        <f t="shared" si="1"/>
        <v>6</v>
      </c>
      <c r="M18" s="12">
        <v>2</v>
      </c>
      <c r="N18" s="2">
        <v>51</v>
      </c>
      <c r="O18" s="4">
        <f>VLOOKUP(N18,[1]المرجع!$B$2:$C$11,2)</f>
        <v>2</v>
      </c>
      <c r="P18" s="5" t="str">
        <f>VLOOKUP(O18,[1]المرجع!$D$2:$E$11,2)</f>
        <v>د</v>
      </c>
      <c r="Q18" s="6">
        <f t="shared" si="2"/>
        <v>4</v>
      </c>
      <c r="R18" s="12">
        <v>2</v>
      </c>
      <c r="S18" s="2">
        <v>66</v>
      </c>
      <c r="T18" s="4">
        <f>VLOOKUP(S18,[1]المرجع!$B$2:$C$11,2)</f>
        <v>2.5</v>
      </c>
      <c r="U18" s="5" t="str">
        <f>VLOOKUP(T18,[1]المرجع!$D$2:$E$11,2)</f>
        <v>د+</v>
      </c>
      <c r="V18" s="6">
        <f t="shared" si="3"/>
        <v>5</v>
      </c>
      <c r="W18" s="12">
        <v>2</v>
      </c>
      <c r="X18" s="2">
        <v>50</v>
      </c>
      <c r="Y18" s="4">
        <f>VLOOKUP(X18,[1]المرجع!$B$2:$C$11,2)</f>
        <v>2</v>
      </c>
      <c r="Z18" s="5" t="str">
        <f>VLOOKUP(Y18,[1]المرجع!$D$2:$E$11,2)</f>
        <v>د</v>
      </c>
      <c r="AA18" s="6">
        <f t="shared" si="4"/>
        <v>4</v>
      </c>
      <c r="AB18" s="12">
        <v>2</v>
      </c>
      <c r="AC18" s="2">
        <v>26</v>
      </c>
      <c r="AD18" s="4">
        <f>VLOOKUP(AC18,[1]المرجع!$B$2:$C$11,2)</f>
        <v>0</v>
      </c>
      <c r="AE18" s="5" t="str">
        <f>VLOOKUP(AD18,[1]المرجع!$D$2:$E$11,2)</f>
        <v>ه</v>
      </c>
      <c r="AF18" s="6">
        <f t="shared" si="5"/>
        <v>0</v>
      </c>
      <c r="AG18" s="12">
        <v>2</v>
      </c>
      <c r="AH18" s="2">
        <v>62</v>
      </c>
      <c r="AI18" s="4">
        <f>VLOOKUP(AH18,[1]المرجع!$B$2:$C$11,2)</f>
        <v>2</v>
      </c>
      <c r="AJ18" s="5" t="str">
        <f>VLOOKUP(AI18,[1]المرجع!$D$2:$E$11,2)</f>
        <v>د</v>
      </c>
      <c r="AK18" s="6">
        <f t="shared" si="6"/>
        <v>4</v>
      </c>
      <c r="AL18" s="12">
        <v>2</v>
      </c>
      <c r="AM18" s="2">
        <v>79</v>
      </c>
      <c r="AN18" s="4">
        <f>VLOOKUP(AM18,[1]المرجع!$B$2:$C$11,2)</f>
        <v>3.5</v>
      </c>
      <c r="AO18" s="5" t="str">
        <f>VLOOKUP(AN18,[1]المرجع!$D$2:$E$11,2)</f>
        <v>ج+</v>
      </c>
      <c r="AP18" s="6">
        <f t="shared" si="7"/>
        <v>7</v>
      </c>
      <c r="AQ18" s="8">
        <f t="shared" si="8"/>
        <v>32</v>
      </c>
      <c r="AR18" s="9">
        <f t="shared" si="9"/>
        <v>16</v>
      </c>
      <c r="AS18" s="10">
        <f t="shared" si="10"/>
        <v>2</v>
      </c>
      <c r="AT18" s="11" t="str">
        <f>VLOOKUP(AS18,المصدر!$C$1:$E$10,3)</f>
        <v>مقبول</v>
      </c>
      <c r="AU18" s="28">
        <f t="shared" si="11"/>
        <v>17</v>
      </c>
    </row>
    <row r="19" spans="1:47" ht="28.5">
      <c r="A19" s="27">
        <v>2025350</v>
      </c>
      <c r="B19" s="2" t="s">
        <v>28</v>
      </c>
      <c r="C19" s="3">
        <v>1</v>
      </c>
      <c r="D19" s="2">
        <v>95</v>
      </c>
      <c r="E19" s="4">
        <f>VLOOKUP(D19,[1]المرجع!$B$2:$C$11,2)</f>
        <v>5</v>
      </c>
      <c r="F19" s="5" t="str">
        <f>VLOOKUP(E19,[1]المرجع!$D$2:$E$11,2)</f>
        <v xml:space="preserve">أ+ </v>
      </c>
      <c r="G19" s="6">
        <f t="shared" si="0"/>
        <v>5</v>
      </c>
      <c r="H19" s="12">
        <v>3</v>
      </c>
      <c r="I19" s="2">
        <v>50</v>
      </c>
      <c r="J19" s="4">
        <f>VLOOKUP(I19,[1]المرجع!$B$2:$C$11,2)</f>
        <v>2</v>
      </c>
      <c r="K19" s="5" t="str">
        <f>VLOOKUP(J19,[1]المرجع!$D$2:$E$11,2)</f>
        <v>د</v>
      </c>
      <c r="L19" s="6">
        <f t="shared" si="1"/>
        <v>6</v>
      </c>
      <c r="M19" s="12">
        <v>2</v>
      </c>
      <c r="N19" s="2">
        <v>27</v>
      </c>
      <c r="O19" s="4">
        <f>VLOOKUP(N19,[1]المرجع!$B$2:$C$11,2)</f>
        <v>0</v>
      </c>
      <c r="P19" s="5" t="str">
        <f>VLOOKUP(O19,[1]المرجع!$D$2:$E$11,2)</f>
        <v>ه</v>
      </c>
      <c r="Q19" s="6">
        <f t="shared" si="2"/>
        <v>0</v>
      </c>
      <c r="R19" s="12">
        <v>2</v>
      </c>
      <c r="S19" s="2">
        <v>50</v>
      </c>
      <c r="T19" s="4">
        <f>VLOOKUP(S19,[1]المرجع!$B$2:$C$11,2)</f>
        <v>2</v>
      </c>
      <c r="U19" s="5" t="str">
        <f>VLOOKUP(T19,[1]المرجع!$D$2:$E$11,2)</f>
        <v>د</v>
      </c>
      <c r="V19" s="6">
        <f t="shared" si="3"/>
        <v>4</v>
      </c>
      <c r="W19" s="12">
        <v>2</v>
      </c>
      <c r="X19" s="2">
        <v>55</v>
      </c>
      <c r="Y19" s="4">
        <f>VLOOKUP(X19,[1]المرجع!$B$2:$C$11,2)</f>
        <v>2</v>
      </c>
      <c r="Z19" s="5" t="str">
        <f>VLOOKUP(Y19,[1]المرجع!$D$2:$E$11,2)</f>
        <v>د</v>
      </c>
      <c r="AA19" s="6">
        <f t="shared" si="4"/>
        <v>4</v>
      </c>
      <c r="AB19" s="12">
        <v>2</v>
      </c>
      <c r="AC19" s="2">
        <v>50</v>
      </c>
      <c r="AD19" s="4">
        <f>VLOOKUP(AC19,[1]المرجع!$B$2:$C$11,2)</f>
        <v>2</v>
      </c>
      <c r="AE19" s="5" t="str">
        <f>VLOOKUP(AD19,[1]المرجع!$D$2:$E$11,2)</f>
        <v>د</v>
      </c>
      <c r="AF19" s="6">
        <f t="shared" si="5"/>
        <v>4</v>
      </c>
      <c r="AG19" s="12">
        <v>2</v>
      </c>
      <c r="AH19" s="2">
        <v>72</v>
      </c>
      <c r="AI19" s="4">
        <f>VLOOKUP(AH19,[1]المرجع!$B$2:$C$11,2)</f>
        <v>3</v>
      </c>
      <c r="AJ19" s="5" t="str">
        <f>VLOOKUP(AI19,[1]المرجع!$D$2:$E$11,2)</f>
        <v>ج</v>
      </c>
      <c r="AK19" s="6">
        <f t="shared" si="6"/>
        <v>6</v>
      </c>
      <c r="AL19" s="12">
        <v>2</v>
      </c>
      <c r="AM19" s="2">
        <v>26</v>
      </c>
      <c r="AN19" s="4">
        <f>VLOOKUP(AM19,[1]المرجع!$B$2:$C$11,2)</f>
        <v>0</v>
      </c>
      <c r="AO19" s="5" t="str">
        <f>VLOOKUP(AN19,[1]المرجع!$D$2:$E$11,2)</f>
        <v>ه</v>
      </c>
      <c r="AP19" s="6">
        <f t="shared" si="7"/>
        <v>0</v>
      </c>
      <c r="AQ19" s="8">
        <f t="shared" si="8"/>
        <v>29</v>
      </c>
      <c r="AR19" s="9">
        <f t="shared" si="9"/>
        <v>16</v>
      </c>
      <c r="AS19" s="10">
        <f t="shared" si="10"/>
        <v>1.8125</v>
      </c>
      <c r="AT19" s="11" t="str">
        <f>VLOOKUP(AS19,المصدر!$C$1:$E$10,3)</f>
        <v>راسب</v>
      </c>
      <c r="AU19" s="28">
        <f t="shared" si="11"/>
        <v>19</v>
      </c>
    </row>
    <row r="20" spans="1:47" ht="28.5">
      <c r="A20" s="27">
        <v>2025413</v>
      </c>
      <c r="B20" s="2" t="s">
        <v>30</v>
      </c>
      <c r="C20" s="3">
        <v>1</v>
      </c>
      <c r="D20" s="2">
        <v>22</v>
      </c>
      <c r="E20" s="4">
        <f>VLOOKUP(D20,[1]المرجع!$B$2:$C$11,2)</f>
        <v>0</v>
      </c>
      <c r="F20" s="5" t="str">
        <f>VLOOKUP(E20,[1]المرجع!$D$2:$E$11,2)</f>
        <v>ه</v>
      </c>
      <c r="G20" s="6">
        <f t="shared" si="0"/>
        <v>0</v>
      </c>
      <c r="H20" s="12">
        <v>3</v>
      </c>
      <c r="I20" s="2">
        <v>50</v>
      </c>
      <c r="J20" s="4">
        <f>VLOOKUP(I20,[1]المرجع!$B$2:$C$11,2)</f>
        <v>2</v>
      </c>
      <c r="K20" s="5" t="str">
        <f>VLOOKUP(J20,[1]المرجع!$D$2:$E$11,2)</f>
        <v>د</v>
      </c>
      <c r="L20" s="6">
        <f t="shared" si="1"/>
        <v>6</v>
      </c>
      <c r="M20" s="12">
        <v>2</v>
      </c>
      <c r="N20" s="2">
        <v>14</v>
      </c>
      <c r="O20" s="4">
        <f>VLOOKUP(N20,[1]المرجع!$B$2:$C$11,2)</f>
        <v>0</v>
      </c>
      <c r="P20" s="5" t="str">
        <f>VLOOKUP(O20,[1]المرجع!$D$2:$E$11,2)</f>
        <v>ه</v>
      </c>
      <c r="Q20" s="6">
        <f t="shared" si="2"/>
        <v>0</v>
      </c>
      <c r="R20" s="12">
        <v>2</v>
      </c>
      <c r="S20" s="2">
        <v>50</v>
      </c>
      <c r="T20" s="4">
        <f>VLOOKUP(S20,[1]المرجع!$B$2:$C$11,2)</f>
        <v>2</v>
      </c>
      <c r="U20" s="5" t="str">
        <f>VLOOKUP(T20,[1]المرجع!$D$2:$E$11,2)</f>
        <v>د</v>
      </c>
      <c r="V20" s="6">
        <f t="shared" si="3"/>
        <v>4</v>
      </c>
      <c r="W20" s="12">
        <v>2</v>
      </c>
      <c r="X20" s="2">
        <v>50</v>
      </c>
      <c r="Y20" s="4">
        <f>VLOOKUP(X20,[1]المرجع!$B$2:$C$11,2)</f>
        <v>2</v>
      </c>
      <c r="Z20" s="5" t="str">
        <f>VLOOKUP(Y20,[1]المرجع!$D$2:$E$11,2)</f>
        <v>د</v>
      </c>
      <c r="AA20" s="6">
        <f t="shared" si="4"/>
        <v>4</v>
      </c>
      <c r="AB20" s="12">
        <v>2</v>
      </c>
      <c r="AC20" s="2">
        <v>10</v>
      </c>
      <c r="AD20" s="4">
        <f>VLOOKUP(AC20,[1]المرجع!$B$2:$C$11,2)</f>
        <v>0</v>
      </c>
      <c r="AE20" s="5" t="str">
        <f>VLOOKUP(AD20,[1]المرجع!$D$2:$E$11,2)</f>
        <v>ه</v>
      </c>
      <c r="AF20" s="6">
        <f t="shared" si="5"/>
        <v>0</v>
      </c>
      <c r="AG20" s="12">
        <v>2</v>
      </c>
      <c r="AH20" s="2">
        <v>84</v>
      </c>
      <c r="AI20" s="4">
        <f>VLOOKUP(AH20,[1]المرجع!$B$2:$C$11,2)</f>
        <v>4</v>
      </c>
      <c r="AJ20" s="5" t="str">
        <f>VLOOKUP(AI20,[1]المرجع!$D$2:$E$11,2)</f>
        <v>ب</v>
      </c>
      <c r="AK20" s="6">
        <f t="shared" si="6"/>
        <v>8</v>
      </c>
      <c r="AL20" s="12">
        <v>2</v>
      </c>
      <c r="AM20" s="2">
        <v>74</v>
      </c>
      <c r="AN20" s="4">
        <f>VLOOKUP(AM20,[1]المرجع!$B$2:$C$11,2)</f>
        <v>3</v>
      </c>
      <c r="AO20" s="5" t="str">
        <f>VLOOKUP(AN20,[1]المرجع!$D$2:$E$11,2)</f>
        <v>ج</v>
      </c>
      <c r="AP20" s="6">
        <f t="shared" si="7"/>
        <v>6</v>
      </c>
      <c r="AQ20" s="8">
        <f t="shared" si="8"/>
        <v>28</v>
      </c>
      <c r="AR20" s="9">
        <f t="shared" si="9"/>
        <v>16</v>
      </c>
      <c r="AS20" s="10">
        <f t="shared" si="10"/>
        <v>1.75</v>
      </c>
      <c r="AT20" s="11" t="str">
        <f>VLOOKUP(AS20,المصدر!$C$1:$E$10,3)</f>
        <v>راسب</v>
      </c>
      <c r="AU20" s="28">
        <f t="shared" si="11"/>
        <v>20</v>
      </c>
    </row>
    <row r="21" spans="1:47" ht="28.5">
      <c r="A21" s="27">
        <v>2025384</v>
      </c>
      <c r="B21" s="2" t="s">
        <v>29</v>
      </c>
      <c r="C21" s="3">
        <v>1</v>
      </c>
      <c r="D21" s="2">
        <v>62</v>
      </c>
      <c r="E21" s="4">
        <f>VLOOKUP(D21,[1]المرجع!$B$2:$C$11,2)</f>
        <v>2</v>
      </c>
      <c r="F21" s="5" t="str">
        <f>VLOOKUP(E21,[1]المرجع!$D$2:$E$11,2)</f>
        <v>د</v>
      </c>
      <c r="G21" s="6">
        <f t="shared" si="0"/>
        <v>2</v>
      </c>
      <c r="H21" s="12">
        <v>3</v>
      </c>
      <c r="I21" s="2">
        <v>50</v>
      </c>
      <c r="J21" s="4">
        <f>VLOOKUP(I21,[1]المرجع!$B$2:$C$11,2)</f>
        <v>2</v>
      </c>
      <c r="K21" s="5" t="str">
        <f>VLOOKUP(J21,[1]المرجع!$D$2:$E$11,2)</f>
        <v>د</v>
      </c>
      <c r="L21" s="6">
        <f t="shared" si="1"/>
        <v>6</v>
      </c>
      <c r="M21" s="12">
        <v>2</v>
      </c>
      <c r="N21" s="2">
        <v>50</v>
      </c>
      <c r="O21" s="4">
        <f>VLOOKUP(N21,[1]المرجع!$B$2:$C$11,2)</f>
        <v>2</v>
      </c>
      <c r="P21" s="5" t="str">
        <f>VLOOKUP(O21,[1]المرجع!$D$2:$E$11,2)</f>
        <v>د</v>
      </c>
      <c r="Q21" s="6">
        <f t="shared" si="2"/>
        <v>4</v>
      </c>
      <c r="R21" s="12">
        <v>2</v>
      </c>
      <c r="S21" s="2">
        <v>50</v>
      </c>
      <c r="T21" s="4">
        <f>VLOOKUP(S21,[1]المرجع!$B$2:$C$11,2)</f>
        <v>2</v>
      </c>
      <c r="U21" s="5" t="str">
        <f>VLOOKUP(T21,[1]المرجع!$D$2:$E$11,2)</f>
        <v>د</v>
      </c>
      <c r="V21" s="6">
        <f t="shared" si="3"/>
        <v>4</v>
      </c>
      <c r="W21" s="12">
        <v>2</v>
      </c>
      <c r="X21" s="2">
        <v>26</v>
      </c>
      <c r="Y21" s="4">
        <f>VLOOKUP(X21,[1]المرجع!$B$2:$C$11,2)</f>
        <v>0</v>
      </c>
      <c r="Z21" s="5" t="str">
        <f>VLOOKUP(Y21,[1]المرجع!$D$2:$E$11,2)</f>
        <v>ه</v>
      </c>
      <c r="AA21" s="6">
        <f t="shared" si="4"/>
        <v>0</v>
      </c>
      <c r="AB21" s="12">
        <v>2</v>
      </c>
      <c r="AC21" s="2">
        <v>50</v>
      </c>
      <c r="AD21" s="4">
        <f>VLOOKUP(AC21,[1]المرجع!$B$2:$C$11,2)</f>
        <v>2</v>
      </c>
      <c r="AE21" s="5" t="str">
        <f>VLOOKUP(AD21,[1]المرجع!$D$2:$E$11,2)</f>
        <v>د</v>
      </c>
      <c r="AF21" s="6">
        <f t="shared" si="5"/>
        <v>4</v>
      </c>
      <c r="AG21" s="12">
        <v>2</v>
      </c>
      <c r="AH21" s="2">
        <v>74</v>
      </c>
      <c r="AI21" s="4">
        <f>VLOOKUP(AH21,[1]المرجع!$B$2:$C$11,2)</f>
        <v>3</v>
      </c>
      <c r="AJ21" s="5" t="str">
        <f>VLOOKUP(AI21,[1]المرجع!$D$2:$E$11,2)</f>
        <v>ج</v>
      </c>
      <c r="AK21" s="6">
        <f t="shared" si="6"/>
        <v>6</v>
      </c>
      <c r="AL21" s="12">
        <v>2</v>
      </c>
      <c r="AM21" s="2">
        <v>52</v>
      </c>
      <c r="AN21" s="4">
        <f>VLOOKUP(AM21,[1]المرجع!$B$2:$C$11,2)</f>
        <v>2</v>
      </c>
      <c r="AO21" s="5" t="str">
        <f>VLOOKUP(AN21,[1]المرجع!$D$2:$E$11,2)</f>
        <v>د</v>
      </c>
      <c r="AP21" s="6">
        <f t="shared" si="7"/>
        <v>4</v>
      </c>
      <c r="AQ21" s="8">
        <f t="shared" si="8"/>
        <v>30</v>
      </c>
      <c r="AR21" s="9">
        <f t="shared" si="9"/>
        <v>16</v>
      </c>
      <c r="AS21" s="10">
        <f t="shared" si="10"/>
        <v>1.875</v>
      </c>
      <c r="AT21" s="11" t="str">
        <f>VLOOKUP(AS21,المصدر!$C$1:$E$10,3)</f>
        <v>راسب</v>
      </c>
      <c r="AU21" s="28">
        <f t="shared" si="11"/>
        <v>18</v>
      </c>
    </row>
    <row r="22" spans="1:47" ht="28.5">
      <c r="A22" s="27">
        <v>2025391</v>
      </c>
      <c r="B22" s="2" t="s">
        <v>31</v>
      </c>
      <c r="C22" s="3">
        <v>1</v>
      </c>
      <c r="D22" s="2">
        <v>0</v>
      </c>
      <c r="E22" s="4">
        <f>VLOOKUP(D22,[1]المرجع!$B$2:$C$11,2)</f>
        <v>0</v>
      </c>
      <c r="F22" s="5" t="str">
        <f>VLOOKUP(E22,[1]المرجع!$D$2:$E$11,2)</f>
        <v>ه</v>
      </c>
      <c r="G22" s="6">
        <f t="shared" si="0"/>
        <v>0</v>
      </c>
      <c r="H22" s="12">
        <v>3</v>
      </c>
      <c r="I22" s="2">
        <v>61</v>
      </c>
      <c r="J22" s="4">
        <f>VLOOKUP(I22,[1]المرجع!$B$2:$C$11,2)</f>
        <v>2</v>
      </c>
      <c r="K22" s="5" t="str">
        <f>VLOOKUP(J22,[1]المرجع!$D$2:$E$11,2)</f>
        <v>د</v>
      </c>
      <c r="L22" s="6">
        <f t="shared" si="1"/>
        <v>6</v>
      </c>
      <c r="M22" s="12">
        <v>2</v>
      </c>
      <c r="N22" s="2">
        <v>58</v>
      </c>
      <c r="O22" s="4">
        <f>VLOOKUP(N22,[1]المرجع!$B$2:$C$11,2)</f>
        <v>2</v>
      </c>
      <c r="P22" s="5" t="str">
        <f>VLOOKUP(O22,[1]المرجع!$D$2:$E$11,2)</f>
        <v>د</v>
      </c>
      <c r="Q22" s="6">
        <f t="shared" si="2"/>
        <v>4</v>
      </c>
      <c r="R22" s="12">
        <v>2</v>
      </c>
      <c r="S22" s="2">
        <v>50</v>
      </c>
      <c r="T22" s="4">
        <f>VLOOKUP(S22,[1]المرجع!$B$2:$C$11,2)</f>
        <v>2</v>
      </c>
      <c r="U22" s="5" t="str">
        <f>VLOOKUP(T22,[1]المرجع!$D$2:$E$11,2)</f>
        <v>د</v>
      </c>
      <c r="V22" s="6">
        <f t="shared" si="3"/>
        <v>4</v>
      </c>
      <c r="W22" s="12">
        <v>2</v>
      </c>
      <c r="X22" s="2">
        <v>50</v>
      </c>
      <c r="Y22" s="4">
        <f>VLOOKUP(X22,[1]المرجع!$B$2:$C$11,2)</f>
        <v>2</v>
      </c>
      <c r="Z22" s="5" t="str">
        <f>VLOOKUP(Y22,[1]المرجع!$D$2:$E$11,2)</f>
        <v>د</v>
      </c>
      <c r="AA22" s="6">
        <f t="shared" si="4"/>
        <v>4</v>
      </c>
      <c r="AB22" s="12">
        <v>2</v>
      </c>
      <c r="AC22" s="2">
        <v>10</v>
      </c>
      <c r="AD22" s="4">
        <f>VLOOKUP(AC22,[1]المرجع!$B$2:$C$11,2)</f>
        <v>0</v>
      </c>
      <c r="AE22" s="5" t="str">
        <f>VLOOKUP(AD22,[1]المرجع!$D$2:$E$11,2)</f>
        <v>ه</v>
      </c>
      <c r="AF22" s="6">
        <f t="shared" si="5"/>
        <v>0</v>
      </c>
      <c r="AG22" s="12">
        <v>2</v>
      </c>
      <c r="AH22" s="2">
        <v>61</v>
      </c>
      <c r="AI22" s="4">
        <f>VLOOKUP(AH22,[1]المرجع!$B$2:$C$11,2)</f>
        <v>2</v>
      </c>
      <c r="AJ22" s="5" t="str">
        <f>VLOOKUP(AI22,[1]المرجع!$D$2:$E$11,2)</f>
        <v>د</v>
      </c>
      <c r="AK22" s="6">
        <f t="shared" si="6"/>
        <v>4</v>
      </c>
      <c r="AL22" s="12">
        <v>2</v>
      </c>
      <c r="AM22" s="2">
        <v>30</v>
      </c>
      <c r="AN22" s="4">
        <f>VLOOKUP(AM22,[1]المرجع!$B$2:$C$11,2)</f>
        <v>0</v>
      </c>
      <c r="AO22" s="5" t="str">
        <f>VLOOKUP(AN22,[1]المرجع!$D$2:$E$11,2)</f>
        <v>ه</v>
      </c>
      <c r="AP22" s="6">
        <f t="shared" si="7"/>
        <v>0</v>
      </c>
      <c r="AQ22" s="8">
        <f t="shared" si="8"/>
        <v>22</v>
      </c>
      <c r="AR22" s="9">
        <f t="shared" si="9"/>
        <v>16</v>
      </c>
      <c r="AS22" s="10">
        <f t="shared" si="10"/>
        <v>1.375</v>
      </c>
      <c r="AT22" s="11" t="str">
        <f>VLOOKUP(AS22,المصدر!$C$1:$E$10,3)</f>
        <v>راسب</v>
      </c>
      <c r="AU22" s="28">
        <f t="shared" si="11"/>
        <v>21</v>
      </c>
    </row>
    <row r="23" spans="1:47" ht="28.5">
      <c r="A23" s="27">
        <v>2025400</v>
      </c>
      <c r="B23" s="2" t="s">
        <v>32</v>
      </c>
      <c r="C23" s="3">
        <v>1</v>
      </c>
      <c r="D23" s="2">
        <v>30</v>
      </c>
      <c r="E23" s="4">
        <f>VLOOKUP(D23,[1]المرجع!$B$2:$C$11,2)</f>
        <v>0</v>
      </c>
      <c r="F23" s="5" t="str">
        <f>VLOOKUP(E23,[1]المرجع!$D$2:$E$11,2)</f>
        <v>ه</v>
      </c>
      <c r="G23" s="6">
        <f t="shared" si="0"/>
        <v>0</v>
      </c>
      <c r="H23" s="12">
        <v>3</v>
      </c>
      <c r="I23" s="2">
        <v>30</v>
      </c>
      <c r="J23" s="4">
        <f>VLOOKUP(I23,[1]المرجع!$B$2:$C$11,2)</f>
        <v>0</v>
      </c>
      <c r="K23" s="5" t="str">
        <f>VLOOKUP(J23,[1]المرجع!$D$2:$E$11,2)</f>
        <v>ه</v>
      </c>
      <c r="L23" s="6">
        <f t="shared" si="1"/>
        <v>0</v>
      </c>
      <c r="M23" s="12">
        <v>2</v>
      </c>
      <c r="N23" s="2">
        <v>30</v>
      </c>
      <c r="O23" s="4">
        <f>VLOOKUP(N23,[1]المرجع!$B$2:$C$11,2)</f>
        <v>0</v>
      </c>
      <c r="P23" s="5" t="str">
        <f>VLOOKUP(O23,[1]المرجع!$D$2:$E$11,2)</f>
        <v>ه</v>
      </c>
      <c r="Q23" s="6">
        <f t="shared" si="2"/>
        <v>0</v>
      </c>
      <c r="R23" s="12">
        <v>2</v>
      </c>
      <c r="S23" s="2">
        <v>23</v>
      </c>
      <c r="T23" s="4">
        <f>VLOOKUP(S23,[1]المرجع!$B$2:$C$11,2)</f>
        <v>0</v>
      </c>
      <c r="U23" s="5" t="str">
        <f>VLOOKUP(T23,[1]المرجع!$D$2:$E$11,2)</f>
        <v>ه</v>
      </c>
      <c r="V23" s="6">
        <f t="shared" si="3"/>
        <v>0</v>
      </c>
      <c r="W23" s="12">
        <v>2</v>
      </c>
      <c r="X23" s="2">
        <v>25</v>
      </c>
      <c r="Y23" s="4">
        <f>VLOOKUP(X23,[1]المرجع!$B$2:$C$11,2)</f>
        <v>0</v>
      </c>
      <c r="Z23" s="5" t="str">
        <f>VLOOKUP(Y23,[1]المرجع!$D$2:$E$11,2)</f>
        <v>ه</v>
      </c>
      <c r="AA23" s="6">
        <f t="shared" si="4"/>
        <v>0</v>
      </c>
      <c r="AB23" s="12">
        <v>2</v>
      </c>
      <c r="AC23" s="2">
        <v>30</v>
      </c>
      <c r="AD23" s="4">
        <f>VLOOKUP(AC23,[1]المرجع!$B$2:$C$11,2)</f>
        <v>0</v>
      </c>
      <c r="AE23" s="5" t="str">
        <f>VLOOKUP(AD23,[1]المرجع!$D$2:$E$11,2)</f>
        <v>ه</v>
      </c>
      <c r="AF23" s="6">
        <f t="shared" si="5"/>
        <v>0</v>
      </c>
      <c r="AG23" s="12">
        <v>2</v>
      </c>
      <c r="AH23" s="2">
        <v>30</v>
      </c>
      <c r="AI23" s="4">
        <f>VLOOKUP(AH23,[1]المرجع!$B$2:$C$11,2)</f>
        <v>0</v>
      </c>
      <c r="AJ23" s="5" t="str">
        <f>VLOOKUP(AI23,[1]المرجع!$D$2:$E$11,2)</f>
        <v>ه</v>
      </c>
      <c r="AK23" s="6">
        <f t="shared" si="6"/>
        <v>0</v>
      </c>
      <c r="AL23" s="12">
        <v>2</v>
      </c>
      <c r="AM23" s="2">
        <f>30+45</f>
        <v>75</v>
      </c>
      <c r="AN23" s="4">
        <f>VLOOKUP(AM23,[1]المرجع!$B$2:$C$11,2)</f>
        <v>3.5</v>
      </c>
      <c r="AO23" s="5" t="str">
        <f>VLOOKUP(AN23,[1]المرجع!$D$2:$E$11,2)</f>
        <v>ج+</v>
      </c>
      <c r="AP23" s="6">
        <f t="shared" si="7"/>
        <v>7</v>
      </c>
      <c r="AQ23" s="8">
        <f t="shared" si="8"/>
        <v>7</v>
      </c>
      <c r="AR23" s="9">
        <f t="shared" si="9"/>
        <v>16</v>
      </c>
      <c r="AS23" s="10">
        <f t="shared" si="10"/>
        <v>0.4375</v>
      </c>
      <c r="AT23" s="11" t="str">
        <f>VLOOKUP(AS23,المصدر!$C$1:$E$10,3)</f>
        <v>راسب</v>
      </c>
      <c r="AU23" s="28">
        <f t="shared" si="11"/>
        <v>22</v>
      </c>
    </row>
    <row r="24" spans="1:47" ht="28.5">
      <c r="A24" s="27">
        <v>2025349</v>
      </c>
      <c r="B24" s="2" t="s">
        <v>33</v>
      </c>
      <c r="C24" s="3">
        <v>1</v>
      </c>
      <c r="D24" s="2">
        <v>0</v>
      </c>
      <c r="E24" s="4">
        <f>VLOOKUP(D24,[1]المرجع!$B$2:$C$11,2)</f>
        <v>0</v>
      </c>
      <c r="F24" s="5" t="str">
        <f>VLOOKUP(E24,[1]المرجع!$D$2:$E$11,2)</f>
        <v>ه</v>
      </c>
      <c r="G24" s="6">
        <f t="shared" si="0"/>
        <v>0</v>
      </c>
      <c r="H24" s="12">
        <v>3</v>
      </c>
      <c r="I24" s="2">
        <v>0</v>
      </c>
      <c r="J24" s="4">
        <f>VLOOKUP(I24,[1]المرجع!$B$2:$C$11,2)</f>
        <v>0</v>
      </c>
      <c r="K24" s="5" t="str">
        <f>VLOOKUP(J24,[1]المرجع!$D$2:$E$11,2)</f>
        <v>ه</v>
      </c>
      <c r="L24" s="6">
        <f t="shared" si="1"/>
        <v>0</v>
      </c>
      <c r="M24" s="12">
        <v>2</v>
      </c>
      <c r="N24" s="2">
        <v>0</v>
      </c>
      <c r="O24" s="4">
        <f>VLOOKUP(N24,[1]المرجع!$B$2:$C$11,2)</f>
        <v>0</v>
      </c>
      <c r="P24" s="5" t="str">
        <f>VLOOKUP(O24,[1]المرجع!$D$2:$E$11,2)</f>
        <v>ه</v>
      </c>
      <c r="Q24" s="6">
        <f t="shared" si="2"/>
        <v>0</v>
      </c>
      <c r="R24" s="12">
        <v>2</v>
      </c>
      <c r="S24" s="2">
        <v>20</v>
      </c>
      <c r="T24" s="4">
        <f>VLOOKUP(S24,[1]المرجع!$B$2:$C$11,2)</f>
        <v>0</v>
      </c>
      <c r="U24" s="5" t="str">
        <f>VLOOKUP(T24,[1]المرجع!$D$2:$E$11,2)</f>
        <v>ه</v>
      </c>
      <c r="V24" s="6">
        <f t="shared" si="3"/>
        <v>0</v>
      </c>
      <c r="W24" s="12">
        <v>2</v>
      </c>
      <c r="X24" s="2">
        <v>0</v>
      </c>
      <c r="Y24" s="4">
        <f>VLOOKUP(X24,[1]المرجع!$B$2:$C$11,2)</f>
        <v>0</v>
      </c>
      <c r="Z24" s="5" t="str">
        <f>VLOOKUP(Y24,[1]المرجع!$D$2:$E$11,2)</f>
        <v>ه</v>
      </c>
      <c r="AA24" s="6">
        <f t="shared" si="4"/>
        <v>0</v>
      </c>
      <c r="AB24" s="12">
        <v>2</v>
      </c>
      <c r="AC24" s="2">
        <v>19</v>
      </c>
      <c r="AD24" s="4">
        <f>VLOOKUP(AC24,[1]المرجع!$B$2:$C$11,2)</f>
        <v>0</v>
      </c>
      <c r="AE24" s="5" t="str">
        <f>VLOOKUP(AD24,[1]المرجع!$D$2:$E$11,2)</f>
        <v>ه</v>
      </c>
      <c r="AF24" s="6">
        <f t="shared" si="5"/>
        <v>0</v>
      </c>
      <c r="AG24" s="12">
        <v>2</v>
      </c>
      <c r="AH24" s="2">
        <v>25</v>
      </c>
      <c r="AI24" s="4">
        <f>VLOOKUP(AH24,[1]المرجع!$B$2:$C$11,2)</f>
        <v>0</v>
      </c>
      <c r="AJ24" s="5" t="str">
        <f>VLOOKUP(AI24,[1]المرجع!$D$2:$E$11,2)</f>
        <v>ه</v>
      </c>
      <c r="AK24" s="6">
        <f t="shared" si="6"/>
        <v>0</v>
      </c>
      <c r="AL24" s="12">
        <v>2</v>
      </c>
      <c r="AM24" s="2">
        <v>22</v>
      </c>
      <c r="AN24" s="4">
        <f>VLOOKUP(AM24,[1]المرجع!$B$2:$C$11,2)</f>
        <v>0</v>
      </c>
      <c r="AO24" s="5" t="str">
        <f>VLOOKUP(AN24,[1]المرجع!$D$2:$E$11,2)</f>
        <v>ه</v>
      </c>
      <c r="AP24" s="6">
        <f t="shared" si="7"/>
        <v>0</v>
      </c>
      <c r="AQ24" s="8">
        <f t="shared" si="8"/>
        <v>0</v>
      </c>
      <c r="AR24" s="9">
        <f t="shared" si="9"/>
        <v>16</v>
      </c>
      <c r="AS24" s="10">
        <f t="shared" si="10"/>
        <v>0</v>
      </c>
      <c r="AT24" s="11" t="str">
        <f>VLOOKUP(AS24,المصدر!$C$1:$E$10,3)</f>
        <v>راسب</v>
      </c>
      <c r="AU24" s="28">
        <f t="shared" si="11"/>
        <v>23</v>
      </c>
    </row>
    <row r="25" spans="1:47" ht="28.5">
      <c r="A25" s="29">
        <v>2025414</v>
      </c>
      <c r="B25" s="30" t="s">
        <v>34</v>
      </c>
      <c r="C25" s="31">
        <v>1</v>
      </c>
      <c r="D25" s="30">
        <v>0</v>
      </c>
      <c r="E25" s="32">
        <f>VLOOKUP(D25,[1]المرجع!$B$2:$C$11,2)</f>
        <v>0</v>
      </c>
      <c r="F25" s="33" t="str">
        <f>VLOOKUP(E25,[1]المرجع!$D$2:$E$11,2)</f>
        <v>ه</v>
      </c>
      <c r="G25" s="34">
        <f t="shared" si="0"/>
        <v>0</v>
      </c>
      <c r="H25" s="35">
        <v>3</v>
      </c>
      <c r="I25" s="30">
        <v>0</v>
      </c>
      <c r="J25" s="32">
        <f>VLOOKUP(I25,[1]المرجع!$B$2:$C$11,2)</f>
        <v>0</v>
      </c>
      <c r="K25" s="33" t="str">
        <f>VLOOKUP(J25,[1]المرجع!$D$2:$E$11,2)</f>
        <v>ه</v>
      </c>
      <c r="L25" s="34">
        <f t="shared" si="1"/>
        <v>0</v>
      </c>
      <c r="M25" s="35">
        <v>2</v>
      </c>
      <c r="N25" s="30">
        <v>0</v>
      </c>
      <c r="O25" s="32">
        <f>VLOOKUP(N25,[1]المرجع!$B$2:$C$11,2)</f>
        <v>0</v>
      </c>
      <c r="P25" s="33" t="str">
        <f>VLOOKUP(O25,[1]المرجع!$D$2:$E$11,2)</f>
        <v>ه</v>
      </c>
      <c r="Q25" s="34">
        <f t="shared" si="2"/>
        <v>0</v>
      </c>
      <c r="R25" s="35">
        <v>2</v>
      </c>
      <c r="S25" s="30">
        <v>21</v>
      </c>
      <c r="T25" s="32">
        <f>VLOOKUP(S25,[1]المرجع!$B$2:$C$11,2)</f>
        <v>0</v>
      </c>
      <c r="U25" s="33" t="str">
        <f>VLOOKUP(T25,[1]المرجع!$D$2:$E$11,2)</f>
        <v>ه</v>
      </c>
      <c r="V25" s="34">
        <f t="shared" si="3"/>
        <v>0</v>
      </c>
      <c r="W25" s="35">
        <v>2</v>
      </c>
      <c r="X25" s="30">
        <v>0</v>
      </c>
      <c r="Y25" s="32">
        <f>VLOOKUP(X25,[1]المرجع!$B$2:$C$11,2)</f>
        <v>0</v>
      </c>
      <c r="Z25" s="33" t="str">
        <f>VLOOKUP(Y25,[1]المرجع!$D$2:$E$11,2)</f>
        <v>ه</v>
      </c>
      <c r="AA25" s="34">
        <f t="shared" si="4"/>
        <v>0</v>
      </c>
      <c r="AB25" s="35">
        <v>2</v>
      </c>
      <c r="AC25" s="30">
        <v>0</v>
      </c>
      <c r="AD25" s="32">
        <f>VLOOKUP(AC25,[1]المرجع!$B$2:$C$11,2)</f>
        <v>0</v>
      </c>
      <c r="AE25" s="33" t="str">
        <f>VLOOKUP(AD25,[1]المرجع!$D$2:$E$11,2)</f>
        <v>ه</v>
      </c>
      <c r="AF25" s="34">
        <f t="shared" si="5"/>
        <v>0</v>
      </c>
      <c r="AG25" s="35">
        <v>2</v>
      </c>
      <c r="AH25" s="30"/>
      <c r="AI25" s="32">
        <f>VLOOKUP(AH25,[1]المرجع!$B$2:$C$11,2)</f>
        <v>0</v>
      </c>
      <c r="AJ25" s="33" t="str">
        <f>VLOOKUP(AI25,[1]المرجع!$D$2:$E$11,2)</f>
        <v>ه</v>
      </c>
      <c r="AK25" s="34">
        <f t="shared" si="6"/>
        <v>0</v>
      </c>
      <c r="AL25" s="35">
        <v>2</v>
      </c>
      <c r="AM25" s="30">
        <v>0</v>
      </c>
      <c r="AN25" s="32">
        <f>VLOOKUP(AM25,[1]المرجع!$B$2:$C$11,2)</f>
        <v>0</v>
      </c>
      <c r="AO25" s="33" t="str">
        <f>VLOOKUP(AN25,[1]المرجع!$D$2:$E$11,2)</f>
        <v>ه</v>
      </c>
      <c r="AP25" s="34">
        <f t="shared" si="7"/>
        <v>0</v>
      </c>
      <c r="AQ25" s="36">
        <f t="shared" si="8"/>
        <v>0</v>
      </c>
      <c r="AR25" s="37">
        <f t="shared" si="9"/>
        <v>16</v>
      </c>
      <c r="AS25" s="38">
        <f t="shared" si="10"/>
        <v>0</v>
      </c>
      <c r="AT25" s="39" t="str">
        <f>VLOOKUP(AS25,المصدر!$C$1:$E$10,3)</f>
        <v>راسب</v>
      </c>
      <c r="AU25" s="40">
        <f t="shared" si="11"/>
        <v>23</v>
      </c>
    </row>
    <row r="27" spans="1:47" ht="18.5">
      <c r="B27" s="51"/>
    </row>
  </sheetData>
  <conditionalFormatting sqref="D2:D25">
    <cfRule type="cellIs" dxfId="9" priority="8" operator="lessThan">
      <formula>50</formula>
    </cfRule>
  </conditionalFormatting>
  <conditionalFormatting sqref="I2:I25">
    <cfRule type="cellIs" dxfId="8" priority="7" operator="lessThan">
      <formula>50</formula>
    </cfRule>
  </conditionalFormatting>
  <conditionalFormatting sqref="N2:N25">
    <cfRule type="cellIs" dxfId="7" priority="6" operator="lessThan">
      <formula>50</formula>
    </cfRule>
  </conditionalFormatting>
  <conditionalFormatting sqref="S2:S25">
    <cfRule type="cellIs" dxfId="6" priority="5" operator="lessThan">
      <formula>50</formula>
    </cfRule>
  </conditionalFormatting>
  <conditionalFormatting sqref="X2:X25">
    <cfRule type="cellIs" dxfId="5" priority="4" operator="lessThan">
      <formula>50</formula>
    </cfRule>
  </conditionalFormatting>
  <conditionalFormatting sqref="AC2:AC25">
    <cfRule type="cellIs" dxfId="4" priority="3" operator="lessThan">
      <formula>50</formula>
    </cfRule>
  </conditionalFormatting>
  <conditionalFormatting sqref="AH2:AH25">
    <cfRule type="cellIs" dxfId="3" priority="2" operator="lessThan">
      <formula>50</formula>
    </cfRule>
  </conditionalFormatting>
  <conditionalFormatting sqref="AM2:AM25">
    <cfRule type="cellIs" dxfId="2" priority="1" operator="lessThan">
      <formula>50</formula>
    </cfRule>
  </conditionalFormatting>
  <conditionalFormatting sqref="AT2:AT25">
    <cfRule type="containsText" dxfId="1" priority="9" operator="containsText" text="ممتاز مرتفع">
      <formula>NOT(ISERROR(SEARCH("ممتاز مرتفع",AT2)))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B409-2B00-46BF-A475-6DA261A7B061}">
  <sheetPr>
    <tabColor rgb="FFFF0000"/>
  </sheetPr>
  <dimension ref="A1:E10"/>
  <sheetViews>
    <sheetView rightToLeft="1" workbookViewId="0">
      <selection activeCell="D9" sqref="D9"/>
    </sheetView>
  </sheetViews>
  <sheetFormatPr defaultRowHeight="14.5"/>
  <cols>
    <col min="5" max="5" width="13.54296875" bestFit="1" customWidth="1"/>
  </cols>
  <sheetData>
    <row r="1" spans="1:5" ht="49.5">
      <c r="A1" s="7" t="s">
        <v>40</v>
      </c>
      <c r="B1" s="7" t="s">
        <v>35</v>
      </c>
      <c r="C1" s="7" t="s">
        <v>41</v>
      </c>
      <c r="D1" s="7" t="s">
        <v>42</v>
      </c>
      <c r="E1" s="7" t="s">
        <v>10</v>
      </c>
    </row>
    <row r="2" spans="1:5" ht="29.5">
      <c r="A2" s="13">
        <v>0</v>
      </c>
      <c r="B2" s="13">
        <v>0</v>
      </c>
      <c r="C2" s="13">
        <v>0</v>
      </c>
      <c r="D2" s="14" t="s">
        <v>43</v>
      </c>
      <c r="E2" s="13" t="s">
        <v>44</v>
      </c>
    </row>
    <row r="3" spans="1:5" ht="29.5">
      <c r="A3" s="13">
        <v>50</v>
      </c>
      <c r="B3" s="13">
        <v>2</v>
      </c>
      <c r="C3" s="13">
        <v>2</v>
      </c>
      <c r="D3" s="14" t="s">
        <v>45</v>
      </c>
      <c r="E3" s="13" t="s">
        <v>46</v>
      </c>
    </row>
    <row r="4" spans="1:5" ht="29.5">
      <c r="A4" s="13">
        <v>65</v>
      </c>
      <c r="B4" s="13">
        <v>2.5</v>
      </c>
      <c r="C4" s="13">
        <v>2.1</v>
      </c>
      <c r="D4" s="14" t="s">
        <v>47</v>
      </c>
      <c r="E4" s="13" t="s">
        <v>48</v>
      </c>
    </row>
    <row r="5" spans="1:5" ht="29.5">
      <c r="A5" s="13">
        <v>70</v>
      </c>
      <c r="B5" s="13">
        <v>3</v>
      </c>
      <c r="C5" s="13">
        <v>2.6</v>
      </c>
      <c r="D5" s="14" t="s">
        <v>49</v>
      </c>
      <c r="E5" s="13" t="s">
        <v>50</v>
      </c>
    </row>
    <row r="6" spans="1:5" ht="29.5">
      <c r="A6" s="13">
        <v>75</v>
      </c>
      <c r="B6" s="13">
        <v>3.5</v>
      </c>
      <c r="C6" s="13">
        <v>3.1</v>
      </c>
      <c r="D6" s="14" t="s">
        <v>51</v>
      </c>
      <c r="E6" s="13" t="s">
        <v>52</v>
      </c>
    </row>
    <row r="7" spans="1:5" ht="29.5">
      <c r="A7" s="13">
        <v>80</v>
      </c>
      <c r="B7" s="13">
        <v>4</v>
      </c>
      <c r="C7" s="13">
        <v>3.6</v>
      </c>
      <c r="D7" s="14" t="s">
        <v>53</v>
      </c>
      <c r="E7" s="13" t="s">
        <v>54</v>
      </c>
    </row>
    <row r="8" spans="1:5" ht="29.5">
      <c r="A8" s="13">
        <v>85</v>
      </c>
      <c r="B8" s="13">
        <v>4.5</v>
      </c>
      <c r="C8" s="13">
        <v>4.0999999999999996</v>
      </c>
      <c r="D8" s="14" t="s">
        <v>55</v>
      </c>
      <c r="E8" s="13" t="s">
        <v>56</v>
      </c>
    </row>
    <row r="9" spans="1:5" ht="29.5">
      <c r="A9" s="13">
        <v>90</v>
      </c>
      <c r="B9" s="13">
        <v>4.75</v>
      </c>
      <c r="C9" s="13">
        <v>4.5999999999999996</v>
      </c>
      <c r="D9" s="14" t="s">
        <v>57</v>
      </c>
      <c r="E9" s="13" t="s">
        <v>58</v>
      </c>
    </row>
    <row r="10" spans="1:5" ht="29.5">
      <c r="A10" s="13">
        <v>95</v>
      </c>
      <c r="B10" s="13">
        <v>5</v>
      </c>
      <c r="C10" s="13">
        <v>4.76</v>
      </c>
      <c r="D10" s="14" t="s">
        <v>59</v>
      </c>
      <c r="E10" s="13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343E-DF9C-4DAB-8B78-EC1A67BDFCA0}">
  <dimension ref="A5:H26"/>
  <sheetViews>
    <sheetView rightToLeft="1" tabSelected="1" view="pageLayout" zoomScaleNormal="100" workbookViewId="0">
      <selection activeCell="B9" sqref="B9:H9"/>
    </sheetView>
  </sheetViews>
  <sheetFormatPr defaultRowHeight="14.5"/>
  <cols>
    <col min="1" max="1" width="5.6328125" customWidth="1"/>
    <col min="2" max="2" width="19.1796875" customWidth="1"/>
    <col min="4" max="4" width="9.08984375" customWidth="1"/>
    <col min="5" max="5" width="11.1796875" customWidth="1"/>
    <col min="6" max="6" width="6.453125" customWidth="1"/>
    <col min="8" max="8" width="10.36328125" customWidth="1"/>
  </cols>
  <sheetData>
    <row r="5" spans="1:8" ht="28.5">
      <c r="A5" s="57" t="s">
        <v>93</v>
      </c>
      <c r="B5" s="58"/>
      <c r="C5" s="59"/>
      <c r="D5" s="60">
        <v>2025339</v>
      </c>
      <c r="E5" s="61"/>
      <c r="F5" s="61"/>
      <c r="G5" s="61"/>
      <c r="H5" s="61"/>
    </row>
    <row r="6" spans="1:8" ht="30">
      <c r="A6" s="57" t="s">
        <v>94</v>
      </c>
      <c r="B6" s="58"/>
      <c r="C6" s="59"/>
      <c r="D6" s="62" t="str" cm="1">
        <f t="array" ref="D6">_xlfn.XLOOKUP($D$5,'المستوى الأول'!A2:A25,الجدول1[[أسماء الطلبة ]])</f>
        <v xml:space="preserve">حليمة دمبا امبالو </v>
      </c>
      <c r="E6" s="63"/>
      <c r="F6" s="63"/>
      <c r="G6" s="63"/>
      <c r="H6" s="63"/>
    </row>
    <row r="7" spans="1:8" ht="25.5">
      <c r="A7" s="57" t="s">
        <v>95</v>
      </c>
      <c r="B7" s="58"/>
      <c r="C7" s="59"/>
      <c r="D7" s="64" t="s">
        <v>113</v>
      </c>
      <c r="E7" s="65"/>
      <c r="F7" s="65"/>
      <c r="G7" s="65"/>
      <c r="H7" s="65"/>
    </row>
    <row r="8" spans="1:8" ht="16" thickBot="1">
      <c r="A8" s="89" t="s">
        <v>96</v>
      </c>
      <c r="B8" s="90"/>
      <c r="C8" s="91"/>
      <c r="D8" s="66" t="s">
        <v>97</v>
      </c>
      <c r="E8" s="67"/>
      <c r="F8" s="67"/>
      <c r="G8" s="67"/>
      <c r="H8" s="67"/>
    </row>
    <row r="9" spans="1:8" ht="29.4" customHeight="1">
      <c r="A9" s="68" t="s">
        <v>98</v>
      </c>
      <c r="B9" s="71" t="s">
        <v>99</v>
      </c>
      <c r="C9" s="71"/>
      <c r="D9" s="71"/>
      <c r="E9" s="71"/>
      <c r="F9" s="71"/>
      <c r="G9" s="71"/>
      <c r="H9" s="72"/>
    </row>
    <row r="10" spans="1:8" ht="24.65" customHeight="1">
      <c r="A10" s="69"/>
      <c r="B10" s="73" t="s">
        <v>100</v>
      </c>
      <c r="C10" s="73"/>
      <c r="D10" s="74"/>
      <c r="E10" s="75" t="s">
        <v>101</v>
      </c>
      <c r="F10" s="77" t="s">
        <v>10</v>
      </c>
      <c r="G10" s="77"/>
      <c r="H10" s="78" t="s">
        <v>102</v>
      </c>
    </row>
    <row r="11" spans="1:8" ht="28.75" customHeight="1" thickBot="1">
      <c r="A11" s="70"/>
      <c r="B11" s="15" t="s">
        <v>103</v>
      </c>
      <c r="C11" s="16" t="s">
        <v>104</v>
      </c>
      <c r="D11" s="17" t="s">
        <v>105</v>
      </c>
      <c r="E11" s="76"/>
      <c r="F11" s="18" t="s">
        <v>106</v>
      </c>
      <c r="G11" s="19" t="s">
        <v>107</v>
      </c>
      <c r="H11" s="79"/>
    </row>
    <row r="12" spans="1:8" ht="31.25" customHeight="1">
      <c r="A12" s="20" t="str">
        <f>_xlfn.UNICHAR(ROW()-11+9311)</f>
        <v>①</v>
      </c>
      <c r="B12" s="55" t="s">
        <v>2</v>
      </c>
      <c r="C12" s="56" t="s">
        <v>114</v>
      </c>
      <c r="D12" s="21" cm="1">
        <f t="array" ref="D12">_xlfn.XLOOKUP($D$5,'المستوى الأول'!A2:A25,الجدول1[الساعة (م ق)])</f>
        <v>1</v>
      </c>
      <c r="E12" s="52" cm="1">
        <f t="array" ref="E12">_xlfn.XLOOKUP($D$5,'المستوى الأول'!A2:A25,الجدول1[[القرآن الكريم ]])</f>
        <v>78</v>
      </c>
      <c r="F12" s="22" cm="1">
        <f t="array" ref="F12">_xlfn.XLOOKUP($D$5,'المستوى الأول'!A2:A25,الجدول1[الوزن (م ق)])</f>
        <v>3.5</v>
      </c>
      <c r="G12" s="23" t="str" cm="1">
        <f t="array" ref="G12">_xlfn.XLOOKUP($D$5,'المستوى الأول'!A2:A25,الجدول1[الرمز (م ق)])</f>
        <v>ج+</v>
      </c>
      <c r="H12" s="24" cm="1">
        <f t="array" ref="H12">_xlfn.XLOOKUP($D$5,'المستوى الأول'!A2:A25,الجدول1[النقاط(م ق)])</f>
        <v>3.5</v>
      </c>
    </row>
    <row r="13" spans="1:8" ht="31.25" customHeight="1">
      <c r="A13" s="20" t="str">
        <f t="shared" ref="A13:A19" si="0">_xlfn.UNICHAR(ROW()-11+9311)</f>
        <v>②</v>
      </c>
      <c r="B13" s="55" t="s">
        <v>119</v>
      </c>
      <c r="C13" s="56" t="s">
        <v>118</v>
      </c>
      <c r="D13" s="21" cm="1">
        <f t="array" ref="D13">_xlfn.XLOOKUP($D$5,'المستوى الأول'!A2:A25,الجدول1[الساعة (م ت)])</f>
        <v>3</v>
      </c>
      <c r="E13" s="52" cm="1">
        <f t="array" ref="E13">_xlfn.XLOOKUP($D$5,'المستوى الأول'!A2:A25,الجدول1[التوحيد 1])</f>
        <v>100</v>
      </c>
      <c r="F13" s="22" cm="1">
        <f t="array" ref="F13">_xlfn.XLOOKUP($D$5,'المستوى الأول'!A2:A25,الجدول1[الوزن (م ت)])</f>
        <v>5</v>
      </c>
      <c r="G13" s="23" t="str" cm="1">
        <f t="array" ref="G13">_xlfn.XLOOKUP($D$5,'المستوى الأول'!A2:A25,الجدول1[الرمز (م ت)])</f>
        <v xml:space="preserve">أ+ </v>
      </c>
      <c r="H13" s="24" cm="1">
        <f t="array" ref="H13">_xlfn.XLOOKUP($D$5,'المستوى الأول'!A2:A25,الجدول1[النقاط (م ت)])</f>
        <v>15</v>
      </c>
    </row>
    <row r="14" spans="1:8" ht="31.25" customHeight="1">
      <c r="A14" s="20" t="str">
        <f t="shared" si="0"/>
        <v>③</v>
      </c>
      <c r="B14" s="55" t="s">
        <v>4</v>
      </c>
      <c r="C14" s="56" t="s">
        <v>115</v>
      </c>
      <c r="D14" s="21" cm="1">
        <f t="array" ref="D14">_xlfn.XLOOKUP($D$5,'المستوى الأول'!A2:A25,الجدول1[الساعة (م ت ع)])</f>
        <v>2</v>
      </c>
      <c r="E14" s="52" cm="1">
        <f t="array" ref="E14">_xlfn.XLOOKUP($D$5,'المستوى الأول'!A2:A25,الجدول1[التدوين في علم  العقيدة])</f>
        <v>100</v>
      </c>
      <c r="F14" s="22" cm="1">
        <f t="array" ref="F14">_xlfn.XLOOKUP($D$5,'المستوى الأول'!A2:A25,الجدول1[الوزن (م ت ع)])</f>
        <v>5</v>
      </c>
      <c r="G14" s="23" t="str" cm="1">
        <f t="array" ref="G14">_xlfn.XLOOKUP($D$5,'المستوى الأول'!A2:A25,الجدول1[الرمز (م ت ع)])</f>
        <v xml:space="preserve">أ+ </v>
      </c>
      <c r="H14" s="24" cm="1">
        <f t="array" ref="H14">_xlfn.XLOOKUP($D$5,'المستوى الأول'!A2:A25,الجدول1[النقاط (م ت ع)])</f>
        <v>10</v>
      </c>
    </row>
    <row r="15" spans="1:8" ht="31.25" customHeight="1">
      <c r="A15" s="20" t="str">
        <f t="shared" si="0"/>
        <v>④</v>
      </c>
      <c r="B15" s="55" t="s">
        <v>5</v>
      </c>
      <c r="C15" s="56" t="s">
        <v>116</v>
      </c>
      <c r="D15" s="21" cm="1">
        <f t="array" ref="D15">_xlfn.XLOOKUP($D$5,'المستوى الأول'!A2:A25,الجدول1[الساعة ( م ب)])</f>
        <v>2</v>
      </c>
      <c r="E15" s="52" cm="1">
        <f t="array" ref="E15">_xlfn.XLOOKUP($D$5,'المستوى الأول'!A2:A25,الجدول1[[مناهج البحث ]])</f>
        <v>95</v>
      </c>
      <c r="F15" s="22" cm="1">
        <f t="array" ref="F15">_xlfn.XLOOKUP($D$5,'المستوى الأول'!A2:A25,الجدول1[الوزن  ( م ب)])</f>
        <v>5</v>
      </c>
      <c r="G15" s="23" t="str" cm="1">
        <f t="array" ref="G15">_xlfn.XLOOKUP($D$5,'المستوى الأول'!A2:A25,الجدول1[الرمز  ( م ب)])</f>
        <v xml:space="preserve">أ+ </v>
      </c>
      <c r="H15" s="24" cm="1">
        <f t="array" ref="H15">_xlfn.XLOOKUP($D$5,'المستوى الأول'!A2:A25,الجدول1[النقاط  ( م ب)])</f>
        <v>10</v>
      </c>
    </row>
    <row r="16" spans="1:8" ht="31.25" customHeight="1">
      <c r="A16" s="20" t="str">
        <f t="shared" si="0"/>
        <v>⑤</v>
      </c>
      <c r="B16" s="55" t="s">
        <v>6</v>
      </c>
      <c r="C16" s="56" t="s">
        <v>117</v>
      </c>
      <c r="D16" s="21" cm="1">
        <f t="array" ref="D16">_xlfn.XLOOKUP($D$5,'المستوى الأول'!A2:A25,الجدول1[الساعة ( م ع ق)])</f>
        <v>2</v>
      </c>
      <c r="E16" s="52" cm="1">
        <f t="array" ref="E16">_xlfn.XLOOKUP($D$5,'المستوى الأول'!A2:A25,الجدول1[[المدخل إلى علوم القرآن ]])</f>
        <v>86</v>
      </c>
      <c r="F16" s="22" cm="1">
        <f t="array" ref="F16">_xlfn.XLOOKUP($D$5,'المستوى الأول'!A2:A25,الجدول1[الوزن ( م ع ق)])</f>
        <v>4.5</v>
      </c>
      <c r="G16" s="23" t="str" cm="1">
        <f t="array" ref="G16">_xlfn.XLOOKUP($D$5,'المستوى الأول'!A2:A25,الجدول1[الرمز  ( م ع ق)])</f>
        <v>ب+</v>
      </c>
      <c r="H16" s="24" cm="1">
        <f t="array" ref="H16">_xlfn.XLOOKUP($D$5,'المستوى الأول'!A2:A25,الجدول1[النقاط ( م ع ق)])</f>
        <v>9</v>
      </c>
    </row>
    <row r="17" spans="1:8" ht="31.25" customHeight="1">
      <c r="A17" s="20" t="str">
        <f t="shared" si="0"/>
        <v>⑥</v>
      </c>
      <c r="B17" s="55" t="s">
        <v>7</v>
      </c>
      <c r="C17" s="56" t="s">
        <v>114</v>
      </c>
      <c r="D17" s="21" cm="1">
        <f t="array" ref="D17">_xlfn.XLOOKUP($D$5,'المستوى الأول'!A2:A25,الجدول1[الساعة ( م تج)])</f>
        <v>2</v>
      </c>
      <c r="E17" s="52" cm="1">
        <f t="array" ref="E17">_xlfn.XLOOKUP($D$5,'المستوى الأول'!A2:A25,الجدول1[التجويد])</f>
        <v>79</v>
      </c>
      <c r="F17" s="22" cm="1">
        <f t="array" ref="F17">_xlfn.XLOOKUP($D$5,'المستوى الأول'!A2:A25,الجدول1[الوزن ( م تج)])</f>
        <v>3.5</v>
      </c>
      <c r="G17" s="23" t="str" cm="1">
        <f t="array" ref="G17">_xlfn.XLOOKUP($D$5,'المستوى الأول'!A2:A25,الجدول1[الرمز ( م تج)])</f>
        <v>ج+</v>
      </c>
      <c r="H17" s="25" cm="1">
        <f t="array" ref="H17">_xlfn.XLOOKUP($D$5,'المستوى الأول'!A2:A25,الجدول1[النقاط ( م تج)])</f>
        <v>7</v>
      </c>
    </row>
    <row r="18" spans="1:8" ht="31.25" customHeight="1">
      <c r="A18" s="20" t="str">
        <f t="shared" si="0"/>
        <v>⑦</v>
      </c>
      <c r="B18" s="55" t="s">
        <v>8</v>
      </c>
      <c r="C18" s="56" t="s">
        <v>120</v>
      </c>
      <c r="D18" s="21" cm="1">
        <f t="array" ref="D18">_xlfn.XLOOKUP($D$5,'المستوى الأول'!A2:A25,الجدول1[الساعة( م ن)])</f>
        <v>2</v>
      </c>
      <c r="E18" s="52" cm="1">
        <f t="array" ref="E18">_xlfn.XLOOKUP($D$5,'المستوى الأول'!A2:A25,الجدول1[النحو (1)])</f>
        <v>96</v>
      </c>
      <c r="F18" s="22" cm="1">
        <f t="array" ref="F18">_xlfn.XLOOKUP($D$5,'المستوى الأول'!A2:A25,الجدول1[الوزن ( م ن)])</f>
        <v>5</v>
      </c>
      <c r="G18" s="23" t="str" cm="1">
        <f t="array" ref="G18">_xlfn.XLOOKUP($D$5,'المستوى الأول'!A2:A25,الجدول1[الرمز ( م ن)])</f>
        <v xml:space="preserve">أ+ </v>
      </c>
      <c r="H18" s="25" cm="1">
        <f t="array" ref="H18">_xlfn.XLOOKUP($D$5,'المستوى الأول'!A2:A25,الجدول1[النقاطة ( م ن)])</f>
        <v>10</v>
      </c>
    </row>
    <row r="19" spans="1:8" ht="31.25" customHeight="1" thickBot="1">
      <c r="A19" s="20" t="str">
        <f t="shared" si="0"/>
        <v>⑧</v>
      </c>
      <c r="B19" s="55" t="s">
        <v>9</v>
      </c>
      <c r="C19" s="56" t="s">
        <v>120</v>
      </c>
      <c r="D19" s="21" cm="1">
        <f t="array" ref="D19:H19">_xlfn.XLOOKUP($D$5,'المستوى الأول'!A2:A25,الجدول1[[الساعة (مEng)]:[النقاط  (مEng)]])</f>
        <v>2</v>
      </c>
      <c r="E19" s="52">
        <v>98</v>
      </c>
      <c r="F19" s="22">
        <v>5</v>
      </c>
      <c r="G19" s="23" t="str">
        <v xml:space="preserve">أ+ </v>
      </c>
      <c r="H19" s="25">
        <v>10</v>
      </c>
    </row>
    <row r="20" spans="1:8" ht="28.25" customHeight="1">
      <c r="A20" s="80" t="s">
        <v>108</v>
      </c>
      <c r="B20" s="81"/>
      <c r="C20" s="82"/>
      <c r="D20" s="53">
        <f>SUM(D12:D19)</f>
        <v>16</v>
      </c>
      <c r="E20" s="26"/>
      <c r="F20" s="26"/>
      <c r="G20" s="26"/>
      <c r="H20" s="54">
        <f>SUM(H12:H19)</f>
        <v>74.5</v>
      </c>
    </row>
    <row r="21" spans="1:8" ht="28.25" customHeight="1">
      <c r="A21" s="83" t="s">
        <v>109</v>
      </c>
      <c r="B21" s="84"/>
      <c r="C21" s="85"/>
      <c r="D21" s="98" cm="1">
        <f t="array" ref="D21">_xlfn.XLOOKUP($D$5,'المستوى الأول'!A2:A25,الجدول1[[المعدل الفصلي ]])</f>
        <v>4.65625</v>
      </c>
      <c r="E21" s="99"/>
      <c r="F21" s="99"/>
      <c r="G21" s="99"/>
      <c r="H21" s="100"/>
    </row>
    <row r="22" spans="1:8" ht="28.25" customHeight="1">
      <c r="A22" s="86" t="s">
        <v>110</v>
      </c>
      <c r="B22" s="87"/>
      <c r="C22" s="88"/>
      <c r="D22" s="101" cm="1">
        <f t="array" ref="D22">_xlfn.XLOOKUP($D$5,'المستوى الأول'!A2:A25,الجدول1[[المعدل الفصلي ]])</f>
        <v>4.65625</v>
      </c>
      <c r="E22" s="102"/>
      <c r="F22" s="102"/>
      <c r="G22" s="102"/>
      <c r="H22" s="103"/>
    </row>
    <row r="23" spans="1:8" ht="34.25" customHeight="1">
      <c r="A23" s="83" t="s">
        <v>111</v>
      </c>
      <c r="B23" s="84"/>
      <c r="C23" s="85"/>
      <c r="D23" s="104" t="str" cm="1">
        <f t="array" ref="D23">_xlfn.XLOOKUP($D$5,'المستوى الأول'!A2:A25,الجدول1[التقدير])</f>
        <v xml:space="preserve">ممتاز </v>
      </c>
      <c r="E23" s="105"/>
      <c r="F23" s="105"/>
      <c r="G23" s="105"/>
      <c r="H23" s="106"/>
    </row>
    <row r="24" spans="1:8" ht="28.25" customHeight="1" thickBot="1">
      <c r="A24" s="92" t="s">
        <v>112</v>
      </c>
      <c r="B24" s="93"/>
      <c r="C24" s="94"/>
      <c r="D24" s="95" cm="1">
        <f t="array" ref="D24">_xlfn.XLOOKUP($D$5,'المستوى الأول'!A2:A25,الجدول1[الترتيب])</f>
        <v>4</v>
      </c>
      <c r="E24" s="96"/>
      <c r="F24" s="96"/>
      <c r="G24" s="96"/>
      <c r="H24" s="97"/>
    </row>
    <row r="26" spans="1:8" ht="10.25" customHeight="1"/>
  </sheetData>
  <mergeCells count="23">
    <mergeCell ref="A24:C24"/>
    <mergeCell ref="D24:H24"/>
    <mergeCell ref="D21:H21"/>
    <mergeCell ref="D22:H22"/>
    <mergeCell ref="D23:H23"/>
    <mergeCell ref="A20:C20"/>
    <mergeCell ref="A21:C21"/>
    <mergeCell ref="A22:C22"/>
    <mergeCell ref="A23:C23"/>
    <mergeCell ref="A8:C8"/>
    <mergeCell ref="D8:H8"/>
    <mergeCell ref="A9:A11"/>
    <mergeCell ref="B9:H9"/>
    <mergeCell ref="B10:D10"/>
    <mergeCell ref="E10:E11"/>
    <mergeCell ref="F10:G10"/>
    <mergeCell ref="H10:H11"/>
    <mergeCell ref="A5:C5"/>
    <mergeCell ref="D5:H5"/>
    <mergeCell ref="A6:C6"/>
    <mergeCell ref="D6:H6"/>
    <mergeCell ref="A7:C7"/>
    <mergeCell ref="D7:H7"/>
  </mergeCells>
  <conditionalFormatting sqref="E12:E19">
    <cfRule type="cellIs" dxfId="0" priority="1" operator="lessThan">
      <formula>50</formula>
    </cfRule>
  </conditionalFormatting>
  <pageMargins left="0.7" right="0.7" top="0.75" bottom="0.75" header="0.3" footer="0.3"/>
  <pageSetup orientation="portrait" r:id="rId1"/>
  <headerFooter>
    <oddHeader>&amp;C&amp;"-,غامق"&amp;14&amp;D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9F1DB4-D8DE-48EC-B30E-692293C8C4F8}">
          <x14:formula1>
            <xm:f>'المستوى الأول'!$A$2:$A$25</xm:f>
          </x14:formula1>
          <xm:sqref>D5:H5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المستوى الأول</vt:lpstr>
      <vt:lpstr>المصدر</vt:lpstr>
      <vt:lpstr>كشف م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Abdouramane Jaibo</cp:lastModifiedBy>
  <cp:lastPrinted>2026-04-12T12:19:28Z</cp:lastPrinted>
  <dcterms:created xsi:type="dcterms:W3CDTF">2015-06-05T18:17:20Z</dcterms:created>
  <dcterms:modified xsi:type="dcterms:W3CDTF">2026-07-23T19:51:22Z</dcterms:modified>
</cp:coreProperties>
</file>