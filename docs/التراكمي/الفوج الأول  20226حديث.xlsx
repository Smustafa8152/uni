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التراكمي\"/>
    </mc:Choice>
  </mc:AlternateContent>
  <xr:revisionPtr revIDLastSave="0" documentId="13_ncr:1_{4C1486C7-35B4-449C-A785-A29368515D06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المستوى الأول 2022" sheetId="5" r:id="rId1"/>
    <sheet name="المستوى الثاني 2023" sheetId="1" r:id="rId2"/>
    <sheet name="المستوى الثالث ح" sheetId="3" r:id="rId3"/>
    <sheet name="المستوى الرابع" sheetId="4" r:id="rId4"/>
    <sheet name="المستوى الخامس" sheetId="7" r:id="rId5"/>
    <sheet name="كسف الطلبة " sheetId="9" r:id="rId6"/>
    <sheet name="المرجع" sheetId="2" r:id="rId7"/>
    <sheet name="ورقة1" sheetId="6" r:id="rId8"/>
  </sheets>
  <definedNames>
    <definedName name="_xlnm._FilterDatabase" localSheetId="0" hidden="1">'المستوى الأول 2022'!$B$2:$BQ$98</definedName>
    <definedName name="_xlnm._FilterDatabase" localSheetId="2" hidden="1">'المستوى الثالث ح'!$BG$3:$BG$77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8" i="7" l="1"/>
  <c r="E14" i="9" a="1"/>
  <c r="E14" i="9" s="1"/>
  <c r="D27" i="9" a="1"/>
  <c r="D27" i="9" s="1"/>
  <c r="D26" i="9" a="1"/>
  <c r="D26" i="9" s="1"/>
  <c r="D25" i="9" a="1"/>
  <c r="D25" i="9" s="1"/>
  <c r="D24" i="9" a="1"/>
  <c r="D24" i="9" s="1"/>
  <c r="E22" i="9" a="1"/>
  <c r="E22" i="9" s="1"/>
  <c r="D22" i="9" a="1"/>
  <c r="D22" i="9" s="1"/>
  <c r="E21" i="9" a="1"/>
  <c r="E21" i="9" s="1"/>
  <c r="D21" i="9" a="1"/>
  <c r="D21" i="9" s="1"/>
  <c r="E20" i="9" a="1"/>
  <c r="E20" i="9" s="1"/>
  <c r="D20" i="9" a="1"/>
  <c r="D20" i="9" s="1"/>
  <c r="E19" i="9" a="1"/>
  <c r="E19" i="9" s="1"/>
  <c r="D19" i="9" a="1"/>
  <c r="D19" i="9" s="1"/>
  <c r="E18" i="9" a="1"/>
  <c r="E18" i="9" s="1"/>
  <c r="D18" i="9" a="1"/>
  <c r="D18" i="9" s="1"/>
  <c r="E17" i="9" a="1"/>
  <c r="E17" i="9" s="1"/>
  <c r="D17" i="9" a="1"/>
  <c r="D17" i="9" s="1"/>
  <c r="E16" i="9" a="1"/>
  <c r="E16" i="9" s="1"/>
  <c r="D16" i="9" a="1"/>
  <c r="D16" i="9" s="1"/>
  <c r="E15" i="9" a="1"/>
  <c r="E15" i="9" s="1"/>
  <c r="D15" i="9" a="1"/>
  <c r="D15" i="9" s="1"/>
  <c r="D14" i="9" a="1"/>
  <c r="D14" i="9" s="1"/>
  <c r="E13" i="9" a="1"/>
  <c r="E13" i="9" s="1"/>
  <c r="D13" i="9" a="1"/>
  <c r="D13" i="9" s="1"/>
  <c r="E12" i="9" a="1"/>
  <c r="E12" i="9" s="1"/>
  <c r="D12" i="9" a="1"/>
  <c r="D12" i="9" s="1"/>
  <c r="D6" i="9"/>
  <c r="A22" i="9"/>
  <c r="A21" i="9"/>
  <c r="A20" i="9"/>
  <c r="A19" i="9"/>
  <c r="A18" i="9"/>
  <c r="A17" i="9"/>
  <c r="A16" i="9"/>
  <c r="A15" i="9"/>
  <c r="A14" i="9"/>
  <c r="A13" i="9"/>
  <c r="A12" i="9"/>
  <c r="BG3" i="7"/>
  <c r="BC68" i="7"/>
  <c r="BE68" i="7" s="1"/>
  <c r="BC67" i="7"/>
  <c r="BC66" i="7"/>
  <c r="BD66" i="7" s="1"/>
  <c r="BC65" i="7"/>
  <c r="BE65" i="7" s="1"/>
  <c r="BC64" i="7"/>
  <c r="BE64" i="7" s="1"/>
  <c r="BC63" i="7"/>
  <c r="BD63" i="7" s="1"/>
  <c r="BC62" i="7"/>
  <c r="BE62" i="7" s="1"/>
  <c r="BC61" i="7"/>
  <c r="BE61" i="7" s="1"/>
  <c r="BC60" i="7"/>
  <c r="BE60" i="7" s="1"/>
  <c r="BC59" i="7"/>
  <c r="BD59" i="7" s="1"/>
  <c r="BC58" i="7"/>
  <c r="BE58" i="7" s="1"/>
  <c r="BC57" i="7"/>
  <c r="BE57" i="7" s="1"/>
  <c r="BC56" i="7"/>
  <c r="BC55" i="7"/>
  <c r="BD55" i="7" s="1"/>
  <c r="BC54" i="7"/>
  <c r="BC53" i="7"/>
  <c r="BE53" i="7" s="1"/>
  <c r="BC52" i="7"/>
  <c r="BE52" i="7" s="1"/>
  <c r="BC51" i="7"/>
  <c r="BD51" i="7" s="1"/>
  <c r="BC50" i="7"/>
  <c r="BE50" i="7" s="1"/>
  <c r="BC49" i="7"/>
  <c r="BE49" i="7" s="1"/>
  <c r="BC48" i="7"/>
  <c r="BE48" i="7" s="1"/>
  <c r="BC47" i="7"/>
  <c r="BC46" i="7"/>
  <c r="BE46" i="7" s="1"/>
  <c r="BC45" i="7"/>
  <c r="BE45" i="7" s="1"/>
  <c r="BC44" i="7"/>
  <c r="BE44" i="7" s="1"/>
  <c r="BC43" i="7"/>
  <c r="BD43" i="7" s="1"/>
  <c r="BC42" i="7"/>
  <c r="BE42" i="7" s="1"/>
  <c r="BC41" i="7"/>
  <c r="BE41" i="7" s="1"/>
  <c r="BC40" i="7"/>
  <c r="BC39" i="7"/>
  <c r="BD39" i="7" s="1"/>
  <c r="BC38" i="7"/>
  <c r="BC37" i="7"/>
  <c r="BE37" i="7" s="1"/>
  <c r="BC36" i="7"/>
  <c r="BE36" i="7" s="1"/>
  <c r="BC35" i="7"/>
  <c r="BD35" i="7" s="1"/>
  <c r="BC34" i="7"/>
  <c r="BE34" i="7" s="1"/>
  <c r="BC33" i="7"/>
  <c r="BE33" i="7" s="1"/>
  <c r="BC32" i="7"/>
  <c r="BE32" i="7" s="1"/>
  <c r="BC31" i="7"/>
  <c r="BC30" i="7"/>
  <c r="BE30" i="7" s="1"/>
  <c r="BC29" i="7"/>
  <c r="BE29" i="7" s="1"/>
  <c r="BC28" i="7"/>
  <c r="BE28" i="7" s="1"/>
  <c r="BC27" i="7"/>
  <c r="BD27" i="7" s="1"/>
  <c r="BC26" i="7"/>
  <c r="BE26" i="7" s="1"/>
  <c r="BC25" i="7"/>
  <c r="BE25" i="7" s="1"/>
  <c r="BC24" i="7"/>
  <c r="BC23" i="7"/>
  <c r="BD23" i="7" s="1"/>
  <c r="BC22" i="7"/>
  <c r="BC21" i="7"/>
  <c r="BE21" i="7" s="1"/>
  <c r="BC20" i="7"/>
  <c r="BE20" i="7" s="1"/>
  <c r="BC19" i="7"/>
  <c r="BD19" i="7" s="1"/>
  <c r="BC18" i="7"/>
  <c r="BE18" i="7" s="1"/>
  <c r="BC17" i="7"/>
  <c r="BE17" i="7" s="1"/>
  <c r="BC16" i="7"/>
  <c r="BE16" i="7" s="1"/>
  <c r="BC15" i="7"/>
  <c r="BC14" i="7"/>
  <c r="BE14" i="7" s="1"/>
  <c r="BC13" i="7"/>
  <c r="BE13" i="7" s="1"/>
  <c r="BC12" i="7"/>
  <c r="BE12" i="7" s="1"/>
  <c r="BC11" i="7"/>
  <c r="BD11" i="7" s="1"/>
  <c r="BC10" i="7"/>
  <c r="BE10" i="7" s="1"/>
  <c r="BC9" i="7"/>
  <c r="BE9" i="7" s="1"/>
  <c r="BC8" i="7"/>
  <c r="BC7" i="7"/>
  <c r="BD7" i="7" s="1"/>
  <c r="BC6" i="7"/>
  <c r="BC5" i="7"/>
  <c r="BE5" i="7" s="1"/>
  <c r="BC4" i="7"/>
  <c r="BE4" i="7" s="1"/>
  <c r="BC3" i="7"/>
  <c r="BD3" i="7" s="1"/>
  <c r="AX68" i="7"/>
  <c r="AZ68" i="7" s="1"/>
  <c r="AX67" i="7"/>
  <c r="AX66" i="7"/>
  <c r="AZ66" i="7" s="1"/>
  <c r="AX65" i="7"/>
  <c r="AY65" i="7" s="1"/>
  <c r="AX64" i="7"/>
  <c r="AZ64" i="7" s="1"/>
  <c r="AX63" i="7"/>
  <c r="AY63" i="7" s="1"/>
  <c r="AX62" i="7"/>
  <c r="AZ62" i="7" s="1"/>
  <c r="AX61" i="7"/>
  <c r="AZ61" i="7" s="1"/>
  <c r="AX60" i="7"/>
  <c r="AZ60" i="7" s="1"/>
  <c r="AX59" i="7"/>
  <c r="AY59" i="7" s="1"/>
  <c r="AX58" i="7"/>
  <c r="AZ58" i="7" s="1"/>
  <c r="AX57" i="7"/>
  <c r="AY57" i="7" s="1"/>
  <c r="AX56" i="7"/>
  <c r="AZ56" i="7" s="1"/>
  <c r="AX55" i="7"/>
  <c r="AY55" i="7" s="1"/>
  <c r="AX54" i="7"/>
  <c r="AX53" i="7"/>
  <c r="AY53" i="7" s="1"/>
  <c r="AX52" i="7"/>
  <c r="AZ52" i="7" s="1"/>
  <c r="AX51" i="7"/>
  <c r="AX50" i="7"/>
  <c r="AY50" i="7" s="1"/>
  <c r="AX49" i="7"/>
  <c r="AY49" i="7" s="1"/>
  <c r="AX48" i="7"/>
  <c r="AZ48" i="7" s="1"/>
  <c r="AX47" i="7"/>
  <c r="AY47" i="7" s="1"/>
  <c r="AX46" i="7"/>
  <c r="AZ46" i="7" s="1"/>
  <c r="AX45" i="7"/>
  <c r="AY45" i="7" s="1"/>
  <c r="AX44" i="7"/>
  <c r="AZ44" i="7" s="1"/>
  <c r="AX43" i="7"/>
  <c r="AY43" i="7" s="1"/>
  <c r="AX42" i="7"/>
  <c r="AZ42" i="7" s="1"/>
  <c r="AX41" i="7"/>
  <c r="AZ41" i="7" s="1"/>
  <c r="AX40" i="7"/>
  <c r="AZ40" i="7" s="1"/>
  <c r="AX39" i="7"/>
  <c r="AY39" i="7" s="1"/>
  <c r="AX38" i="7"/>
  <c r="AX37" i="7"/>
  <c r="AY37" i="7" s="1"/>
  <c r="AX36" i="7"/>
  <c r="AZ36" i="7" s="1"/>
  <c r="AX35" i="7"/>
  <c r="AX34" i="7"/>
  <c r="AZ34" i="7" s="1"/>
  <c r="AX33" i="7"/>
  <c r="AZ33" i="7" s="1"/>
  <c r="AX32" i="7"/>
  <c r="AZ32" i="7" s="1"/>
  <c r="AX31" i="7"/>
  <c r="AY31" i="7" s="1"/>
  <c r="AX30" i="7"/>
  <c r="AY30" i="7" s="1"/>
  <c r="AX29" i="7"/>
  <c r="AY29" i="7" s="1"/>
  <c r="AX28" i="7"/>
  <c r="AZ28" i="7" s="1"/>
  <c r="AX27" i="7"/>
  <c r="AY27" i="7" s="1"/>
  <c r="AX26" i="7"/>
  <c r="AZ26" i="7" s="1"/>
  <c r="AX25" i="7"/>
  <c r="AZ25" i="7" s="1"/>
  <c r="AX24" i="7"/>
  <c r="AZ24" i="7" s="1"/>
  <c r="AX23" i="7"/>
  <c r="AY23" i="7" s="1"/>
  <c r="AX22" i="7"/>
  <c r="AX21" i="7"/>
  <c r="AZ21" i="7" s="1"/>
  <c r="AX20" i="7"/>
  <c r="AZ20" i="7" s="1"/>
  <c r="AX19" i="7"/>
  <c r="AX18" i="7"/>
  <c r="AY18" i="7" s="1"/>
  <c r="AX17" i="7"/>
  <c r="AY17" i="7" s="1"/>
  <c r="AX16" i="7"/>
  <c r="AZ16" i="7" s="1"/>
  <c r="AX15" i="7"/>
  <c r="AY15" i="7" s="1"/>
  <c r="AX14" i="7"/>
  <c r="AY14" i="7" s="1"/>
  <c r="AX13" i="7"/>
  <c r="AZ13" i="7" s="1"/>
  <c r="AX12" i="7"/>
  <c r="AZ12" i="7" s="1"/>
  <c r="AX11" i="7"/>
  <c r="AY11" i="7" s="1"/>
  <c r="AX10" i="7"/>
  <c r="AZ10" i="7" s="1"/>
  <c r="AX9" i="7"/>
  <c r="AZ9" i="7" s="1"/>
  <c r="AX8" i="7"/>
  <c r="AZ8" i="7" s="1"/>
  <c r="AX7" i="7"/>
  <c r="AY7" i="7" s="1"/>
  <c r="AX6" i="7"/>
  <c r="AX5" i="7"/>
  <c r="AZ5" i="7" s="1"/>
  <c r="AX4" i="7"/>
  <c r="AZ4" i="7" s="1"/>
  <c r="AX3" i="7"/>
  <c r="AS68" i="7"/>
  <c r="AU68" i="7" s="1"/>
  <c r="AS67" i="7"/>
  <c r="AT67" i="7" s="1"/>
  <c r="AS66" i="7"/>
  <c r="AU66" i="7" s="1"/>
  <c r="AS65" i="7"/>
  <c r="AT65" i="7" s="1"/>
  <c r="AS64" i="7"/>
  <c r="AU64" i="7" s="1"/>
  <c r="AS63" i="7"/>
  <c r="AT63" i="7" s="1"/>
  <c r="AS62" i="7"/>
  <c r="AU62" i="7" s="1"/>
  <c r="AS61" i="7"/>
  <c r="AT61" i="7" s="1"/>
  <c r="AS60" i="7"/>
  <c r="AU60" i="7" s="1"/>
  <c r="AS59" i="7"/>
  <c r="AT59" i="7" s="1"/>
  <c r="AS58" i="7"/>
  <c r="AS57" i="7"/>
  <c r="AU57" i="7" s="1"/>
  <c r="AS56" i="7"/>
  <c r="AU56" i="7" s="1"/>
  <c r="AS55" i="7"/>
  <c r="AS54" i="7"/>
  <c r="AT54" i="7" s="1"/>
  <c r="AS53" i="7"/>
  <c r="AU53" i="7" s="1"/>
  <c r="AS52" i="7"/>
  <c r="AU52" i="7" s="1"/>
  <c r="AS51" i="7"/>
  <c r="AT51" i="7" s="1"/>
  <c r="AS50" i="7"/>
  <c r="AU50" i="7" s="1"/>
  <c r="AS49" i="7"/>
  <c r="AT49" i="7" s="1"/>
  <c r="AS48" i="7"/>
  <c r="AU48" i="7" s="1"/>
  <c r="AS47" i="7"/>
  <c r="AT47" i="7" s="1"/>
  <c r="AS46" i="7"/>
  <c r="AU46" i="7" s="1"/>
  <c r="AS45" i="7"/>
  <c r="AU45" i="7" s="1"/>
  <c r="AS44" i="7"/>
  <c r="AU44" i="7" s="1"/>
  <c r="AS43" i="7"/>
  <c r="AT43" i="7" s="1"/>
  <c r="AS42" i="7"/>
  <c r="AS41" i="7"/>
  <c r="AT41" i="7" s="1"/>
  <c r="AS40" i="7"/>
  <c r="AU40" i="7" s="1"/>
  <c r="AS39" i="7"/>
  <c r="AS38" i="7"/>
  <c r="AT38" i="7" s="1"/>
  <c r="AS37" i="7"/>
  <c r="AU37" i="7" s="1"/>
  <c r="AS36" i="7"/>
  <c r="AU36" i="7" s="1"/>
  <c r="AS35" i="7"/>
  <c r="AT35" i="7" s="1"/>
  <c r="AS34" i="7"/>
  <c r="AU34" i="7" s="1"/>
  <c r="AS33" i="7"/>
  <c r="AT33" i="7" s="1"/>
  <c r="AS32" i="7"/>
  <c r="AU32" i="7" s="1"/>
  <c r="AS31" i="7"/>
  <c r="AT31" i="7" s="1"/>
  <c r="AS30" i="7"/>
  <c r="AU30" i="7" s="1"/>
  <c r="AS29" i="7"/>
  <c r="AU29" i="7" s="1"/>
  <c r="AS28" i="7"/>
  <c r="AU28" i="7" s="1"/>
  <c r="AS27" i="7"/>
  <c r="AT27" i="7" s="1"/>
  <c r="AS26" i="7"/>
  <c r="AS25" i="7"/>
  <c r="AU25" i="7" s="1"/>
  <c r="AS24" i="7"/>
  <c r="AU24" i="7" s="1"/>
  <c r="AS23" i="7"/>
  <c r="AS22" i="7"/>
  <c r="AT22" i="7" s="1"/>
  <c r="AS21" i="7"/>
  <c r="AT21" i="7" s="1"/>
  <c r="AS20" i="7"/>
  <c r="AU20" i="7" s="1"/>
  <c r="AS19" i="7"/>
  <c r="AT19" i="7" s="1"/>
  <c r="AS18" i="7"/>
  <c r="AU18" i="7" s="1"/>
  <c r="AS17" i="7"/>
  <c r="AU17" i="7" s="1"/>
  <c r="AS16" i="7"/>
  <c r="AU16" i="7" s="1"/>
  <c r="AS15" i="7"/>
  <c r="AT15" i="7" s="1"/>
  <c r="AS14" i="7"/>
  <c r="AU14" i="7" s="1"/>
  <c r="AS13" i="7"/>
  <c r="AU13" i="7" s="1"/>
  <c r="AS12" i="7"/>
  <c r="AU12" i="7" s="1"/>
  <c r="AS11" i="7"/>
  <c r="AT11" i="7" s="1"/>
  <c r="AS10" i="7"/>
  <c r="AS9" i="7"/>
  <c r="AU9" i="7" s="1"/>
  <c r="AS8" i="7"/>
  <c r="AU8" i="7" s="1"/>
  <c r="AS7" i="7"/>
  <c r="AS6" i="7"/>
  <c r="AT6" i="7" s="1"/>
  <c r="AS5" i="7"/>
  <c r="AU5" i="7" s="1"/>
  <c r="AS4" i="7"/>
  <c r="AU4" i="7" s="1"/>
  <c r="AS3" i="7"/>
  <c r="AT3" i="7" s="1"/>
  <c r="AN68" i="7"/>
  <c r="AP68" i="7" s="1"/>
  <c r="AN67" i="7"/>
  <c r="AO67" i="7" s="1"/>
  <c r="AN66" i="7"/>
  <c r="AP66" i="7" s="1"/>
  <c r="AN65" i="7"/>
  <c r="AP65" i="7" s="1"/>
  <c r="AN64" i="7"/>
  <c r="AP64" i="7" s="1"/>
  <c r="AN63" i="7"/>
  <c r="AO63" i="7" s="1"/>
  <c r="AN62" i="7"/>
  <c r="AN61" i="7"/>
  <c r="AP61" i="7" s="1"/>
  <c r="AN60" i="7"/>
  <c r="AP60" i="7" s="1"/>
  <c r="AN59" i="7"/>
  <c r="AN58" i="7"/>
  <c r="AO58" i="7" s="1"/>
  <c r="AN57" i="7"/>
  <c r="AP57" i="7" s="1"/>
  <c r="AN56" i="7"/>
  <c r="AP56" i="7" s="1"/>
  <c r="AN55" i="7"/>
  <c r="AO55" i="7" s="1"/>
  <c r="AN54" i="7"/>
  <c r="AP54" i="7" s="1"/>
  <c r="AN53" i="7"/>
  <c r="AP53" i="7" s="1"/>
  <c r="AN52" i="7"/>
  <c r="AP52" i="7" s="1"/>
  <c r="AN51" i="7"/>
  <c r="AO51" i="7" s="1"/>
  <c r="AN50" i="7"/>
  <c r="AP50" i="7" s="1"/>
  <c r="AN49" i="7"/>
  <c r="AP49" i="7" s="1"/>
  <c r="AN48" i="7"/>
  <c r="AP48" i="7" s="1"/>
  <c r="AN47" i="7"/>
  <c r="AO47" i="7" s="1"/>
  <c r="AN46" i="7"/>
  <c r="AP46" i="7" s="1"/>
  <c r="AN45" i="7"/>
  <c r="AP45" i="7" s="1"/>
  <c r="AN44" i="7"/>
  <c r="AP44" i="7" s="1"/>
  <c r="AN43" i="7"/>
  <c r="AO43" i="7" s="1"/>
  <c r="AN42" i="7"/>
  <c r="AP42" i="7" s="1"/>
  <c r="AN41" i="7"/>
  <c r="AP41" i="7" s="1"/>
  <c r="AN40" i="7"/>
  <c r="AP40" i="7" s="1"/>
  <c r="AN39" i="7"/>
  <c r="AO39" i="7" s="1"/>
  <c r="AN38" i="7"/>
  <c r="AP38" i="7" s="1"/>
  <c r="AN37" i="7"/>
  <c r="AP37" i="7" s="1"/>
  <c r="AN36" i="7"/>
  <c r="AP36" i="7" s="1"/>
  <c r="AN35" i="7"/>
  <c r="AO35" i="7" s="1"/>
  <c r="AN34" i="7"/>
  <c r="AP34" i="7" s="1"/>
  <c r="AN33" i="7"/>
  <c r="AP33" i="7" s="1"/>
  <c r="AN32" i="7"/>
  <c r="AP32" i="7" s="1"/>
  <c r="AN31" i="7"/>
  <c r="AO31" i="7" s="1"/>
  <c r="AN30" i="7"/>
  <c r="AP30" i="7" s="1"/>
  <c r="AN29" i="7"/>
  <c r="AP29" i="7" s="1"/>
  <c r="AN28" i="7"/>
  <c r="AP28" i="7" s="1"/>
  <c r="AN27" i="7"/>
  <c r="AO27" i="7" s="1"/>
  <c r="AN26" i="7"/>
  <c r="AP26" i="7" s="1"/>
  <c r="AN25" i="7"/>
  <c r="AP25" i="7" s="1"/>
  <c r="AN24" i="7"/>
  <c r="AP24" i="7" s="1"/>
  <c r="AN23" i="7"/>
  <c r="AO23" i="7" s="1"/>
  <c r="AN22" i="7"/>
  <c r="AP22" i="7" s="1"/>
  <c r="AN21" i="7"/>
  <c r="AP21" i="7" s="1"/>
  <c r="AN20" i="7"/>
  <c r="AP20" i="7" s="1"/>
  <c r="AN19" i="7"/>
  <c r="AO19" i="7" s="1"/>
  <c r="AN18" i="7"/>
  <c r="AP18" i="7" s="1"/>
  <c r="AN17" i="7"/>
  <c r="AP17" i="7" s="1"/>
  <c r="AN16" i="7"/>
  <c r="AP16" i="7" s="1"/>
  <c r="AN15" i="7"/>
  <c r="AO15" i="7" s="1"/>
  <c r="AN14" i="7"/>
  <c r="AP14" i="7" s="1"/>
  <c r="AN13" i="7"/>
  <c r="AP13" i="7" s="1"/>
  <c r="AN12" i="7"/>
  <c r="AP12" i="7" s="1"/>
  <c r="AN11" i="7"/>
  <c r="AO11" i="7" s="1"/>
  <c r="AN10" i="7"/>
  <c r="AP10" i="7" s="1"/>
  <c r="AN9" i="7"/>
  <c r="AP9" i="7" s="1"/>
  <c r="AN8" i="7"/>
  <c r="AP8" i="7" s="1"/>
  <c r="AN7" i="7"/>
  <c r="AO7" i="7" s="1"/>
  <c r="AN6" i="7"/>
  <c r="AP6" i="7" s="1"/>
  <c r="AN5" i="7"/>
  <c r="AP5" i="7" s="1"/>
  <c r="AN4" i="7"/>
  <c r="AP4" i="7" s="1"/>
  <c r="AN3" i="7"/>
  <c r="AO3" i="7" s="1"/>
  <c r="AI68" i="7"/>
  <c r="AK68" i="7" s="1"/>
  <c r="AI67" i="7"/>
  <c r="AJ67" i="7" s="1"/>
  <c r="AI66" i="7"/>
  <c r="AK66" i="7" s="1"/>
  <c r="AI65" i="7"/>
  <c r="AK65" i="7" s="1"/>
  <c r="AI64" i="7"/>
  <c r="AK64" i="7" s="1"/>
  <c r="AI63" i="7"/>
  <c r="AJ63" i="7" s="1"/>
  <c r="AI62" i="7"/>
  <c r="AI61" i="7"/>
  <c r="AK61" i="7" s="1"/>
  <c r="AI60" i="7"/>
  <c r="AK60" i="7" s="1"/>
  <c r="AI59" i="7"/>
  <c r="AI58" i="7"/>
  <c r="AJ58" i="7" s="1"/>
  <c r="AI57" i="7"/>
  <c r="AK57" i="7" s="1"/>
  <c r="AI56" i="7"/>
  <c r="AK56" i="7" s="1"/>
  <c r="AI55" i="7"/>
  <c r="AJ55" i="7" s="1"/>
  <c r="AI54" i="7"/>
  <c r="AK54" i="7" s="1"/>
  <c r="AI53" i="7"/>
  <c r="AK53" i="7" s="1"/>
  <c r="AI52" i="7"/>
  <c r="AK52" i="7" s="1"/>
  <c r="AI51" i="7"/>
  <c r="AJ51" i="7" s="1"/>
  <c r="AI50" i="7"/>
  <c r="AK50" i="7" s="1"/>
  <c r="AI49" i="7"/>
  <c r="AK49" i="7" s="1"/>
  <c r="AI48" i="7"/>
  <c r="AK48" i="7" s="1"/>
  <c r="AI47" i="7"/>
  <c r="AJ47" i="7" s="1"/>
  <c r="AI46" i="7"/>
  <c r="AI45" i="7"/>
  <c r="AK45" i="7" s="1"/>
  <c r="AI44" i="7"/>
  <c r="AK44" i="7" s="1"/>
  <c r="AI43" i="7"/>
  <c r="AI42" i="7"/>
  <c r="AJ42" i="7" s="1"/>
  <c r="AI41" i="7"/>
  <c r="AK41" i="7" s="1"/>
  <c r="AI40" i="7"/>
  <c r="AK40" i="7" s="1"/>
  <c r="AI39" i="7"/>
  <c r="AJ39" i="7" s="1"/>
  <c r="AI38" i="7"/>
  <c r="AK38" i="7" s="1"/>
  <c r="AI37" i="7"/>
  <c r="AK37" i="7" s="1"/>
  <c r="AI36" i="7"/>
  <c r="AK36" i="7" s="1"/>
  <c r="AI35" i="7"/>
  <c r="AJ35" i="7" s="1"/>
  <c r="AI34" i="7"/>
  <c r="AK34" i="7" s="1"/>
  <c r="AI33" i="7"/>
  <c r="AK33" i="7" s="1"/>
  <c r="AI32" i="7"/>
  <c r="AK32" i="7" s="1"/>
  <c r="AI31" i="7"/>
  <c r="AJ31" i="7" s="1"/>
  <c r="AI30" i="7"/>
  <c r="AI29" i="7"/>
  <c r="AK29" i="7" s="1"/>
  <c r="AI28" i="7"/>
  <c r="AK28" i="7" s="1"/>
  <c r="AI27" i="7"/>
  <c r="AI26" i="7"/>
  <c r="AJ26" i="7" s="1"/>
  <c r="AI25" i="7"/>
  <c r="AK25" i="7" s="1"/>
  <c r="AI24" i="7"/>
  <c r="AK24" i="7" s="1"/>
  <c r="AI23" i="7"/>
  <c r="AJ23" i="7" s="1"/>
  <c r="AI22" i="7"/>
  <c r="AJ22" i="7" s="1"/>
  <c r="AI21" i="7"/>
  <c r="AK21" i="7" s="1"/>
  <c r="AI20" i="7"/>
  <c r="AK20" i="7" s="1"/>
  <c r="AI19" i="7"/>
  <c r="AJ19" i="7" s="1"/>
  <c r="AI18" i="7"/>
  <c r="AK18" i="7" s="1"/>
  <c r="AI17" i="7"/>
  <c r="AK17" i="7" s="1"/>
  <c r="AI16" i="7"/>
  <c r="AK16" i="7" s="1"/>
  <c r="AI15" i="7"/>
  <c r="AJ15" i="7" s="1"/>
  <c r="AI14" i="7"/>
  <c r="AI13" i="7"/>
  <c r="AK13" i="7" s="1"/>
  <c r="AI12" i="7"/>
  <c r="AK12" i="7" s="1"/>
  <c r="AI11" i="7"/>
  <c r="AI10" i="7"/>
  <c r="AJ10" i="7" s="1"/>
  <c r="AI9" i="7"/>
  <c r="AK9" i="7" s="1"/>
  <c r="AI8" i="7"/>
  <c r="AK8" i="7" s="1"/>
  <c r="AI7" i="7"/>
  <c r="AJ7" i="7" s="1"/>
  <c r="AI6" i="7"/>
  <c r="AJ6" i="7" s="1"/>
  <c r="AI5" i="7"/>
  <c r="AJ5" i="7" s="1"/>
  <c r="G18" i="9" s="1" a="1"/>
  <c r="G18" i="9" s="1"/>
  <c r="AI4" i="7"/>
  <c r="AK4" i="7" s="1"/>
  <c r="AI3" i="7"/>
  <c r="AJ3" i="7" s="1"/>
  <c r="AD68" i="7"/>
  <c r="AF68" i="7" s="1"/>
  <c r="AD67" i="7"/>
  <c r="AE67" i="7" s="1"/>
  <c r="AD66" i="7"/>
  <c r="AD65" i="7"/>
  <c r="AF65" i="7" s="1"/>
  <c r="AD64" i="7"/>
  <c r="AF64" i="7" s="1"/>
  <c r="AD63" i="7"/>
  <c r="AE63" i="7" s="1"/>
  <c r="AD62" i="7"/>
  <c r="AD61" i="7"/>
  <c r="AF61" i="7" s="1"/>
  <c r="AD60" i="7"/>
  <c r="AF60" i="7" s="1"/>
  <c r="AD59" i="7"/>
  <c r="AE59" i="7" s="1"/>
  <c r="AD58" i="7"/>
  <c r="AD57" i="7"/>
  <c r="AF57" i="7" s="1"/>
  <c r="AD56" i="7"/>
  <c r="AF56" i="7" s="1"/>
  <c r="AD55" i="7"/>
  <c r="AD54" i="7"/>
  <c r="AE54" i="7" s="1"/>
  <c r="AD53" i="7"/>
  <c r="AF53" i="7" s="1"/>
  <c r="AD52" i="7"/>
  <c r="AF52" i="7" s="1"/>
  <c r="AD51" i="7"/>
  <c r="AE51" i="7" s="1"/>
  <c r="AD50" i="7"/>
  <c r="AF50" i="7" s="1"/>
  <c r="AD49" i="7"/>
  <c r="AF49" i="7" s="1"/>
  <c r="AD48" i="7"/>
  <c r="AF48" i="7" s="1"/>
  <c r="AD47" i="7"/>
  <c r="AE47" i="7" s="1"/>
  <c r="AD46" i="7"/>
  <c r="AF46" i="7" s="1"/>
  <c r="AD45" i="7"/>
  <c r="AF45" i="7" s="1"/>
  <c r="AD44" i="7"/>
  <c r="AF44" i="7" s="1"/>
  <c r="AD43" i="7"/>
  <c r="AE43" i="7" s="1"/>
  <c r="AD42" i="7"/>
  <c r="AD41" i="7"/>
  <c r="AF41" i="7" s="1"/>
  <c r="AD40" i="7"/>
  <c r="AF40" i="7" s="1"/>
  <c r="AD39" i="7"/>
  <c r="AD38" i="7"/>
  <c r="AE38" i="7" s="1"/>
  <c r="AD37" i="7"/>
  <c r="AF37" i="7" s="1"/>
  <c r="AD36" i="7"/>
  <c r="AF36" i="7" s="1"/>
  <c r="AD35" i="7"/>
  <c r="AE35" i="7" s="1"/>
  <c r="AD34" i="7"/>
  <c r="AF34" i="7" s="1"/>
  <c r="AD33" i="7"/>
  <c r="AF33" i="7" s="1"/>
  <c r="AD32" i="7"/>
  <c r="AF32" i="7" s="1"/>
  <c r="AD31" i="7"/>
  <c r="AE31" i="7" s="1"/>
  <c r="AD30" i="7"/>
  <c r="AF30" i="7" s="1"/>
  <c r="AD29" i="7"/>
  <c r="AE29" i="7" s="1"/>
  <c r="AD28" i="7"/>
  <c r="AF28" i="7" s="1"/>
  <c r="AD27" i="7"/>
  <c r="AE27" i="7" s="1"/>
  <c r="AD26" i="7"/>
  <c r="AD25" i="7"/>
  <c r="AF25" i="7" s="1"/>
  <c r="AD24" i="7"/>
  <c r="AF24" i="7" s="1"/>
  <c r="AD23" i="7"/>
  <c r="AD22" i="7"/>
  <c r="AE22" i="7" s="1"/>
  <c r="AD21" i="7"/>
  <c r="AF21" i="7" s="1"/>
  <c r="AD20" i="7"/>
  <c r="AF20" i="7" s="1"/>
  <c r="AD19" i="7"/>
  <c r="AE19" i="7" s="1"/>
  <c r="AD18" i="7"/>
  <c r="AE18" i="7" s="1"/>
  <c r="AD17" i="7"/>
  <c r="AF17" i="7" s="1"/>
  <c r="AD16" i="7"/>
  <c r="AF16" i="7" s="1"/>
  <c r="AD15" i="7"/>
  <c r="AE15" i="7" s="1"/>
  <c r="AD14" i="7"/>
  <c r="AF14" i="7" s="1"/>
  <c r="AD13" i="7"/>
  <c r="AF13" i="7" s="1"/>
  <c r="AD12" i="7"/>
  <c r="AF12" i="7" s="1"/>
  <c r="AD11" i="7"/>
  <c r="AE11" i="7" s="1"/>
  <c r="AD10" i="7"/>
  <c r="AD9" i="7"/>
  <c r="AF9" i="7" s="1"/>
  <c r="AD8" i="7"/>
  <c r="AF8" i="7" s="1"/>
  <c r="AD7" i="7"/>
  <c r="AD6" i="7"/>
  <c r="AE6" i="7" s="1"/>
  <c r="AD5" i="7"/>
  <c r="AE5" i="7" s="1"/>
  <c r="AD4" i="7"/>
  <c r="AF4" i="7" s="1"/>
  <c r="AD3" i="7"/>
  <c r="AE3" i="7" s="1"/>
  <c r="Y68" i="7"/>
  <c r="AA68" i="7" s="1"/>
  <c r="Y67" i="7"/>
  <c r="Z67" i="7" s="1"/>
  <c r="Y66" i="7"/>
  <c r="AA66" i="7" s="1"/>
  <c r="Y65" i="7"/>
  <c r="Y64" i="7"/>
  <c r="AA64" i="7" s="1"/>
  <c r="Y63" i="7"/>
  <c r="Z63" i="7" s="1"/>
  <c r="Y62" i="7"/>
  <c r="Y61" i="7"/>
  <c r="Y60" i="7"/>
  <c r="AA60" i="7" s="1"/>
  <c r="Y59" i="7"/>
  <c r="Y58" i="7"/>
  <c r="Z58" i="7" s="1"/>
  <c r="Y57" i="7"/>
  <c r="Y56" i="7"/>
  <c r="AA56" i="7" s="1"/>
  <c r="Y55" i="7"/>
  <c r="Z55" i="7" s="1"/>
  <c r="Y54" i="7"/>
  <c r="AA54" i="7" s="1"/>
  <c r="Y53" i="7"/>
  <c r="Y52" i="7"/>
  <c r="AA52" i="7" s="1"/>
  <c r="Y51" i="7"/>
  <c r="Z51" i="7" s="1"/>
  <c r="Y50" i="7"/>
  <c r="AA50" i="7" s="1"/>
  <c r="Y49" i="7"/>
  <c r="Y48" i="7"/>
  <c r="AA48" i="7" s="1"/>
  <c r="Y47" i="7"/>
  <c r="Z47" i="7" s="1"/>
  <c r="Y46" i="7"/>
  <c r="Y45" i="7"/>
  <c r="Y44" i="7"/>
  <c r="AA44" i="7" s="1"/>
  <c r="Y43" i="7"/>
  <c r="Y42" i="7"/>
  <c r="Z42" i="7" s="1"/>
  <c r="Y41" i="7"/>
  <c r="Y40" i="7"/>
  <c r="AA40" i="7" s="1"/>
  <c r="Y39" i="7"/>
  <c r="Z39" i="7" s="1"/>
  <c r="Y38" i="7"/>
  <c r="AA38" i="7" s="1"/>
  <c r="Y37" i="7"/>
  <c r="Y36" i="7"/>
  <c r="AA36" i="7" s="1"/>
  <c r="Y35" i="7"/>
  <c r="Z35" i="7" s="1"/>
  <c r="Y34" i="7"/>
  <c r="AA34" i="7" s="1"/>
  <c r="Y33" i="7"/>
  <c r="Y32" i="7"/>
  <c r="AA32" i="7" s="1"/>
  <c r="Y31" i="7"/>
  <c r="Z31" i="7" s="1"/>
  <c r="Y30" i="7"/>
  <c r="Y29" i="7"/>
  <c r="Y28" i="7"/>
  <c r="AA28" i="7" s="1"/>
  <c r="Y27" i="7"/>
  <c r="Y26" i="7"/>
  <c r="Z26" i="7" s="1"/>
  <c r="Y25" i="7"/>
  <c r="Y24" i="7"/>
  <c r="AA24" i="7" s="1"/>
  <c r="Y23" i="7"/>
  <c r="Z23" i="7" s="1"/>
  <c r="Y22" i="7"/>
  <c r="Z22" i="7" s="1"/>
  <c r="Y21" i="7"/>
  <c r="Y20" i="7"/>
  <c r="AA20" i="7" s="1"/>
  <c r="Y19" i="7"/>
  <c r="Z19" i="7" s="1"/>
  <c r="Y18" i="7"/>
  <c r="AA18" i="7" s="1"/>
  <c r="Y17" i="7"/>
  <c r="Y16" i="7"/>
  <c r="AA16" i="7" s="1"/>
  <c r="Y15" i="7"/>
  <c r="Z15" i="7" s="1"/>
  <c r="Y14" i="7"/>
  <c r="Y13" i="7"/>
  <c r="Y12" i="7"/>
  <c r="AA12" i="7" s="1"/>
  <c r="Y11" i="7"/>
  <c r="Z11" i="7" s="1"/>
  <c r="Y10" i="7"/>
  <c r="Z10" i="7" s="1"/>
  <c r="Y9" i="7"/>
  <c r="Y8" i="7"/>
  <c r="AA8" i="7" s="1"/>
  <c r="Y7" i="7"/>
  <c r="Z7" i="7" s="1"/>
  <c r="Y6" i="7"/>
  <c r="AA6" i="7" s="1"/>
  <c r="Y5" i="7"/>
  <c r="F16" i="9" s="1" a="1"/>
  <c r="F16" i="9" s="1"/>
  <c r="Y4" i="7"/>
  <c r="Y3" i="7"/>
  <c r="Z3" i="7" s="1"/>
  <c r="T68" i="7"/>
  <c r="V68" i="7" s="1"/>
  <c r="T67" i="7"/>
  <c r="U67" i="7" s="1"/>
  <c r="T66" i="7"/>
  <c r="V66" i="7" s="1"/>
  <c r="T65" i="7"/>
  <c r="V65" i="7" s="1"/>
  <c r="T64" i="7"/>
  <c r="V64" i="7" s="1"/>
  <c r="T63" i="7"/>
  <c r="U63" i="7" s="1"/>
  <c r="T62" i="7"/>
  <c r="U62" i="7" s="1"/>
  <c r="T61" i="7"/>
  <c r="V61" i="7" s="1"/>
  <c r="T60" i="7"/>
  <c r="V60" i="7" s="1"/>
  <c r="T59" i="7"/>
  <c r="U59" i="7" s="1"/>
  <c r="T58" i="7"/>
  <c r="V58" i="7" s="1"/>
  <c r="T57" i="7"/>
  <c r="V57" i="7" s="1"/>
  <c r="T56" i="7"/>
  <c r="V56" i="7" s="1"/>
  <c r="T55" i="7"/>
  <c r="U55" i="7" s="1"/>
  <c r="T54" i="7"/>
  <c r="V54" i="7" s="1"/>
  <c r="T53" i="7"/>
  <c r="V53" i="7" s="1"/>
  <c r="T52" i="7"/>
  <c r="V52" i="7" s="1"/>
  <c r="T51" i="7"/>
  <c r="U51" i="7" s="1"/>
  <c r="T50" i="7"/>
  <c r="V50" i="7" s="1"/>
  <c r="T49" i="7"/>
  <c r="V49" i="7" s="1"/>
  <c r="T48" i="7"/>
  <c r="V48" i="7" s="1"/>
  <c r="T47" i="7"/>
  <c r="U47" i="7" s="1"/>
  <c r="T46" i="7"/>
  <c r="U46" i="7" s="1"/>
  <c r="T45" i="7"/>
  <c r="V45" i="7" s="1"/>
  <c r="T44" i="7"/>
  <c r="V44" i="7" s="1"/>
  <c r="T43" i="7"/>
  <c r="U43" i="7" s="1"/>
  <c r="T42" i="7"/>
  <c r="V42" i="7" s="1"/>
  <c r="T41" i="7"/>
  <c r="V41" i="7" s="1"/>
  <c r="T40" i="7"/>
  <c r="V40" i="7" s="1"/>
  <c r="T39" i="7"/>
  <c r="U39" i="7" s="1"/>
  <c r="T38" i="7"/>
  <c r="V38" i="7" s="1"/>
  <c r="T37" i="7"/>
  <c r="V37" i="7" s="1"/>
  <c r="T36" i="7"/>
  <c r="V36" i="7" s="1"/>
  <c r="T35" i="7"/>
  <c r="U35" i="7" s="1"/>
  <c r="T34" i="7"/>
  <c r="V34" i="7" s="1"/>
  <c r="T33" i="7"/>
  <c r="V33" i="7" s="1"/>
  <c r="T32" i="7"/>
  <c r="V32" i="7" s="1"/>
  <c r="T31" i="7"/>
  <c r="U31" i="7" s="1"/>
  <c r="T30" i="7"/>
  <c r="U30" i="7" s="1"/>
  <c r="T29" i="7"/>
  <c r="V29" i="7" s="1"/>
  <c r="T28" i="7"/>
  <c r="V28" i="7" s="1"/>
  <c r="T27" i="7"/>
  <c r="U27" i="7" s="1"/>
  <c r="T26" i="7"/>
  <c r="V26" i="7" s="1"/>
  <c r="T25" i="7"/>
  <c r="V25" i="7" s="1"/>
  <c r="T24" i="7"/>
  <c r="V24" i="7" s="1"/>
  <c r="T23" i="7"/>
  <c r="U23" i="7" s="1"/>
  <c r="T22" i="7"/>
  <c r="V22" i="7" s="1"/>
  <c r="T21" i="7"/>
  <c r="V21" i="7" s="1"/>
  <c r="T20" i="7"/>
  <c r="V20" i="7" s="1"/>
  <c r="T19" i="7"/>
  <c r="U19" i="7" s="1"/>
  <c r="T18" i="7"/>
  <c r="V18" i="7" s="1"/>
  <c r="T17" i="7"/>
  <c r="V17" i="7" s="1"/>
  <c r="T16" i="7"/>
  <c r="V16" i="7" s="1"/>
  <c r="T15" i="7"/>
  <c r="U15" i="7" s="1"/>
  <c r="T14" i="7"/>
  <c r="U14" i="7" s="1"/>
  <c r="T13" i="7"/>
  <c r="V13" i="7" s="1"/>
  <c r="T12" i="7"/>
  <c r="V12" i="7" s="1"/>
  <c r="T11" i="7"/>
  <c r="U11" i="7" s="1"/>
  <c r="T10" i="7"/>
  <c r="V10" i="7" s="1"/>
  <c r="T9" i="7"/>
  <c r="V9" i="7" s="1"/>
  <c r="T8" i="7"/>
  <c r="V8" i="7" s="1"/>
  <c r="T7" i="7"/>
  <c r="U7" i="7" s="1"/>
  <c r="T6" i="7"/>
  <c r="V6" i="7" s="1"/>
  <c r="T5" i="7"/>
  <c r="V5" i="7" s="1"/>
  <c r="T4" i="7"/>
  <c r="V4" i="7" s="1"/>
  <c r="T3" i="7"/>
  <c r="U3" i="7" s="1"/>
  <c r="J68" i="7"/>
  <c r="L68" i="7" s="1"/>
  <c r="J67" i="7"/>
  <c r="K67" i="7" s="1"/>
  <c r="J66" i="7"/>
  <c r="L66" i="7" s="1"/>
  <c r="J65" i="7"/>
  <c r="L65" i="7" s="1"/>
  <c r="J64" i="7"/>
  <c r="L64" i="7" s="1"/>
  <c r="J63" i="7"/>
  <c r="K63" i="7" s="1"/>
  <c r="J62" i="7"/>
  <c r="L62" i="7" s="1"/>
  <c r="J61" i="7"/>
  <c r="L61" i="7" s="1"/>
  <c r="J60" i="7"/>
  <c r="L60" i="7" s="1"/>
  <c r="J59" i="7"/>
  <c r="K59" i="7" s="1"/>
  <c r="J58" i="7"/>
  <c r="K58" i="7" s="1"/>
  <c r="J57" i="7"/>
  <c r="L57" i="7" s="1"/>
  <c r="J56" i="7"/>
  <c r="L56" i="7" s="1"/>
  <c r="J55" i="7"/>
  <c r="K55" i="7" s="1"/>
  <c r="J54" i="7"/>
  <c r="K54" i="7" s="1"/>
  <c r="J53" i="7"/>
  <c r="L53" i="7" s="1"/>
  <c r="J52" i="7"/>
  <c r="L52" i="7" s="1"/>
  <c r="J51" i="7"/>
  <c r="K51" i="7" s="1"/>
  <c r="J50" i="7"/>
  <c r="L50" i="7" s="1"/>
  <c r="J49" i="7"/>
  <c r="L49" i="7" s="1"/>
  <c r="J48" i="7"/>
  <c r="L48" i="7" s="1"/>
  <c r="J47" i="7"/>
  <c r="K47" i="7" s="1"/>
  <c r="J46" i="7"/>
  <c r="L46" i="7" s="1"/>
  <c r="J45" i="7"/>
  <c r="L45" i="7" s="1"/>
  <c r="J44" i="7"/>
  <c r="L44" i="7" s="1"/>
  <c r="J43" i="7"/>
  <c r="K43" i="7" s="1"/>
  <c r="J42" i="7"/>
  <c r="L42" i="7" s="1"/>
  <c r="J41" i="7"/>
  <c r="L41" i="7" s="1"/>
  <c r="J40" i="7"/>
  <c r="L40" i="7" s="1"/>
  <c r="J39" i="7"/>
  <c r="K39" i="7" s="1"/>
  <c r="J38" i="7"/>
  <c r="L38" i="7" s="1"/>
  <c r="J37" i="7"/>
  <c r="L37" i="7" s="1"/>
  <c r="J36" i="7"/>
  <c r="L36" i="7" s="1"/>
  <c r="J35" i="7"/>
  <c r="K35" i="7" s="1"/>
  <c r="J34" i="7"/>
  <c r="L34" i="7" s="1"/>
  <c r="J33" i="7"/>
  <c r="L33" i="7" s="1"/>
  <c r="J32" i="7"/>
  <c r="L32" i="7" s="1"/>
  <c r="J31" i="7"/>
  <c r="K31" i="7" s="1"/>
  <c r="J30" i="7"/>
  <c r="L30" i="7" s="1"/>
  <c r="J29" i="7"/>
  <c r="L29" i="7" s="1"/>
  <c r="J28" i="7"/>
  <c r="L28" i="7" s="1"/>
  <c r="J27" i="7"/>
  <c r="K27" i="7" s="1"/>
  <c r="J26" i="7"/>
  <c r="L26" i="7" s="1"/>
  <c r="J25" i="7"/>
  <c r="L25" i="7" s="1"/>
  <c r="J24" i="7"/>
  <c r="L24" i="7" s="1"/>
  <c r="J23" i="7"/>
  <c r="K23" i="7" s="1"/>
  <c r="J22" i="7"/>
  <c r="L22" i="7" s="1"/>
  <c r="J21" i="7"/>
  <c r="L21" i="7" s="1"/>
  <c r="J20" i="7"/>
  <c r="L20" i="7" s="1"/>
  <c r="J19" i="7"/>
  <c r="K19" i="7" s="1"/>
  <c r="J18" i="7"/>
  <c r="L18" i="7" s="1"/>
  <c r="J17" i="7"/>
  <c r="L17" i="7" s="1"/>
  <c r="J16" i="7"/>
  <c r="L16" i="7" s="1"/>
  <c r="J15" i="7"/>
  <c r="K15" i="7" s="1"/>
  <c r="J14" i="7"/>
  <c r="L14" i="7" s="1"/>
  <c r="J13" i="7"/>
  <c r="L13" i="7" s="1"/>
  <c r="J12" i="7"/>
  <c r="L12" i="7" s="1"/>
  <c r="J11" i="7"/>
  <c r="K11" i="7" s="1"/>
  <c r="J10" i="7"/>
  <c r="L10" i="7" s="1"/>
  <c r="J9" i="7"/>
  <c r="L9" i="7" s="1"/>
  <c r="J8" i="7"/>
  <c r="K8" i="7" s="1"/>
  <c r="J7" i="7"/>
  <c r="K7" i="7" s="1"/>
  <c r="J6" i="7"/>
  <c r="L6" i="7" s="1"/>
  <c r="J5" i="7"/>
  <c r="L5" i="7" s="1"/>
  <c r="J4" i="7"/>
  <c r="K4" i="7" s="1"/>
  <c r="J3" i="7"/>
  <c r="K3" i="7" s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3" i="4"/>
  <c r="E4" i="7"/>
  <c r="G4" i="7" s="1"/>
  <c r="E5" i="7"/>
  <c r="G5" i="7" s="1"/>
  <c r="E6" i="7"/>
  <c r="F6" i="7" s="1"/>
  <c r="E7" i="7"/>
  <c r="G7" i="7" s="1"/>
  <c r="E8" i="7"/>
  <c r="G8" i="7" s="1"/>
  <c r="E9" i="7"/>
  <c r="G9" i="7" s="1"/>
  <c r="E10" i="7"/>
  <c r="F10" i="7" s="1"/>
  <c r="E11" i="7"/>
  <c r="G11" i="7" s="1"/>
  <c r="E12" i="7"/>
  <c r="G12" i="7" s="1"/>
  <c r="E13" i="7"/>
  <c r="G13" i="7" s="1"/>
  <c r="E14" i="7"/>
  <c r="F14" i="7" s="1"/>
  <c r="E15" i="7"/>
  <c r="F15" i="7" s="1"/>
  <c r="E16" i="7"/>
  <c r="G16" i="7" s="1"/>
  <c r="E17" i="7"/>
  <c r="G17" i="7" s="1"/>
  <c r="E18" i="7"/>
  <c r="F18" i="7" s="1"/>
  <c r="E19" i="7"/>
  <c r="G19" i="7" s="1"/>
  <c r="E20" i="7"/>
  <c r="G20" i="7" s="1"/>
  <c r="E21" i="7"/>
  <c r="G21" i="7" s="1"/>
  <c r="E22" i="7"/>
  <c r="F22" i="7" s="1"/>
  <c r="E23" i="7"/>
  <c r="G23" i="7" s="1"/>
  <c r="E24" i="7"/>
  <c r="G24" i="7" s="1"/>
  <c r="E25" i="7"/>
  <c r="G25" i="7" s="1"/>
  <c r="E26" i="7"/>
  <c r="F26" i="7" s="1"/>
  <c r="E27" i="7"/>
  <c r="G27" i="7" s="1"/>
  <c r="E28" i="7"/>
  <c r="G28" i="7" s="1"/>
  <c r="E29" i="7"/>
  <c r="G29" i="7" s="1"/>
  <c r="E30" i="7"/>
  <c r="F30" i="7" s="1"/>
  <c r="E31" i="7"/>
  <c r="F31" i="7" s="1"/>
  <c r="E32" i="7"/>
  <c r="G32" i="7" s="1"/>
  <c r="E33" i="7"/>
  <c r="G33" i="7" s="1"/>
  <c r="E34" i="7"/>
  <c r="F34" i="7" s="1"/>
  <c r="E35" i="7"/>
  <c r="G35" i="7" s="1"/>
  <c r="E36" i="7"/>
  <c r="G36" i="7" s="1"/>
  <c r="E37" i="7"/>
  <c r="G37" i="7" s="1"/>
  <c r="E38" i="7"/>
  <c r="F38" i="7" s="1"/>
  <c r="E39" i="7"/>
  <c r="G39" i="7" s="1"/>
  <c r="E40" i="7"/>
  <c r="G40" i="7" s="1"/>
  <c r="E41" i="7"/>
  <c r="G41" i="7" s="1"/>
  <c r="E42" i="7"/>
  <c r="F42" i="7" s="1"/>
  <c r="E43" i="7"/>
  <c r="G43" i="7" s="1"/>
  <c r="E44" i="7"/>
  <c r="G44" i="7" s="1"/>
  <c r="E45" i="7"/>
  <c r="G45" i="7" s="1"/>
  <c r="E46" i="7"/>
  <c r="F46" i="7" s="1"/>
  <c r="E47" i="7"/>
  <c r="F47" i="7" s="1"/>
  <c r="E48" i="7"/>
  <c r="G48" i="7" s="1"/>
  <c r="E49" i="7"/>
  <c r="G49" i="7" s="1"/>
  <c r="E50" i="7"/>
  <c r="F50" i="7" s="1"/>
  <c r="E51" i="7"/>
  <c r="G51" i="7" s="1"/>
  <c r="E52" i="7"/>
  <c r="G52" i="7" s="1"/>
  <c r="E53" i="7"/>
  <c r="G53" i="7" s="1"/>
  <c r="E54" i="7"/>
  <c r="F54" i="7" s="1"/>
  <c r="E55" i="7"/>
  <c r="F55" i="7" s="1"/>
  <c r="E56" i="7"/>
  <c r="G56" i="7" s="1"/>
  <c r="E57" i="7"/>
  <c r="G57" i="7" s="1"/>
  <c r="E58" i="7"/>
  <c r="F58" i="7" s="1"/>
  <c r="E59" i="7"/>
  <c r="G59" i="7" s="1"/>
  <c r="E60" i="7"/>
  <c r="G60" i="7" s="1"/>
  <c r="E61" i="7"/>
  <c r="G61" i="7" s="1"/>
  <c r="E62" i="7"/>
  <c r="F62" i="7" s="1"/>
  <c r="E63" i="7"/>
  <c r="F63" i="7" s="1"/>
  <c r="E64" i="7"/>
  <c r="G64" i="7" s="1"/>
  <c r="E65" i="7"/>
  <c r="G65" i="7" s="1"/>
  <c r="E66" i="7"/>
  <c r="F66" i="7" s="1"/>
  <c r="E67" i="7"/>
  <c r="G67" i="7" s="1"/>
  <c r="E68" i="7"/>
  <c r="G68" i="7" s="1"/>
  <c r="E3" i="7"/>
  <c r="G3" i="7" s="1"/>
  <c r="F3" i="4"/>
  <c r="BG4" i="7"/>
  <c r="BG5" i="7"/>
  <c r="BG6" i="7"/>
  <c r="BG7" i="7"/>
  <c r="BG8" i="7"/>
  <c r="BG9" i="7"/>
  <c r="BG10" i="7"/>
  <c r="BG11" i="7"/>
  <c r="BG12" i="7"/>
  <c r="BG13" i="7"/>
  <c r="BG14" i="7"/>
  <c r="BG15" i="7"/>
  <c r="BG16" i="7"/>
  <c r="BG17" i="7"/>
  <c r="BG18" i="7"/>
  <c r="BG19" i="7"/>
  <c r="BG20" i="7"/>
  <c r="BG21" i="7"/>
  <c r="BG22" i="7"/>
  <c r="BG23" i="7"/>
  <c r="BG24" i="7"/>
  <c r="BG25" i="7"/>
  <c r="BG26" i="7"/>
  <c r="BG27" i="7"/>
  <c r="BG28" i="7"/>
  <c r="BG29" i="7"/>
  <c r="BG30" i="7"/>
  <c r="BG31" i="7"/>
  <c r="BG32" i="7"/>
  <c r="BG33" i="7"/>
  <c r="BG34" i="7"/>
  <c r="BG35" i="7"/>
  <c r="BG36" i="7"/>
  <c r="BG37" i="7"/>
  <c r="BG38" i="7"/>
  <c r="BG39" i="7"/>
  <c r="BG40" i="7"/>
  <c r="BG41" i="7"/>
  <c r="BG42" i="7"/>
  <c r="BG43" i="7"/>
  <c r="BG44" i="7"/>
  <c r="BG45" i="7"/>
  <c r="BG46" i="7"/>
  <c r="BG47" i="7"/>
  <c r="BG48" i="7"/>
  <c r="BG49" i="7"/>
  <c r="BG50" i="7"/>
  <c r="BG51" i="7"/>
  <c r="BG52" i="7"/>
  <c r="BG53" i="7"/>
  <c r="BG54" i="7"/>
  <c r="BG55" i="7"/>
  <c r="BG56" i="7"/>
  <c r="BG57" i="7"/>
  <c r="BG58" i="7"/>
  <c r="BG59" i="7"/>
  <c r="BG60" i="7"/>
  <c r="BG61" i="7"/>
  <c r="BG62" i="7"/>
  <c r="BG63" i="7"/>
  <c r="BG64" i="7"/>
  <c r="BG65" i="7"/>
  <c r="BG66" i="7"/>
  <c r="BG67" i="7"/>
  <c r="BG68" i="7"/>
  <c r="O68" i="7"/>
  <c r="Q68" i="7" s="1"/>
  <c r="O67" i="7"/>
  <c r="O66" i="7"/>
  <c r="O65" i="7"/>
  <c r="Q65" i="7" s="1"/>
  <c r="O64" i="7"/>
  <c r="Q64" i="7" s="1"/>
  <c r="O63" i="7"/>
  <c r="O62" i="7"/>
  <c r="O61" i="7"/>
  <c r="Q61" i="7" s="1"/>
  <c r="O60" i="7"/>
  <c r="Q60" i="7" s="1"/>
  <c r="O59" i="7"/>
  <c r="O58" i="7"/>
  <c r="O57" i="7"/>
  <c r="Q57" i="7" s="1"/>
  <c r="O56" i="7"/>
  <c r="Q56" i="7" s="1"/>
  <c r="O55" i="7"/>
  <c r="O54" i="7"/>
  <c r="O53" i="7"/>
  <c r="Q53" i="7" s="1"/>
  <c r="O52" i="7"/>
  <c r="Q52" i="7" s="1"/>
  <c r="O51" i="7"/>
  <c r="P51" i="7" s="1"/>
  <c r="O50" i="7"/>
  <c r="O49" i="7"/>
  <c r="Q49" i="7" s="1"/>
  <c r="O48" i="7"/>
  <c r="Q48" i="7" s="1"/>
  <c r="O47" i="7"/>
  <c r="O46" i="7"/>
  <c r="O45" i="7"/>
  <c r="Q45" i="7" s="1"/>
  <c r="O44" i="7"/>
  <c r="Q44" i="7" s="1"/>
  <c r="O43" i="7"/>
  <c r="O42" i="7"/>
  <c r="O41" i="7"/>
  <c r="Q41" i="7" s="1"/>
  <c r="O40" i="7"/>
  <c r="Q40" i="7" s="1"/>
  <c r="O39" i="7"/>
  <c r="O38" i="7"/>
  <c r="O37" i="7"/>
  <c r="Q37" i="7" s="1"/>
  <c r="O36" i="7"/>
  <c r="Q36" i="7" s="1"/>
  <c r="O35" i="7"/>
  <c r="P35" i="7" s="1"/>
  <c r="O34" i="7"/>
  <c r="O33" i="7"/>
  <c r="Q33" i="7" s="1"/>
  <c r="O32" i="7"/>
  <c r="Q32" i="7" s="1"/>
  <c r="O31" i="7"/>
  <c r="O30" i="7"/>
  <c r="O29" i="7"/>
  <c r="Q29" i="7" s="1"/>
  <c r="O28" i="7"/>
  <c r="Q28" i="7" s="1"/>
  <c r="O27" i="7"/>
  <c r="O26" i="7"/>
  <c r="O25" i="7"/>
  <c r="P25" i="7" s="1"/>
  <c r="O24" i="7"/>
  <c r="Q24" i="7" s="1"/>
  <c r="O23" i="7"/>
  <c r="O22" i="7"/>
  <c r="O21" i="7"/>
  <c r="P21" i="7" s="1"/>
  <c r="O20" i="7"/>
  <c r="Q20" i="7" s="1"/>
  <c r="O19" i="7"/>
  <c r="P19" i="7" s="1"/>
  <c r="O18" i="7"/>
  <c r="O17" i="7"/>
  <c r="Q17" i="7" s="1"/>
  <c r="O16" i="7"/>
  <c r="Q16" i="7" s="1"/>
  <c r="O15" i="7"/>
  <c r="O14" i="7"/>
  <c r="O13" i="7"/>
  <c r="Q13" i="7" s="1"/>
  <c r="O12" i="7"/>
  <c r="Q12" i="7" s="1"/>
  <c r="O11" i="7"/>
  <c r="O10" i="7"/>
  <c r="O9" i="7"/>
  <c r="P9" i="7" s="1"/>
  <c r="O8" i="7"/>
  <c r="Q8" i="7" s="1"/>
  <c r="O7" i="7"/>
  <c r="O6" i="7"/>
  <c r="O5" i="7"/>
  <c r="P5" i="7" s="1"/>
  <c r="O4" i="7"/>
  <c r="Q4" i="7" s="1"/>
  <c r="O3" i="7"/>
  <c r="P3" i="7" s="1"/>
  <c r="G17" i="9" l="1" a="1"/>
  <c r="G17" i="9" s="1"/>
  <c r="G14" i="9" a="1"/>
  <c r="G14" i="9" s="1"/>
  <c r="H12" i="9" a="1"/>
  <c r="H12" i="9" s="1"/>
  <c r="BE39" i="7"/>
  <c r="BD42" i="7"/>
  <c r="AK6" i="7"/>
  <c r="F17" i="7"/>
  <c r="AU47" i="7"/>
  <c r="AT50" i="7"/>
  <c r="BE59" i="7"/>
  <c r="BD62" i="7"/>
  <c r="AA22" i="7"/>
  <c r="F65" i="7"/>
  <c r="AA51" i="7"/>
  <c r="Z54" i="7"/>
  <c r="AK22" i="7"/>
  <c r="AZ59" i="7"/>
  <c r="AY62" i="7"/>
  <c r="F49" i="7"/>
  <c r="F18" i="9" a="1"/>
  <c r="F18" i="9" s="1"/>
  <c r="F33" i="7"/>
  <c r="V46" i="7"/>
  <c r="AA26" i="7"/>
  <c r="AK3" i="7"/>
  <c r="AK67" i="7"/>
  <c r="L39" i="7"/>
  <c r="V62" i="7"/>
  <c r="AA3" i="7"/>
  <c r="Z6" i="7"/>
  <c r="AF6" i="7"/>
  <c r="AF59" i="7"/>
  <c r="AJ54" i="7"/>
  <c r="AT34" i="7"/>
  <c r="AZ39" i="7"/>
  <c r="L54" i="7"/>
  <c r="V14" i="7"/>
  <c r="AA35" i="7"/>
  <c r="Z38" i="7"/>
  <c r="AA63" i="7"/>
  <c r="Z66" i="7"/>
  <c r="AF18" i="7"/>
  <c r="AK35" i="7"/>
  <c r="AJ38" i="7"/>
  <c r="AU6" i="7"/>
  <c r="AZ14" i="7"/>
  <c r="AZ50" i="7"/>
  <c r="AY66" i="7"/>
  <c r="BD48" i="7"/>
  <c r="BE55" i="7"/>
  <c r="BD58" i="7"/>
  <c r="F22" i="9" a="1"/>
  <c r="F22" i="9" s="1"/>
  <c r="F44" i="7"/>
  <c r="F12" i="7"/>
  <c r="K42" i="7"/>
  <c r="AF31" i="7"/>
  <c r="AE34" i="7"/>
  <c r="AK51" i="7"/>
  <c r="AP51" i="7"/>
  <c r="H19" i="9" s="1" a="1"/>
  <c r="H19" i="9" s="1"/>
  <c r="AO54" i="7"/>
  <c r="AU31" i="7"/>
  <c r="AY42" i="7"/>
  <c r="BE66" i="7"/>
  <c r="F60" i="7"/>
  <c r="F28" i="7"/>
  <c r="L23" i="7"/>
  <c r="K26" i="7"/>
  <c r="L58" i="7"/>
  <c r="V30" i="7"/>
  <c r="AF22" i="7"/>
  <c r="AF47" i="7"/>
  <c r="AE50" i="7"/>
  <c r="AK19" i="7"/>
  <c r="AP23" i="7"/>
  <c r="AO26" i="7"/>
  <c r="AP63" i="7"/>
  <c r="AO66" i="7"/>
  <c r="AU22" i="7"/>
  <c r="AU59" i="7"/>
  <c r="AT62" i="7"/>
  <c r="AZ30" i="7"/>
  <c r="BD32" i="7"/>
  <c r="F39" i="7"/>
  <c r="G63" i="7"/>
  <c r="G47" i="7"/>
  <c r="G31" i="7"/>
  <c r="G15" i="7"/>
  <c r="F3" i="7"/>
  <c r="F64" i="7"/>
  <c r="F59" i="7"/>
  <c r="F53" i="7"/>
  <c r="F48" i="7"/>
  <c r="F43" i="7"/>
  <c r="F37" i="7"/>
  <c r="F32" i="7"/>
  <c r="F27" i="7"/>
  <c r="F21" i="7"/>
  <c r="F16" i="7"/>
  <c r="F11" i="7"/>
  <c r="F5" i="7"/>
  <c r="L4" i="7"/>
  <c r="V7" i="7"/>
  <c r="U10" i="7"/>
  <c r="V23" i="7"/>
  <c r="U26" i="7"/>
  <c r="V39" i="7"/>
  <c r="U42" i="7"/>
  <c r="V55" i="7"/>
  <c r="U58" i="7"/>
  <c r="AK10" i="7"/>
  <c r="AK26" i="7"/>
  <c r="AK42" i="7"/>
  <c r="AK58" i="7"/>
  <c r="AZ18" i="7"/>
  <c r="AY34" i="7"/>
  <c r="BE7" i="7"/>
  <c r="BD10" i="7"/>
  <c r="BD16" i="7"/>
  <c r="BE23" i="7"/>
  <c r="BD30" i="7"/>
  <c r="BD46" i="7"/>
  <c r="F19" i="9" a="1"/>
  <c r="F19" i="9" s="1"/>
  <c r="F23" i="7"/>
  <c r="F7" i="7"/>
  <c r="F14" i="9" a="1"/>
  <c r="F14" i="9" s="1"/>
  <c r="F68" i="7"/>
  <c r="F57" i="7"/>
  <c r="F52" i="7"/>
  <c r="F41" i="7"/>
  <c r="F36" i="7"/>
  <c r="F25" i="7"/>
  <c r="F20" i="7"/>
  <c r="F9" i="7"/>
  <c r="F4" i="7"/>
  <c r="G55" i="7"/>
  <c r="L8" i="7"/>
  <c r="L15" i="7"/>
  <c r="K18" i="7"/>
  <c r="L31" i="7"/>
  <c r="K34" i="7"/>
  <c r="L51" i="7"/>
  <c r="H13" i="9" s="1" a="1"/>
  <c r="H13" i="9" s="1"/>
  <c r="L67" i="7"/>
  <c r="AA19" i="7"/>
  <c r="AA31" i="7"/>
  <c r="Z34" i="7"/>
  <c r="AA42" i="7"/>
  <c r="AA58" i="7"/>
  <c r="AA67" i="7"/>
  <c r="AF15" i="7"/>
  <c r="AF27" i="7"/>
  <c r="AE30" i="7"/>
  <c r="AF38" i="7"/>
  <c r="AF54" i="7"/>
  <c r="AP7" i="7"/>
  <c r="AO10" i="7"/>
  <c r="AP39" i="7"/>
  <c r="AO42" i="7"/>
  <c r="AP58" i="7"/>
  <c r="AP67" i="7"/>
  <c r="AU15" i="7"/>
  <c r="AT18" i="7"/>
  <c r="AU27" i="7"/>
  <c r="AT30" i="7"/>
  <c r="AU38" i="7"/>
  <c r="AU54" i="7"/>
  <c r="AU63" i="7"/>
  <c r="AT66" i="7"/>
  <c r="AZ43" i="7"/>
  <c r="AY46" i="7"/>
  <c r="BD14" i="7"/>
  <c r="BD52" i="7"/>
  <c r="F12" i="9" a="1"/>
  <c r="F12" i="9" s="1"/>
  <c r="K12" i="7"/>
  <c r="F20" i="9" a="1"/>
  <c r="F20" i="9" s="1"/>
  <c r="F67" i="7"/>
  <c r="F61" i="7"/>
  <c r="F56" i="7"/>
  <c r="F51" i="7"/>
  <c r="F45" i="7"/>
  <c r="F40" i="7"/>
  <c r="F35" i="7"/>
  <c r="F29" i="7"/>
  <c r="F24" i="7"/>
  <c r="F19" i="7"/>
  <c r="F13" i="7"/>
  <c r="F8" i="7"/>
  <c r="AZ11" i="7"/>
  <c r="AZ27" i="7"/>
  <c r="BD50" i="7"/>
  <c r="BE63" i="7"/>
  <c r="F13" i="9" a="1"/>
  <c r="F13" i="9" s="1"/>
  <c r="F15" i="9" a="1"/>
  <c r="F15" i="9" s="1"/>
  <c r="F17" i="9" a="1"/>
  <c r="F17" i="9" s="1"/>
  <c r="F21" i="9" a="1"/>
  <c r="F21" i="9" s="1"/>
  <c r="D23" i="9"/>
  <c r="AA14" i="7"/>
  <c r="Z14" i="7"/>
  <c r="AA46" i="7"/>
  <c r="Z46" i="7"/>
  <c r="AF10" i="7"/>
  <c r="AE10" i="7"/>
  <c r="AF42" i="7"/>
  <c r="AE42" i="7"/>
  <c r="AF66" i="7"/>
  <c r="AE66" i="7"/>
  <c r="AJ11" i="7"/>
  <c r="AK11" i="7"/>
  <c r="AJ43" i="7"/>
  <c r="AK43" i="7"/>
  <c r="AU10" i="7"/>
  <c r="AT10" i="7"/>
  <c r="AU42" i="7"/>
  <c r="AT42" i="7"/>
  <c r="AY19" i="7"/>
  <c r="AZ19" i="7"/>
  <c r="AZ54" i="7"/>
  <c r="AY54" i="7"/>
  <c r="AY67" i="7"/>
  <c r="AZ67" i="7"/>
  <c r="BE22" i="7"/>
  <c r="BD22" i="7"/>
  <c r="G66" i="7"/>
  <c r="G62" i="7"/>
  <c r="G58" i="7"/>
  <c r="G54" i="7"/>
  <c r="G50" i="7"/>
  <c r="G46" i="7"/>
  <c r="G42" i="7"/>
  <c r="G38" i="7"/>
  <c r="G34" i="7"/>
  <c r="G30" i="7"/>
  <c r="G26" i="7"/>
  <c r="G22" i="7"/>
  <c r="G18" i="7"/>
  <c r="G14" i="7"/>
  <c r="G10" i="7"/>
  <c r="G6" i="7"/>
  <c r="L3" i="7"/>
  <c r="L7" i="7"/>
  <c r="L11" i="7"/>
  <c r="L47" i="7"/>
  <c r="K50" i="7"/>
  <c r="L63" i="7"/>
  <c r="K66" i="7"/>
  <c r="V3" i="7"/>
  <c r="U6" i="7"/>
  <c r="V19" i="7"/>
  <c r="U22" i="7"/>
  <c r="V35" i="7"/>
  <c r="U38" i="7"/>
  <c r="V51" i="7"/>
  <c r="H15" i="9" s="1" a="1"/>
  <c r="H15" i="9" s="1"/>
  <c r="U54" i="7"/>
  <c r="V67" i="7"/>
  <c r="AA11" i="7"/>
  <c r="Z43" i="7"/>
  <c r="AA43" i="7"/>
  <c r="AE7" i="7"/>
  <c r="AF7" i="7"/>
  <c r="AE39" i="7"/>
  <c r="AF39" i="7"/>
  <c r="AF63" i="7"/>
  <c r="AK15" i="7"/>
  <c r="AJ18" i="7"/>
  <c r="AK30" i="7"/>
  <c r="AJ30" i="7"/>
  <c r="AK47" i="7"/>
  <c r="AJ50" i="7"/>
  <c r="AK62" i="7"/>
  <c r="AJ62" i="7"/>
  <c r="AT7" i="7"/>
  <c r="AU7" i="7"/>
  <c r="AT39" i="7"/>
  <c r="AU39" i="7"/>
  <c r="AZ6" i="7"/>
  <c r="AY6" i="7"/>
  <c r="AZ23" i="7"/>
  <c r="AY26" i="7"/>
  <c r="AY51" i="7"/>
  <c r="AZ51" i="7"/>
  <c r="H21" i="9" s="1" a="1"/>
  <c r="H21" i="9" s="1"/>
  <c r="BE8" i="7"/>
  <c r="BD8" i="7"/>
  <c r="BE19" i="7"/>
  <c r="BD28" i="7"/>
  <c r="BD31" i="7"/>
  <c r="BE31" i="7"/>
  <c r="BE40" i="7"/>
  <c r="BD40" i="7"/>
  <c r="BE56" i="7"/>
  <c r="BD56" i="7"/>
  <c r="K14" i="7"/>
  <c r="L19" i="7"/>
  <c r="K22" i="7"/>
  <c r="L27" i="7"/>
  <c r="K30" i="7"/>
  <c r="L35" i="7"/>
  <c r="K38" i="7"/>
  <c r="L43" i="7"/>
  <c r="K46" i="7"/>
  <c r="L59" i="7"/>
  <c r="K62" i="7"/>
  <c r="V15" i="7"/>
  <c r="U18" i="7"/>
  <c r="V31" i="7"/>
  <c r="U34" i="7"/>
  <c r="V47" i="7"/>
  <c r="U50" i="7"/>
  <c r="V63" i="7"/>
  <c r="U66" i="7"/>
  <c r="AA15" i="7"/>
  <c r="Z18" i="7"/>
  <c r="AA30" i="7"/>
  <c r="Z30" i="7"/>
  <c r="AA47" i="7"/>
  <c r="Z50" i="7"/>
  <c r="AA62" i="7"/>
  <c r="Z62" i="7"/>
  <c r="AF11" i="7"/>
  <c r="AE14" i="7"/>
  <c r="AF26" i="7"/>
  <c r="AE26" i="7"/>
  <c r="AF43" i="7"/>
  <c r="AE46" i="7"/>
  <c r="AF58" i="7"/>
  <c r="AE58" i="7"/>
  <c r="AF67" i="7"/>
  <c r="AJ27" i="7"/>
  <c r="AK27" i="7"/>
  <c r="AJ59" i="7"/>
  <c r="AK59" i="7"/>
  <c r="AP15" i="7"/>
  <c r="AO18" i="7"/>
  <c r="AP31" i="7"/>
  <c r="AO34" i="7"/>
  <c r="AP47" i="7"/>
  <c r="AO50" i="7"/>
  <c r="AP62" i="7"/>
  <c r="AO62" i="7"/>
  <c r="AU11" i="7"/>
  <c r="AT14" i="7"/>
  <c r="AU26" i="7"/>
  <c r="AT26" i="7"/>
  <c r="AU43" i="7"/>
  <c r="AT46" i="7"/>
  <c r="AU58" i="7"/>
  <c r="AT58" i="7"/>
  <c r="AY3" i="7"/>
  <c r="AZ3" i="7"/>
  <c r="AZ38" i="7"/>
  <c r="AY38" i="7"/>
  <c r="AZ55" i="7"/>
  <c r="AY58" i="7"/>
  <c r="BE6" i="7"/>
  <c r="BD6" i="7"/>
  <c r="BD26" i="7"/>
  <c r="BE38" i="7"/>
  <c r="BD38" i="7"/>
  <c r="BE51" i="7"/>
  <c r="H22" i="9" s="1" a="1"/>
  <c r="H22" i="9" s="1"/>
  <c r="BE54" i="7"/>
  <c r="BD54" i="7"/>
  <c r="K6" i="7"/>
  <c r="K10" i="7"/>
  <c r="L55" i="7"/>
  <c r="V11" i="7"/>
  <c r="V27" i="7"/>
  <c r="V43" i="7"/>
  <c r="V59" i="7"/>
  <c r="AA7" i="7"/>
  <c r="AA10" i="7"/>
  <c r="Z27" i="7"/>
  <c r="AA27" i="7"/>
  <c r="Z59" i="7"/>
  <c r="AA59" i="7"/>
  <c r="AE23" i="7"/>
  <c r="AF23" i="7"/>
  <c r="AE55" i="7"/>
  <c r="AF55" i="7"/>
  <c r="AF62" i="7"/>
  <c r="AE62" i="7"/>
  <c r="AK14" i="7"/>
  <c r="AJ14" i="7"/>
  <c r="AK31" i="7"/>
  <c r="AJ34" i="7"/>
  <c r="AK46" i="7"/>
  <c r="AJ46" i="7"/>
  <c r="AK63" i="7"/>
  <c r="AJ66" i="7"/>
  <c r="AO59" i="7"/>
  <c r="AP59" i="7"/>
  <c r="AT23" i="7"/>
  <c r="AU23" i="7"/>
  <c r="AT55" i="7"/>
  <c r="AU55" i="7"/>
  <c r="AZ7" i="7"/>
  <c r="AY10" i="7"/>
  <c r="AZ22" i="7"/>
  <c r="AY22" i="7"/>
  <c r="AY35" i="7"/>
  <c r="AZ35" i="7"/>
  <c r="BE3" i="7"/>
  <c r="BD12" i="7"/>
  <c r="BD15" i="7"/>
  <c r="BE15" i="7"/>
  <c r="BE24" i="7"/>
  <c r="BD24" i="7"/>
  <c r="BE35" i="7"/>
  <c r="BD44" i="7"/>
  <c r="BD47" i="7"/>
  <c r="BE47" i="7"/>
  <c r="BD67" i="7"/>
  <c r="BE67" i="7"/>
  <c r="AA23" i="7"/>
  <c r="AA39" i="7"/>
  <c r="AA55" i="7"/>
  <c r="AF3" i="7"/>
  <c r="AF19" i="7"/>
  <c r="AF35" i="7"/>
  <c r="AF51" i="7"/>
  <c r="AE60" i="7"/>
  <c r="AE64" i="7"/>
  <c r="AK7" i="7"/>
  <c r="AK23" i="7"/>
  <c r="AK39" i="7"/>
  <c r="AK55" i="7"/>
  <c r="AP3" i="7"/>
  <c r="AO6" i="7"/>
  <c r="AP11" i="7"/>
  <c r="AO14" i="7"/>
  <c r="AP19" i="7"/>
  <c r="AO22" i="7"/>
  <c r="AP27" i="7"/>
  <c r="AO30" i="7"/>
  <c r="AP35" i="7"/>
  <c r="AO38" i="7"/>
  <c r="AP43" i="7"/>
  <c r="AO46" i="7"/>
  <c r="AP55" i="7"/>
  <c r="AU3" i="7"/>
  <c r="AU19" i="7"/>
  <c r="AU35" i="7"/>
  <c r="AU51" i="7"/>
  <c r="H20" i="9" s="1" a="1"/>
  <c r="H20" i="9" s="1"/>
  <c r="AU67" i="7"/>
  <c r="AZ15" i="7"/>
  <c r="AZ31" i="7"/>
  <c r="AZ47" i="7"/>
  <c r="AZ63" i="7"/>
  <c r="BD4" i="7"/>
  <c r="BE11" i="7"/>
  <c r="BD18" i="7"/>
  <c r="BD20" i="7"/>
  <c r="BE27" i="7"/>
  <c r="BD34" i="7"/>
  <c r="BD36" i="7"/>
  <c r="BE43" i="7"/>
  <c r="P10" i="7"/>
  <c r="Q10" i="7"/>
  <c r="Q18" i="7"/>
  <c r="P18" i="7"/>
  <c r="Q22" i="7"/>
  <c r="P22" i="7"/>
  <c r="P30" i="7"/>
  <c r="Q30" i="7"/>
  <c r="P7" i="7"/>
  <c r="Q7" i="7"/>
  <c r="P11" i="7"/>
  <c r="Q11" i="7"/>
  <c r="P15" i="7"/>
  <c r="Q15" i="7"/>
  <c r="P23" i="7"/>
  <c r="Q23" i="7"/>
  <c r="P27" i="7"/>
  <c r="Q27" i="7"/>
  <c r="P31" i="7"/>
  <c r="Q31" i="7"/>
  <c r="P39" i="7"/>
  <c r="Q39" i="7"/>
  <c r="P43" i="7"/>
  <c r="Q43" i="7"/>
  <c r="P47" i="7"/>
  <c r="Q47" i="7"/>
  <c r="P55" i="7"/>
  <c r="Q55" i="7"/>
  <c r="P59" i="7"/>
  <c r="Q59" i="7"/>
  <c r="P63" i="7"/>
  <c r="Q63" i="7"/>
  <c r="P67" i="7"/>
  <c r="Q67" i="7"/>
  <c r="Q6" i="7"/>
  <c r="P6" i="7"/>
  <c r="P14" i="7"/>
  <c r="Q14" i="7"/>
  <c r="P26" i="7"/>
  <c r="Q26" i="7"/>
  <c r="Q34" i="7"/>
  <c r="P34" i="7"/>
  <c r="Q38" i="7"/>
  <c r="P38" i="7"/>
  <c r="P42" i="7"/>
  <c r="Q42" i="7"/>
  <c r="P46" i="7"/>
  <c r="Q46" i="7"/>
  <c r="Q50" i="7"/>
  <c r="P50" i="7"/>
  <c r="Q54" i="7"/>
  <c r="P54" i="7"/>
  <c r="Q58" i="7"/>
  <c r="P58" i="7"/>
  <c r="P62" i="7"/>
  <c r="Q62" i="7"/>
  <c r="Q66" i="7"/>
  <c r="P66" i="7"/>
  <c r="Q3" i="7"/>
  <c r="Q19" i="7"/>
  <c r="Q35" i="7"/>
  <c r="Q51" i="7"/>
  <c r="BD5" i="7"/>
  <c r="G22" i="9" s="1" a="1"/>
  <c r="G22" i="9" s="1"/>
  <c r="BD9" i="7"/>
  <c r="BD13" i="7"/>
  <c r="BD17" i="7"/>
  <c r="BD21" i="7"/>
  <c r="BD25" i="7"/>
  <c r="BD29" i="7"/>
  <c r="BD33" i="7"/>
  <c r="BD37" i="7"/>
  <c r="BD41" i="7"/>
  <c r="BD45" i="7"/>
  <c r="BD49" i="7"/>
  <c r="BD53" i="7"/>
  <c r="BD57" i="7"/>
  <c r="BD61" i="7"/>
  <c r="BD65" i="7"/>
  <c r="BD60" i="7"/>
  <c r="BD64" i="7"/>
  <c r="BD68" i="7"/>
  <c r="AY5" i="7"/>
  <c r="G21" i="9" s="1" a="1"/>
  <c r="G21" i="9" s="1"/>
  <c r="AY9" i="7"/>
  <c r="AY21" i="7"/>
  <c r="AY25" i="7"/>
  <c r="AY33" i="7"/>
  <c r="AY41" i="7"/>
  <c r="AY61" i="7"/>
  <c r="AY4" i="7"/>
  <c r="AY8" i="7"/>
  <c r="AY12" i="7"/>
  <c r="AY16" i="7"/>
  <c r="AZ17" i="7"/>
  <c r="AY20" i="7"/>
  <c r="AY24" i="7"/>
  <c r="AY28" i="7"/>
  <c r="AZ29" i="7"/>
  <c r="AY32" i="7"/>
  <c r="AY36" i="7"/>
  <c r="AZ37" i="7"/>
  <c r="AY40" i="7"/>
  <c r="AY44" i="7"/>
  <c r="AZ45" i="7"/>
  <c r="AY48" i="7"/>
  <c r="AZ49" i="7"/>
  <c r="AY52" i="7"/>
  <c r="AZ53" i="7"/>
  <c r="AY56" i="7"/>
  <c r="AZ57" i="7"/>
  <c r="AY60" i="7"/>
  <c r="AY64" i="7"/>
  <c r="AZ65" i="7"/>
  <c r="AY68" i="7"/>
  <c r="AY13" i="7"/>
  <c r="AT5" i="7"/>
  <c r="G20" i="9" s="1" a="1"/>
  <c r="G20" i="9" s="1"/>
  <c r="AT9" i="7"/>
  <c r="AT13" i="7"/>
  <c r="AT17" i="7"/>
  <c r="AT25" i="7"/>
  <c r="AT29" i="7"/>
  <c r="AT37" i="7"/>
  <c r="AT45" i="7"/>
  <c r="AT53" i="7"/>
  <c r="AT57" i="7"/>
  <c r="AT4" i="7"/>
  <c r="AT8" i="7"/>
  <c r="AT12" i="7"/>
  <c r="AT16" i="7"/>
  <c r="AT20" i="7"/>
  <c r="AU21" i="7"/>
  <c r="AT24" i="7"/>
  <c r="AT28" i="7"/>
  <c r="AT32" i="7"/>
  <c r="AU33" i="7"/>
  <c r="AT36" i="7"/>
  <c r="AT40" i="7"/>
  <c r="AU41" i="7"/>
  <c r="AT44" i="7"/>
  <c r="AT48" i="7"/>
  <c r="AU49" i="7"/>
  <c r="AT52" i="7"/>
  <c r="AT56" i="7"/>
  <c r="AT60" i="7"/>
  <c r="AU61" i="7"/>
  <c r="AT64" i="7"/>
  <c r="AU65" i="7"/>
  <c r="AT68" i="7"/>
  <c r="AO5" i="7"/>
  <c r="G19" i="9" s="1" a="1"/>
  <c r="G19" i="9" s="1"/>
  <c r="AO9" i="7"/>
  <c r="AO13" i="7"/>
  <c r="AO17" i="7"/>
  <c r="AO21" i="7"/>
  <c r="AO25" i="7"/>
  <c r="AO29" i="7"/>
  <c r="AO33" i="7"/>
  <c r="AO37" i="7"/>
  <c r="AO41" i="7"/>
  <c r="AO45" i="7"/>
  <c r="AO49" i="7"/>
  <c r="AO53" i="7"/>
  <c r="AO57" i="7"/>
  <c r="AO61" i="7"/>
  <c r="AO65" i="7"/>
  <c r="AO4" i="7"/>
  <c r="AO8" i="7"/>
  <c r="AO12" i="7"/>
  <c r="AO16" i="7"/>
  <c r="AO20" i="7"/>
  <c r="AO24" i="7"/>
  <c r="AO28" i="7"/>
  <c r="AO32" i="7"/>
  <c r="AO36" i="7"/>
  <c r="AO40" i="7"/>
  <c r="AO44" i="7"/>
  <c r="AO48" i="7"/>
  <c r="AO52" i="7"/>
  <c r="AO56" i="7"/>
  <c r="AO60" i="7"/>
  <c r="AO64" i="7"/>
  <c r="AO68" i="7"/>
  <c r="AJ9" i="7"/>
  <c r="AJ13" i="7"/>
  <c r="AJ17" i="7"/>
  <c r="AJ21" i="7"/>
  <c r="AJ41" i="7"/>
  <c r="AJ45" i="7"/>
  <c r="AJ49" i="7"/>
  <c r="AJ61" i="7"/>
  <c r="AJ65" i="7"/>
  <c r="AJ25" i="7"/>
  <c r="AJ29" i="7"/>
  <c r="AJ33" i="7"/>
  <c r="AJ37" i="7"/>
  <c r="AJ53" i="7"/>
  <c r="AJ57" i="7"/>
  <c r="AJ4" i="7"/>
  <c r="AK5" i="7"/>
  <c r="H18" i="9" s="1" a="1"/>
  <c r="H18" i="9" s="1"/>
  <c r="AJ8" i="7"/>
  <c r="AJ12" i="7"/>
  <c r="AJ16" i="7"/>
  <c r="AJ20" i="7"/>
  <c r="AJ24" i="7"/>
  <c r="AJ28" i="7"/>
  <c r="AJ32" i="7"/>
  <c r="AJ36" i="7"/>
  <c r="AJ40" i="7"/>
  <c r="AJ44" i="7"/>
  <c r="AJ48" i="7"/>
  <c r="AJ52" i="7"/>
  <c r="AJ56" i="7"/>
  <c r="AJ60" i="7"/>
  <c r="AJ64" i="7"/>
  <c r="AJ68" i="7"/>
  <c r="AE17" i="7"/>
  <c r="AE41" i="7"/>
  <c r="AE45" i="7"/>
  <c r="AE57" i="7"/>
  <c r="AE61" i="7"/>
  <c r="AE65" i="7"/>
  <c r="AE9" i="7"/>
  <c r="AE13" i="7"/>
  <c r="AE21" i="7"/>
  <c r="AE25" i="7"/>
  <c r="AE33" i="7"/>
  <c r="AE37" i="7"/>
  <c r="AE49" i="7"/>
  <c r="AE53" i="7"/>
  <c r="AE4" i="7"/>
  <c r="AF5" i="7"/>
  <c r="AE8" i="7"/>
  <c r="AE12" i="7"/>
  <c r="AE16" i="7"/>
  <c r="AE20" i="7"/>
  <c r="AE24" i="7"/>
  <c r="AE28" i="7"/>
  <c r="AF29" i="7"/>
  <c r="AE32" i="7"/>
  <c r="AE36" i="7"/>
  <c r="AE40" i="7"/>
  <c r="AE44" i="7"/>
  <c r="AE48" i="7"/>
  <c r="AE52" i="7"/>
  <c r="AE56" i="7"/>
  <c r="AE68" i="7"/>
  <c r="AA5" i="7"/>
  <c r="Z5" i="7"/>
  <c r="G16" i="9" s="1" a="1"/>
  <c r="G16" i="9" s="1"/>
  <c r="AA53" i="7"/>
  <c r="Z53" i="7"/>
  <c r="AA49" i="7"/>
  <c r="Z49" i="7"/>
  <c r="AA65" i="7"/>
  <c r="Z65" i="7"/>
  <c r="AA21" i="7"/>
  <c r="Z21" i="7"/>
  <c r="AA37" i="7"/>
  <c r="Z37" i="7"/>
  <c r="AA17" i="7"/>
  <c r="Z17" i="7"/>
  <c r="AA33" i="7"/>
  <c r="Z33" i="7"/>
  <c r="AA13" i="7"/>
  <c r="Z13" i="7"/>
  <c r="AA29" i="7"/>
  <c r="Z29" i="7"/>
  <c r="AA45" i="7"/>
  <c r="Z45" i="7"/>
  <c r="AA61" i="7"/>
  <c r="Z61" i="7"/>
  <c r="AA4" i="7"/>
  <c r="Z4" i="7"/>
  <c r="AA9" i="7"/>
  <c r="Z9" i="7"/>
  <c r="AA25" i="7"/>
  <c r="Z25" i="7"/>
  <c r="AA41" i="7"/>
  <c r="Z41" i="7"/>
  <c r="AA57" i="7"/>
  <c r="Z57" i="7"/>
  <c r="Z8" i="7"/>
  <c r="Z12" i="7"/>
  <c r="Z16" i="7"/>
  <c r="Z20" i="7"/>
  <c r="Z24" i="7"/>
  <c r="Z28" i="7"/>
  <c r="Z32" i="7"/>
  <c r="Z36" i="7"/>
  <c r="Z40" i="7"/>
  <c r="Z44" i="7"/>
  <c r="Z48" i="7"/>
  <c r="Z52" i="7"/>
  <c r="Z56" i="7"/>
  <c r="Z60" i="7"/>
  <c r="Z64" i="7"/>
  <c r="Z68" i="7"/>
  <c r="U5" i="7"/>
  <c r="G15" i="9" s="1" a="1"/>
  <c r="G15" i="9" s="1"/>
  <c r="U9" i="7"/>
  <c r="U13" i="7"/>
  <c r="U17" i="7"/>
  <c r="U21" i="7"/>
  <c r="U25" i="7"/>
  <c r="U29" i="7"/>
  <c r="U33" i="7"/>
  <c r="U37" i="7"/>
  <c r="U41" i="7"/>
  <c r="U45" i="7"/>
  <c r="U49" i="7"/>
  <c r="U53" i="7"/>
  <c r="U57" i="7"/>
  <c r="U61" i="7"/>
  <c r="U65" i="7"/>
  <c r="U4" i="7"/>
  <c r="U8" i="7"/>
  <c r="U12" i="7"/>
  <c r="U16" i="7"/>
  <c r="U20" i="7"/>
  <c r="U24" i="7"/>
  <c r="U28" i="7"/>
  <c r="U32" i="7"/>
  <c r="U36" i="7"/>
  <c r="U40" i="7"/>
  <c r="U44" i="7"/>
  <c r="U48" i="7"/>
  <c r="U52" i="7"/>
  <c r="U56" i="7"/>
  <c r="U60" i="7"/>
  <c r="U64" i="7"/>
  <c r="U68" i="7"/>
  <c r="P13" i="7"/>
  <c r="P17" i="7"/>
  <c r="P29" i="7"/>
  <c r="P33" i="7"/>
  <c r="P37" i="7"/>
  <c r="P41" i="7"/>
  <c r="P45" i="7"/>
  <c r="P49" i="7"/>
  <c r="P53" i="7"/>
  <c r="P57" i="7"/>
  <c r="P61" i="7"/>
  <c r="P65" i="7"/>
  <c r="P4" i="7"/>
  <c r="Q5" i="7"/>
  <c r="P8" i="7"/>
  <c r="Q9" i="7"/>
  <c r="P12" i="7"/>
  <c r="P16" i="7"/>
  <c r="P20" i="7"/>
  <c r="Q21" i="7"/>
  <c r="P24" i="7"/>
  <c r="Q25" i="7"/>
  <c r="P28" i="7"/>
  <c r="P32" i="7"/>
  <c r="P36" i="7"/>
  <c r="P40" i="7"/>
  <c r="P44" i="7"/>
  <c r="P48" i="7"/>
  <c r="P52" i="7"/>
  <c r="P56" i="7"/>
  <c r="P60" i="7"/>
  <c r="P64" i="7"/>
  <c r="P68" i="7"/>
  <c r="K5" i="7"/>
  <c r="G13" i="9" s="1" a="1"/>
  <c r="G13" i="9" s="1"/>
  <c r="K9" i="7"/>
  <c r="K13" i="7"/>
  <c r="K17" i="7"/>
  <c r="K21" i="7"/>
  <c r="K25" i="7"/>
  <c r="K29" i="7"/>
  <c r="K33" i="7"/>
  <c r="K37" i="7"/>
  <c r="K41" i="7"/>
  <c r="K45" i="7"/>
  <c r="K49" i="7"/>
  <c r="K53" i="7"/>
  <c r="K57" i="7"/>
  <c r="K61" i="7"/>
  <c r="K65" i="7"/>
  <c r="K16" i="7"/>
  <c r="K20" i="7"/>
  <c r="K24" i="7"/>
  <c r="K28" i="7"/>
  <c r="K32" i="7"/>
  <c r="K36" i="7"/>
  <c r="K40" i="7"/>
  <c r="K44" i="7"/>
  <c r="K48" i="7"/>
  <c r="K52" i="7"/>
  <c r="K56" i="7"/>
  <c r="K60" i="7"/>
  <c r="K64" i="7"/>
  <c r="K68" i="7"/>
  <c r="H14" i="9" l="1" a="1"/>
  <c r="H14" i="9" s="1"/>
  <c r="G12" i="9" a="1"/>
  <c r="G12" i="9" s="1"/>
  <c r="H16" i="9" a="1"/>
  <c r="H16" i="9" s="1"/>
  <c r="H17" i="9" a="1"/>
  <c r="H17" i="9" s="1"/>
  <c r="O7" i="6"/>
  <c r="N7" i="6"/>
  <c r="M7" i="6"/>
  <c r="L7" i="6"/>
  <c r="K7" i="6"/>
  <c r="G7" i="6"/>
  <c r="F7" i="6"/>
  <c r="E7" i="6"/>
  <c r="D7" i="6"/>
  <c r="BL3" i="5"/>
  <c r="H23" i="9" l="1"/>
  <c r="G43" i="3"/>
  <c r="G15" i="3"/>
  <c r="F4" i="3"/>
  <c r="G4" i="3" s="1"/>
  <c r="F5" i="3"/>
  <c r="G5" i="3" s="1"/>
  <c r="F6" i="3"/>
  <c r="G6" i="3" s="1"/>
  <c r="F7" i="3"/>
  <c r="G7" i="3" s="1"/>
  <c r="F8" i="3"/>
  <c r="G8" i="3" s="1"/>
  <c r="F10" i="3"/>
  <c r="G10" i="3" s="1"/>
  <c r="F9" i="3"/>
  <c r="G9" i="3" s="1"/>
  <c r="F11" i="3"/>
  <c r="G11" i="3" s="1"/>
  <c r="F12" i="3"/>
  <c r="G12" i="3" s="1"/>
  <c r="F17" i="3"/>
  <c r="G17" i="3" s="1"/>
  <c r="F18" i="3"/>
  <c r="G18" i="3" s="1"/>
  <c r="F21" i="3"/>
  <c r="G21" i="3" s="1"/>
  <c r="F19" i="3"/>
  <c r="G19" i="3" s="1"/>
  <c r="F13" i="3"/>
  <c r="G13" i="3" s="1"/>
  <c r="F22" i="3"/>
  <c r="G22" i="3" s="1"/>
  <c r="F25" i="3"/>
  <c r="G25" i="3" s="1"/>
  <c r="F14" i="3"/>
  <c r="G14" i="3" s="1"/>
  <c r="F24" i="3"/>
  <c r="G24" i="3" s="1"/>
  <c r="F16" i="3"/>
  <c r="G16" i="3" s="1"/>
  <c r="F26" i="3"/>
  <c r="G26" i="3" s="1"/>
  <c r="F65" i="3"/>
  <c r="G65" i="3" s="1"/>
  <c r="F29" i="3"/>
  <c r="G29" i="3" s="1"/>
  <c r="F30" i="3"/>
  <c r="G30" i="3" s="1"/>
  <c r="F32" i="3"/>
  <c r="G32" i="3" s="1"/>
  <c r="F31" i="3"/>
  <c r="G31" i="3" s="1"/>
  <c r="F33" i="3"/>
  <c r="G33" i="3" s="1"/>
  <c r="F27" i="3"/>
  <c r="G27" i="3" s="1"/>
  <c r="F34" i="3"/>
  <c r="G34" i="3" s="1"/>
  <c r="F35" i="3"/>
  <c r="G35" i="3" s="1"/>
  <c r="F38" i="3"/>
  <c r="G38" i="3" s="1"/>
  <c r="F28" i="3"/>
  <c r="G28" i="3" s="1"/>
  <c r="F20" i="3"/>
  <c r="G20" i="3" s="1"/>
  <c r="F36" i="3"/>
  <c r="G36" i="3" s="1"/>
  <c r="F39" i="3"/>
  <c r="G39" i="3" s="1"/>
  <c r="F70" i="3"/>
  <c r="G70" i="3" s="1"/>
  <c r="F37" i="3"/>
  <c r="G37" i="3" s="1"/>
  <c r="F43" i="3"/>
  <c r="F40" i="3"/>
  <c r="G40" i="3" s="1"/>
  <c r="F44" i="3"/>
  <c r="G44" i="3" s="1"/>
  <c r="F56" i="3"/>
  <c r="G56" i="3" s="1"/>
  <c r="F50" i="3"/>
  <c r="G50" i="3" s="1"/>
  <c r="F51" i="3"/>
  <c r="G51" i="3" s="1"/>
  <c r="F47" i="3"/>
  <c r="G47" i="3" s="1"/>
  <c r="F48" i="3"/>
  <c r="G48" i="3" s="1"/>
  <c r="F41" i="3"/>
  <c r="G41" i="3" s="1"/>
  <c r="F68" i="3"/>
  <c r="G68" i="3" s="1"/>
  <c r="F54" i="3"/>
  <c r="G54" i="3" s="1"/>
  <c r="F53" i="3"/>
  <c r="G53" i="3" s="1"/>
  <c r="F23" i="3"/>
  <c r="G23" i="3" s="1"/>
  <c r="F57" i="3"/>
  <c r="G57" i="3" s="1"/>
  <c r="F58" i="3"/>
  <c r="G58" i="3" s="1"/>
  <c r="F59" i="3"/>
  <c r="G59" i="3" s="1"/>
  <c r="F15" i="3"/>
  <c r="F60" i="3"/>
  <c r="G60" i="3" s="1"/>
  <c r="F73" i="3"/>
  <c r="G73" i="3" s="1"/>
  <c r="F66" i="3"/>
  <c r="G66" i="3" s="1"/>
  <c r="F45" i="3"/>
  <c r="G45" i="3" s="1"/>
  <c r="F64" i="3"/>
  <c r="G64" i="3" s="1"/>
  <c r="F67" i="3"/>
  <c r="G67" i="3" s="1"/>
  <c r="F62" i="3"/>
  <c r="G62" i="3" s="1"/>
  <c r="F55" i="3"/>
  <c r="G55" i="3" s="1"/>
  <c r="F49" i="3"/>
  <c r="G49" i="3" s="1"/>
  <c r="F42" i="3"/>
  <c r="G42" i="3" s="1"/>
  <c r="F71" i="3"/>
  <c r="G71" i="3" s="1"/>
  <c r="F61" i="3"/>
  <c r="G61" i="3" s="1"/>
  <c r="F69" i="3"/>
  <c r="G69" i="3" s="1"/>
  <c r="F72" i="3"/>
  <c r="G72" i="3" s="1"/>
  <c r="F52" i="3"/>
  <c r="G52" i="3" s="1"/>
  <c r="F46" i="3"/>
  <c r="G46" i="3" s="1"/>
  <c r="F63" i="3"/>
  <c r="G63" i="3" s="1"/>
  <c r="F74" i="3"/>
  <c r="G74" i="3" s="1"/>
  <c r="F75" i="3"/>
  <c r="G75" i="3" s="1"/>
  <c r="F77" i="3"/>
  <c r="G77" i="3" s="1"/>
  <c r="F76" i="3"/>
  <c r="G76" i="3" s="1"/>
  <c r="F3" i="3"/>
  <c r="G3" i="3" s="1"/>
  <c r="BM7" i="5"/>
  <c r="BM9" i="5"/>
  <c r="BM16" i="5"/>
  <c r="BM13" i="5"/>
  <c r="BM23" i="5"/>
  <c r="BM21" i="5"/>
  <c r="BM26" i="5"/>
  <c r="BM24" i="5"/>
  <c r="BM30" i="5"/>
  <c r="BM27" i="5"/>
  <c r="BM35" i="5"/>
  <c r="BM33" i="5"/>
  <c r="BM46" i="5"/>
  <c r="BM34" i="5"/>
  <c r="BM39" i="5"/>
  <c r="BM42" i="5"/>
  <c r="BM41" i="5"/>
  <c r="BM44" i="5"/>
  <c r="BM45" i="5"/>
  <c r="BM47" i="5"/>
  <c r="BM56" i="5"/>
  <c r="BM54" i="5"/>
  <c r="BM59" i="5"/>
  <c r="BM51" i="5"/>
  <c r="BM55" i="5"/>
  <c r="BM60" i="5"/>
  <c r="BM52" i="5"/>
  <c r="BM69" i="5"/>
  <c r="BM67" i="5"/>
  <c r="BM70" i="5"/>
  <c r="BM82" i="5"/>
  <c r="BM71" i="5"/>
  <c r="BM78" i="5"/>
  <c r="BM91" i="5"/>
  <c r="BM87" i="5"/>
  <c r="BM90" i="5"/>
  <c r="BM92" i="5"/>
  <c r="BM89" i="5"/>
  <c r="BM88" i="5"/>
  <c r="BM95" i="5"/>
  <c r="BM97" i="5"/>
  <c r="BM6" i="5"/>
  <c r="BM12" i="5"/>
  <c r="BM15" i="5"/>
  <c r="BM14" i="5"/>
  <c r="BM18" i="5"/>
  <c r="BM17" i="5"/>
  <c r="BM20" i="5"/>
  <c r="BM19" i="5"/>
  <c r="BM22" i="5"/>
  <c r="BM25" i="5"/>
  <c r="BM32" i="5"/>
  <c r="BM28" i="5"/>
  <c r="BM31" i="5"/>
  <c r="BM36" i="5"/>
  <c r="BM37" i="5"/>
  <c r="BM38" i="5"/>
  <c r="BM57" i="5"/>
  <c r="BM58" i="5"/>
  <c r="BM53" i="5"/>
  <c r="BM64" i="5"/>
  <c r="BM50" i="5"/>
  <c r="BM62" i="5"/>
  <c r="BM63" i="5"/>
  <c r="BM61" i="5"/>
  <c r="BM72" i="5"/>
  <c r="BM68" i="5"/>
  <c r="BM73" i="5"/>
  <c r="BM79" i="5"/>
  <c r="BM77" i="5"/>
  <c r="BM74" i="5"/>
  <c r="BM75" i="5"/>
  <c r="BM84" i="5"/>
  <c r="BM85" i="5"/>
  <c r="BM86" i="5"/>
  <c r="BM76" i="5"/>
  <c r="BM81" i="5"/>
  <c r="BM80" i="5"/>
  <c r="BM83" i="5"/>
  <c r="BM94" i="5"/>
  <c r="BM96" i="5"/>
  <c r="BM4" i="5"/>
  <c r="BM5" i="5"/>
  <c r="BM10" i="5"/>
  <c r="BM8" i="5"/>
  <c r="BM11" i="5"/>
  <c r="BM29" i="5"/>
  <c r="BM40" i="5"/>
  <c r="BM43" i="5"/>
  <c r="BM48" i="5"/>
  <c r="BM49" i="5"/>
  <c r="BM65" i="5"/>
  <c r="BM66" i="5"/>
  <c r="BM93" i="5"/>
  <c r="BM98" i="5"/>
  <c r="BM3" i="5"/>
  <c r="BI98" i="5"/>
  <c r="BI93" i="5"/>
  <c r="BJ93" i="5" s="1"/>
  <c r="BI66" i="5"/>
  <c r="BK66" i="5" s="1"/>
  <c r="BI65" i="5"/>
  <c r="BK65" i="5" s="1"/>
  <c r="BI49" i="5"/>
  <c r="BI48" i="5"/>
  <c r="BJ48" i="5" s="1"/>
  <c r="BK43" i="5"/>
  <c r="BI43" i="5"/>
  <c r="BJ43" i="5" s="1"/>
  <c r="BI40" i="5"/>
  <c r="BK40" i="5" s="1"/>
  <c r="BI29" i="5"/>
  <c r="BI11" i="5"/>
  <c r="BJ11" i="5" s="1"/>
  <c r="BJ8" i="5"/>
  <c r="BI8" i="5"/>
  <c r="BK8" i="5" s="1"/>
  <c r="BI10" i="5"/>
  <c r="BK10" i="5" s="1"/>
  <c r="BI5" i="5"/>
  <c r="BK4" i="5"/>
  <c r="BI4" i="5"/>
  <c r="BJ4" i="5" s="1"/>
  <c r="BI96" i="5"/>
  <c r="BK96" i="5" s="1"/>
  <c r="BI94" i="5"/>
  <c r="BK94" i="5" s="1"/>
  <c r="BI83" i="5"/>
  <c r="BI80" i="5"/>
  <c r="BJ80" i="5" s="1"/>
  <c r="BI81" i="5"/>
  <c r="BK81" i="5" s="1"/>
  <c r="BI76" i="5"/>
  <c r="BK76" i="5" s="1"/>
  <c r="BI86" i="5"/>
  <c r="BI85" i="5"/>
  <c r="BJ85" i="5" s="1"/>
  <c r="BK84" i="5"/>
  <c r="BI84" i="5"/>
  <c r="BJ84" i="5" s="1"/>
  <c r="BI75" i="5"/>
  <c r="BK75" i="5" s="1"/>
  <c r="BI74" i="5"/>
  <c r="BI77" i="5"/>
  <c r="BJ77" i="5" s="1"/>
  <c r="BJ79" i="5"/>
  <c r="BI79" i="5"/>
  <c r="BK79" i="5" s="1"/>
  <c r="BI73" i="5"/>
  <c r="BK73" i="5" s="1"/>
  <c r="BI68" i="5"/>
  <c r="BK72" i="5"/>
  <c r="BI72" i="5"/>
  <c r="BJ72" i="5" s="1"/>
  <c r="BI61" i="5"/>
  <c r="BK61" i="5" s="1"/>
  <c r="BI63" i="5"/>
  <c r="BK63" i="5" s="1"/>
  <c r="BI62" i="5"/>
  <c r="BI50" i="5"/>
  <c r="BJ50" i="5" s="1"/>
  <c r="BI64" i="5"/>
  <c r="BK64" i="5" s="1"/>
  <c r="BI53" i="5"/>
  <c r="BK53" i="5" s="1"/>
  <c r="BI58" i="5"/>
  <c r="BI57" i="5"/>
  <c r="BJ57" i="5" s="1"/>
  <c r="BK38" i="5"/>
  <c r="BI38" i="5"/>
  <c r="BJ38" i="5" s="1"/>
  <c r="BI37" i="5"/>
  <c r="BK37" i="5" s="1"/>
  <c r="BI36" i="5"/>
  <c r="BI31" i="5"/>
  <c r="BJ31" i="5" s="1"/>
  <c r="BJ28" i="5"/>
  <c r="BI28" i="5"/>
  <c r="BK28" i="5" s="1"/>
  <c r="BI32" i="5"/>
  <c r="BK32" i="5" s="1"/>
  <c r="BI25" i="5"/>
  <c r="BK22" i="5"/>
  <c r="BI22" i="5"/>
  <c r="BJ22" i="5" s="1"/>
  <c r="BI19" i="5"/>
  <c r="BK19" i="5" s="1"/>
  <c r="BI20" i="5"/>
  <c r="BK20" i="5" s="1"/>
  <c r="BI17" i="5"/>
  <c r="BI18" i="5"/>
  <c r="BJ18" i="5" s="1"/>
  <c r="BI14" i="5"/>
  <c r="BK14" i="5" s="1"/>
  <c r="BI15" i="5"/>
  <c r="BK15" i="5" s="1"/>
  <c r="BI12" i="5"/>
  <c r="BI6" i="5"/>
  <c r="BJ6" i="5" s="1"/>
  <c r="BK97" i="5"/>
  <c r="BI97" i="5"/>
  <c r="BJ97" i="5" s="1"/>
  <c r="BI95" i="5"/>
  <c r="BK95" i="5" s="1"/>
  <c r="BI88" i="5"/>
  <c r="BI89" i="5"/>
  <c r="BJ89" i="5" s="1"/>
  <c r="BJ92" i="5"/>
  <c r="BI92" i="5"/>
  <c r="BK92" i="5" s="1"/>
  <c r="BI90" i="5"/>
  <c r="BK90" i="5" s="1"/>
  <c r="BI87" i="5"/>
  <c r="BK91" i="5"/>
  <c r="BI91" i="5"/>
  <c r="BJ91" i="5" s="1"/>
  <c r="BI78" i="5"/>
  <c r="BK78" i="5" s="1"/>
  <c r="BI71" i="5"/>
  <c r="BK71" i="5" s="1"/>
  <c r="BI82" i="5"/>
  <c r="BI70" i="5"/>
  <c r="BJ70" i="5" s="1"/>
  <c r="BI67" i="5"/>
  <c r="BK67" i="5" s="1"/>
  <c r="BI69" i="5"/>
  <c r="BK69" i="5" s="1"/>
  <c r="BI52" i="5"/>
  <c r="BI60" i="5"/>
  <c r="BJ60" i="5" s="1"/>
  <c r="BK55" i="5"/>
  <c r="BI55" i="5"/>
  <c r="BJ55" i="5" s="1"/>
  <c r="BI51" i="5"/>
  <c r="BK51" i="5" s="1"/>
  <c r="BI59" i="5"/>
  <c r="BI54" i="5"/>
  <c r="BJ54" i="5" s="1"/>
  <c r="BI56" i="5"/>
  <c r="BK56" i="5" s="1"/>
  <c r="BI47" i="5"/>
  <c r="BK47" i="5" s="1"/>
  <c r="BI45" i="5"/>
  <c r="BK45" i="5" s="1"/>
  <c r="BK44" i="5"/>
  <c r="BI44" i="5"/>
  <c r="BJ44" i="5" s="1"/>
  <c r="BI41" i="5"/>
  <c r="BK41" i="5" s="1"/>
  <c r="BI42" i="5"/>
  <c r="BK42" i="5" s="1"/>
  <c r="BI39" i="5"/>
  <c r="BK39" i="5" s="1"/>
  <c r="BI34" i="5"/>
  <c r="BJ34" i="5" s="1"/>
  <c r="BI46" i="5"/>
  <c r="BK46" i="5" s="1"/>
  <c r="BI33" i="5"/>
  <c r="BK33" i="5" s="1"/>
  <c r="BI35" i="5"/>
  <c r="BK35" i="5" s="1"/>
  <c r="BI27" i="5"/>
  <c r="BJ27" i="5" s="1"/>
  <c r="BJ30" i="5"/>
  <c r="BI30" i="5"/>
  <c r="BK30" i="5" s="1"/>
  <c r="BI24" i="5"/>
  <c r="BK24" i="5" s="1"/>
  <c r="BI26" i="5"/>
  <c r="BK26" i="5" s="1"/>
  <c r="BI21" i="5"/>
  <c r="BJ21" i="5" s="1"/>
  <c r="BI23" i="5"/>
  <c r="BK23" i="5" s="1"/>
  <c r="BI13" i="5"/>
  <c r="BK13" i="5" s="1"/>
  <c r="BI16" i="5"/>
  <c r="BK16" i="5" s="1"/>
  <c r="BK9" i="5"/>
  <c r="BI9" i="5"/>
  <c r="BJ9" i="5" s="1"/>
  <c r="BK7" i="5"/>
  <c r="BI7" i="5"/>
  <c r="BJ7" i="5" s="1"/>
  <c r="BI3" i="5"/>
  <c r="BK3" i="5" s="1"/>
  <c r="BD98" i="5"/>
  <c r="BD93" i="5"/>
  <c r="BE93" i="5" s="1"/>
  <c r="BF66" i="5"/>
  <c r="BD66" i="5"/>
  <c r="BE66" i="5" s="1"/>
  <c r="BD65" i="5"/>
  <c r="BF65" i="5" s="1"/>
  <c r="BD49" i="5"/>
  <c r="BD48" i="5"/>
  <c r="BE48" i="5" s="1"/>
  <c r="BD43" i="5"/>
  <c r="BE43" i="5" s="1"/>
  <c r="BD40" i="5"/>
  <c r="BF40" i="5" s="1"/>
  <c r="BD29" i="5"/>
  <c r="BD11" i="5"/>
  <c r="BE11" i="5" s="1"/>
  <c r="BD8" i="5"/>
  <c r="BE8" i="5" s="1"/>
  <c r="BD10" i="5"/>
  <c r="BF10" i="5" s="1"/>
  <c r="BD5" i="5"/>
  <c r="BD4" i="5"/>
  <c r="BE4" i="5" s="1"/>
  <c r="BD96" i="5"/>
  <c r="BF96" i="5" s="1"/>
  <c r="BD94" i="5"/>
  <c r="BF94" i="5" s="1"/>
  <c r="BD83" i="5"/>
  <c r="BD80" i="5"/>
  <c r="BE80" i="5" s="1"/>
  <c r="BD81" i="5"/>
  <c r="BE81" i="5" s="1"/>
  <c r="BD76" i="5"/>
  <c r="BF76" i="5" s="1"/>
  <c r="BD86" i="5"/>
  <c r="BD85" i="5"/>
  <c r="BE85" i="5" s="1"/>
  <c r="BD84" i="5"/>
  <c r="BF84" i="5" s="1"/>
  <c r="BD75" i="5"/>
  <c r="BF75" i="5" s="1"/>
  <c r="BD74" i="5"/>
  <c r="BD77" i="5"/>
  <c r="BE77" i="5" s="1"/>
  <c r="BD79" i="5"/>
  <c r="BE79" i="5" s="1"/>
  <c r="BD73" i="5"/>
  <c r="BF73" i="5" s="1"/>
  <c r="BD68" i="5"/>
  <c r="BD72" i="5"/>
  <c r="BE72" i="5" s="1"/>
  <c r="BD61" i="5"/>
  <c r="BF61" i="5" s="1"/>
  <c r="BD63" i="5"/>
  <c r="BF63" i="5" s="1"/>
  <c r="BD62" i="5"/>
  <c r="BD50" i="5"/>
  <c r="BE50" i="5" s="1"/>
  <c r="BF64" i="5"/>
  <c r="BD64" i="5"/>
  <c r="BE64" i="5" s="1"/>
  <c r="BD53" i="5"/>
  <c r="BF53" i="5" s="1"/>
  <c r="BD58" i="5"/>
  <c r="BD57" i="5"/>
  <c r="BE57" i="5" s="1"/>
  <c r="BD38" i="5"/>
  <c r="BF38" i="5" s="1"/>
  <c r="BD37" i="5"/>
  <c r="BF37" i="5" s="1"/>
  <c r="BD36" i="5"/>
  <c r="BD31" i="5"/>
  <c r="BE31" i="5" s="1"/>
  <c r="BD28" i="5"/>
  <c r="BE28" i="5" s="1"/>
  <c r="BD32" i="5"/>
  <c r="BF32" i="5" s="1"/>
  <c r="BD25" i="5"/>
  <c r="BD22" i="5"/>
  <c r="BE22" i="5" s="1"/>
  <c r="BD19" i="5"/>
  <c r="BF19" i="5" s="1"/>
  <c r="BD20" i="5"/>
  <c r="BF20" i="5" s="1"/>
  <c r="BD17" i="5"/>
  <c r="BD18" i="5"/>
  <c r="BE18" i="5" s="1"/>
  <c r="BD14" i="5"/>
  <c r="BE14" i="5" s="1"/>
  <c r="BD15" i="5"/>
  <c r="BF15" i="5" s="1"/>
  <c r="BD12" i="5"/>
  <c r="BD6" i="5"/>
  <c r="BE6" i="5" s="1"/>
  <c r="BD97" i="5"/>
  <c r="BE97" i="5" s="1"/>
  <c r="BD95" i="5"/>
  <c r="BF95" i="5" s="1"/>
  <c r="BD88" i="5"/>
  <c r="BD89" i="5"/>
  <c r="BE89" i="5" s="1"/>
  <c r="BD92" i="5"/>
  <c r="BE92" i="5" s="1"/>
  <c r="BD90" i="5"/>
  <c r="BF90" i="5" s="1"/>
  <c r="BD87" i="5"/>
  <c r="BD91" i="5"/>
  <c r="BE91" i="5" s="1"/>
  <c r="BD78" i="5"/>
  <c r="BF78" i="5" s="1"/>
  <c r="BD71" i="5"/>
  <c r="BF71" i="5" s="1"/>
  <c r="BD82" i="5"/>
  <c r="BD70" i="5"/>
  <c r="BE70" i="5" s="1"/>
  <c r="BF67" i="5"/>
  <c r="BD67" i="5"/>
  <c r="BE67" i="5" s="1"/>
  <c r="BD69" i="5"/>
  <c r="BF69" i="5" s="1"/>
  <c r="BD52" i="5"/>
  <c r="BD60" i="5"/>
  <c r="BE60" i="5" s="1"/>
  <c r="BD55" i="5"/>
  <c r="BE55" i="5" s="1"/>
  <c r="BD51" i="5"/>
  <c r="BF51" i="5" s="1"/>
  <c r="BD59" i="5"/>
  <c r="BD54" i="5"/>
  <c r="BE54" i="5" s="1"/>
  <c r="BD56" i="5"/>
  <c r="BF56" i="5" s="1"/>
  <c r="BF47" i="5"/>
  <c r="BD47" i="5"/>
  <c r="BE47" i="5" s="1"/>
  <c r="BD45" i="5"/>
  <c r="BF45" i="5" s="1"/>
  <c r="BD44" i="5"/>
  <c r="BE44" i="5" s="1"/>
  <c r="BD41" i="5"/>
  <c r="BE41" i="5" s="1"/>
  <c r="BD42" i="5"/>
  <c r="BF42" i="5" s="1"/>
  <c r="BD39" i="5"/>
  <c r="BF39" i="5" s="1"/>
  <c r="BD34" i="5"/>
  <c r="BE34" i="5" s="1"/>
  <c r="BD46" i="5"/>
  <c r="BF46" i="5" s="1"/>
  <c r="BD33" i="5"/>
  <c r="BF33" i="5" s="1"/>
  <c r="BD35" i="5"/>
  <c r="BF35" i="5" s="1"/>
  <c r="BD27" i="5"/>
  <c r="BE27" i="5" s="1"/>
  <c r="BD30" i="5"/>
  <c r="BF30" i="5" s="1"/>
  <c r="BF24" i="5"/>
  <c r="BD24" i="5"/>
  <c r="BE24" i="5" s="1"/>
  <c r="BD26" i="5"/>
  <c r="BF26" i="5" s="1"/>
  <c r="BD21" i="5"/>
  <c r="BE21" i="5" s="1"/>
  <c r="BD23" i="5"/>
  <c r="BF23" i="5" s="1"/>
  <c r="BD13" i="5"/>
  <c r="BF13" i="5" s="1"/>
  <c r="BD16" i="5"/>
  <c r="BF16" i="5" s="1"/>
  <c r="BD9" i="5"/>
  <c r="BE9" i="5" s="1"/>
  <c r="BD7" i="5"/>
  <c r="BF7" i="5" s="1"/>
  <c r="BD3" i="5"/>
  <c r="BE3" i="5" s="1"/>
  <c r="AY98" i="5"/>
  <c r="BA98" i="5" s="1"/>
  <c r="AY93" i="5"/>
  <c r="AZ93" i="5" s="1"/>
  <c r="AY66" i="5"/>
  <c r="BA66" i="5" s="1"/>
  <c r="AY65" i="5"/>
  <c r="AZ65" i="5" s="1"/>
  <c r="AY49" i="5"/>
  <c r="BA49" i="5" s="1"/>
  <c r="AY48" i="5"/>
  <c r="AZ48" i="5" s="1"/>
  <c r="AY43" i="5"/>
  <c r="BA43" i="5" s="1"/>
  <c r="AY40" i="5"/>
  <c r="BA40" i="5" s="1"/>
  <c r="AY29" i="5"/>
  <c r="BA29" i="5" s="1"/>
  <c r="AY11" i="5"/>
  <c r="AZ11" i="5" s="1"/>
  <c r="AY8" i="5"/>
  <c r="BA8" i="5" s="1"/>
  <c r="AY10" i="5"/>
  <c r="AZ10" i="5" s="1"/>
  <c r="AY5" i="5"/>
  <c r="BA5" i="5" s="1"/>
  <c r="AY4" i="5"/>
  <c r="AZ4" i="5" s="1"/>
  <c r="AY96" i="5"/>
  <c r="BA96" i="5" s="1"/>
  <c r="AY94" i="5"/>
  <c r="AZ94" i="5" s="1"/>
  <c r="AY83" i="5"/>
  <c r="BA83" i="5" s="1"/>
  <c r="AY80" i="5"/>
  <c r="AZ80" i="5" s="1"/>
  <c r="AY81" i="5"/>
  <c r="BA81" i="5" s="1"/>
  <c r="AY76" i="5"/>
  <c r="BA76" i="5" s="1"/>
  <c r="AY86" i="5"/>
  <c r="BA86" i="5" s="1"/>
  <c r="AY85" i="5"/>
  <c r="AZ85" i="5" s="1"/>
  <c r="AY84" i="5"/>
  <c r="AZ84" i="5" s="1"/>
  <c r="AY75" i="5"/>
  <c r="AZ75" i="5" s="1"/>
  <c r="AY74" i="5"/>
  <c r="BA74" i="5" s="1"/>
  <c r="AY77" i="5"/>
  <c r="AZ77" i="5" s="1"/>
  <c r="AY79" i="5"/>
  <c r="BA79" i="5" s="1"/>
  <c r="AY73" i="5"/>
  <c r="BA73" i="5" s="1"/>
  <c r="AY68" i="5"/>
  <c r="BA68" i="5" s="1"/>
  <c r="AY72" i="5"/>
  <c r="AZ72" i="5" s="1"/>
  <c r="AY61" i="5"/>
  <c r="BA61" i="5" s="1"/>
  <c r="AY63" i="5"/>
  <c r="BA63" i="5" s="1"/>
  <c r="AY62" i="5"/>
  <c r="BA62" i="5" s="1"/>
  <c r="AY50" i="5"/>
  <c r="AZ50" i="5" s="1"/>
  <c r="AY64" i="5"/>
  <c r="AZ64" i="5" s="1"/>
  <c r="AY53" i="5"/>
  <c r="BA53" i="5" s="1"/>
  <c r="AY58" i="5"/>
  <c r="BA58" i="5" s="1"/>
  <c r="AY57" i="5"/>
  <c r="AZ57" i="5" s="1"/>
  <c r="AY38" i="5"/>
  <c r="AZ38" i="5" s="1"/>
  <c r="AY37" i="5"/>
  <c r="BA37" i="5" s="1"/>
  <c r="AY36" i="5"/>
  <c r="BA36" i="5" s="1"/>
  <c r="AY31" i="5"/>
  <c r="AZ31" i="5" s="1"/>
  <c r="AY28" i="5"/>
  <c r="BA28" i="5" s="1"/>
  <c r="AY32" i="5"/>
  <c r="AZ32" i="5" s="1"/>
  <c r="AY25" i="5"/>
  <c r="BA25" i="5" s="1"/>
  <c r="AY22" i="5"/>
  <c r="AZ22" i="5" s="1"/>
  <c r="AY19" i="5"/>
  <c r="BA19" i="5" s="1"/>
  <c r="AY20" i="5"/>
  <c r="BA20" i="5" s="1"/>
  <c r="AY17" i="5"/>
  <c r="BA17" i="5" s="1"/>
  <c r="AY18" i="5"/>
  <c r="AZ18" i="5" s="1"/>
  <c r="AY14" i="5"/>
  <c r="BA14" i="5" s="1"/>
  <c r="AY15" i="5"/>
  <c r="AZ15" i="5" s="1"/>
  <c r="AY12" i="5"/>
  <c r="BA12" i="5" s="1"/>
  <c r="AY6" i="5"/>
  <c r="AZ6" i="5" s="1"/>
  <c r="AY97" i="5"/>
  <c r="BA97" i="5" s="1"/>
  <c r="AY95" i="5"/>
  <c r="AZ95" i="5" s="1"/>
  <c r="AY88" i="5"/>
  <c r="BA88" i="5" s="1"/>
  <c r="AY89" i="5"/>
  <c r="AZ89" i="5" s="1"/>
  <c r="AY92" i="5"/>
  <c r="BA92" i="5" s="1"/>
  <c r="AY90" i="5"/>
  <c r="AZ90" i="5" s="1"/>
  <c r="AY87" i="5"/>
  <c r="BA87" i="5" s="1"/>
  <c r="AY91" i="5"/>
  <c r="AZ91" i="5" s="1"/>
  <c r="AY78" i="5"/>
  <c r="BA78" i="5" s="1"/>
  <c r="AY71" i="5"/>
  <c r="AZ71" i="5" s="1"/>
  <c r="AY82" i="5"/>
  <c r="BA82" i="5" s="1"/>
  <c r="AY70" i="5"/>
  <c r="AZ70" i="5" s="1"/>
  <c r="AY67" i="5"/>
  <c r="AZ67" i="5" s="1"/>
  <c r="AY69" i="5"/>
  <c r="AZ69" i="5" s="1"/>
  <c r="AY52" i="5"/>
  <c r="BA52" i="5" s="1"/>
  <c r="AY60" i="5"/>
  <c r="AZ60" i="5" s="1"/>
  <c r="AY55" i="5"/>
  <c r="BA55" i="5" s="1"/>
  <c r="AY51" i="5"/>
  <c r="BA51" i="5" s="1"/>
  <c r="AY59" i="5"/>
  <c r="BA59" i="5" s="1"/>
  <c r="AY54" i="5"/>
  <c r="AZ54" i="5" s="1"/>
  <c r="AY56" i="5"/>
  <c r="AZ56" i="5" s="1"/>
  <c r="AY47" i="5"/>
  <c r="BA47" i="5" s="1"/>
  <c r="AY45" i="5"/>
  <c r="BA45" i="5" s="1"/>
  <c r="AY44" i="5"/>
  <c r="AZ44" i="5" s="1"/>
  <c r="AY41" i="5"/>
  <c r="BA41" i="5" s="1"/>
  <c r="AY42" i="5"/>
  <c r="BA42" i="5" s="1"/>
  <c r="AY39" i="5"/>
  <c r="BA39" i="5" s="1"/>
  <c r="AY34" i="5"/>
  <c r="AZ34" i="5" s="1"/>
  <c r="AY46" i="5"/>
  <c r="AZ46" i="5" s="1"/>
  <c r="AY33" i="5"/>
  <c r="BA33" i="5" s="1"/>
  <c r="AY35" i="5"/>
  <c r="BA35" i="5" s="1"/>
  <c r="AY27" i="5"/>
  <c r="AZ27" i="5" s="1"/>
  <c r="AY30" i="5"/>
  <c r="BA30" i="5" s="1"/>
  <c r="AY24" i="5"/>
  <c r="AZ24" i="5" s="1"/>
  <c r="AY26" i="5"/>
  <c r="BA26" i="5" s="1"/>
  <c r="AY21" i="5"/>
  <c r="AZ21" i="5" s="1"/>
  <c r="AY23" i="5"/>
  <c r="BA23" i="5" s="1"/>
  <c r="AY13" i="5"/>
  <c r="BA13" i="5" s="1"/>
  <c r="AY16" i="5"/>
  <c r="BA16" i="5" s="1"/>
  <c r="AY9" i="5"/>
  <c r="AZ9" i="5" s="1"/>
  <c r="AY7" i="5"/>
  <c r="BA7" i="5" s="1"/>
  <c r="AY3" i="5"/>
  <c r="AZ3" i="5" s="1"/>
  <c r="AT98" i="5"/>
  <c r="AT93" i="5"/>
  <c r="AU93" i="5" s="1"/>
  <c r="AT66" i="5"/>
  <c r="AV66" i="5" s="1"/>
  <c r="AT65" i="5"/>
  <c r="AV65" i="5" s="1"/>
  <c r="AT49" i="5"/>
  <c r="AT48" i="5"/>
  <c r="AU48" i="5" s="1"/>
  <c r="AT43" i="5"/>
  <c r="AV43" i="5" s="1"/>
  <c r="AT40" i="5"/>
  <c r="AV40" i="5" s="1"/>
  <c r="AT29" i="5"/>
  <c r="AT11" i="5"/>
  <c r="AU11" i="5" s="1"/>
  <c r="AT8" i="5"/>
  <c r="AV8" i="5" s="1"/>
  <c r="AT10" i="5"/>
  <c r="AV10" i="5" s="1"/>
  <c r="AT5" i="5"/>
  <c r="AT4" i="5"/>
  <c r="AU4" i="5" s="1"/>
  <c r="AT96" i="5"/>
  <c r="AV96" i="5" s="1"/>
  <c r="AT94" i="5"/>
  <c r="AV94" i="5" s="1"/>
  <c r="AT83" i="5"/>
  <c r="AT80" i="5"/>
  <c r="AU80" i="5" s="1"/>
  <c r="AT81" i="5"/>
  <c r="AV81" i="5" s="1"/>
  <c r="AT76" i="5"/>
  <c r="AV76" i="5" s="1"/>
  <c r="AT86" i="5"/>
  <c r="AT85" i="5"/>
  <c r="AU85" i="5" s="1"/>
  <c r="AT84" i="5"/>
  <c r="AU84" i="5" s="1"/>
  <c r="AT75" i="5"/>
  <c r="AV75" i="5" s="1"/>
  <c r="AT74" i="5"/>
  <c r="AT77" i="5"/>
  <c r="AU77" i="5" s="1"/>
  <c r="AT79" i="5"/>
  <c r="AV79" i="5" s="1"/>
  <c r="AT73" i="5"/>
  <c r="AV73" i="5" s="1"/>
  <c r="AT68" i="5"/>
  <c r="AT72" i="5"/>
  <c r="AU72" i="5" s="1"/>
  <c r="AT61" i="5"/>
  <c r="AV61" i="5" s="1"/>
  <c r="AT63" i="5"/>
  <c r="AV63" i="5" s="1"/>
  <c r="AT62" i="5"/>
  <c r="AT50" i="5"/>
  <c r="AU50" i="5" s="1"/>
  <c r="AT64" i="5"/>
  <c r="AV64" i="5" s="1"/>
  <c r="AT53" i="5"/>
  <c r="AV53" i="5" s="1"/>
  <c r="AT58" i="5"/>
  <c r="AT57" i="5"/>
  <c r="AU57" i="5" s="1"/>
  <c r="AT38" i="5"/>
  <c r="AV38" i="5" s="1"/>
  <c r="AT37" i="5"/>
  <c r="AV37" i="5" s="1"/>
  <c r="AT36" i="5"/>
  <c r="AT31" i="5"/>
  <c r="AU31" i="5" s="1"/>
  <c r="AT28" i="5"/>
  <c r="AV28" i="5" s="1"/>
  <c r="AT32" i="5"/>
  <c r="AV32" i="5" s="1"/>
  <c r="AT25" i="5"/>
  <c r="AT22" i="5"/>
  <c r="AU22" i="5" s="1"/>
  <c r="AT19" i="5"/>
  <c r="AV19" i="5" s="1"/>
  <c r="AT20" i="5"/>
  <c r="AV20" i="5" s="1"/>
  <c r="AT17" i="5"/>
  <c r="AT18" i="5"/>
  <c r="AU18" i="5" s="1"/>
  <c r="AT14" i="5"/>
  <c r="AV14" i="5" s="1"/>
  <c r="AT15" i="5"/>
  <c r="AV15" i="5" s="1"/>
  <c r="AT12" i="5"/>
  <c r="AT6" i="5"/>
  <c r="AU6" i="5" s="1"/>
  <c r="AT97" i="5"/>
  <c r="AU97" i="5" s="1"/>
  <c r="AT95" i="5"/>
  <c r="AV95" i="5" s="1"/>
  <c r="AT88" i="5"/>
  <c r="AT89" i="5"/>
  <c r="AU89" i="5" s="1"/>
  <c r="AT92" i="5"/>
  <c r="AV92" i="5" s="1"/>
  <c r="AT90" i="5"/>
  <c r="AV90" i="5" s="1"/>
  <c r="AT87" i="5"/>
  <c r="AT91" i="5"/>
  <c r="AU91" i="5" s="1"/>
  <c r="AT78" i="5"/>
  <c r="AV78" i="5" s="1"/>
  <c r="AT71" i="5"/>
  <c r="AV71" i="5" s="1"/>
  <c r="AT82" i="5"/>
  <c r="AT70" i="5"/>
  <c r="AU70" i="5" s="1"/>
  <c r="AT67" i="5"/>
  <c r="AV67" i="5" s="1"/>
  <c r="AT69" i="5"/>
  <c r="AV69" i="5" s="1"/>
  <c r="AT52" i="5"/>
  <c r="AT60" i="5"/>
  <c r="AU60" i="5" s="1"/>
  <c r="AT55" i="5"/>
  <c r="AV55" i="5" s="1"/>
  <c r="AT51" i="5"/>
  <c r="AV51" i="5" s="1"/>
  <c r="AT59" i="5"/>
  <c r="AT54" i="5"/>
  <c r="AU54" i="5" s="1"/>
  <c r="AT56" i="5"/>
  <c r="AV56" i="5" s="1"/>
  <c r="AT47" i="5"/>
  <c r="AU47" i="5" s="1"/>
  <c r="AT45" i="5"/>
  <c r="AV45" i="5" s="1"/>
  <c r="AT44" i="5"/>
  <c r="AU44" i="5" s="1"/>
  <c r="AT41" i="5"/>
  <c r="AV41" i="5" s="1"/>
  <c r="AT42" i="5"/>
  <c r="AV42" i="5" s="1"/>
  <c r="AT39" i="5"/>
  <c r="AV39" i="5" s="1"/>
  <c r="AT34" i="5"/>
  <c r="AU34" i="5" s="1"/>
  <c r="AT46" i="5"/>
  <c r="AV46" i="5" s="1"/>
  <c r="AT33" i="5"/>
  <c r="AU33" i="5" s="1"/>
  <c r="AT35" i="5"/>
  <c r="AV35" i="5" s="1"/>
  <c r="AT27" i="5"/>
  <c r="AU27" i="5" s="1"/>
  <c r="AT30" i="5"/>
  <c r="AV30" i="5" s="1"/>
  <c r="AT24" i="5"/>
  <c r="AV24" i="5" s="1"/>
  <c r="AT26" i="5"/>
  <c r="AV26" i="5" s="1"/>
  <c r="AT21" i="5"/>
  <c r="AU21" i="5" s="1"/>
  <c r="AT23" i="5"/>
  <c r="AV23" i="5" s="1"/>
  <c r="AT13" i="5"/>
  <c r="AU13" i="5" s="1"/>
  <c r="AT16" i="5"/>
  <c r="AV16" i="5" s="1"/>
  <c r="AT9" i="5"/>
  <c r="AU9" i="5" s="1"/>
  <c r="AT7" i="5"/>
  <c r="AV7" i="5" s="1"/>
  <c r="AT3" i="5"/>
  <c r="AV3" i="5" s="1"/>
  <c r="AO98" i="5"/>
  <c r="AO93" i="5"/>
  <c r="AP93" i="5" s="1"/>
  <c r="AO66" i="5"/>
  <c r="AP66" i="5" s="1"/>
  <c r="AO65" i="5"/>
  <c r="AQ65" i="5" s="1"/>
  <c r="AO49" i="5"/>
  <c r="AO48" i="5"/>
  <c r="AP48" i="5" s="1"/>
  <c r="AO43" i="5"/>
  <c r="AP43" i="5" s="1"/>
  <c r="AO40" i="5"/>
  <c r="AQ40" i="5" s="1"/>
  <c r="AO29" i="5"/>
  <c r="AO11" i="5"/>
  <c r="AP11" i="5" s="1"/>
  <c r="AO8" i="5"/>
  <c r="AQ8" i="5" s="1"/>
  <c r="AO10" i="5"/>
  <c r="AQ10" i="5" s="1"/>
  <c r="AO5" i="5"/>
  <c r="AO4" i="5"/>
  <c r="AP4" i="5" s="1"/>
  <c r="AO96" i="5"/>
  <c r="AQ96" i="5" s="1"/>
  <c r="AO94" i="5"/>
  <c r="AQ94" i="5" s="1"/>
  <c r="AO83" i="5"/>
  <c r="AO80" i="5"/>
  <c r="AP80" i="5" s="1"/>
  <c r="AO81" i="5"/>
  <c r="AP81" i="5" s="1"/>
  <c r="AO76" i="5"/>
  <c r="AQ76" i="5" s="1"/>
  <c r="AO86" i="5"/>
  <c r="AO85" i="5"/>
  <c r="AP85" i="5" s="1"/>
  <c r="AO84" i="5"/>
  <c r="AP84" i="5" s="1"/>
  <c r="AO75" i="5"/>
  <c r="AQ75" i="5" s="1"/>
  <c r="AO74" i="5"/>
  <c r="AO77" i="5"/>
  <c r="AP77" i="5" s="1"/>
  <c r="AO79" i="5"/>
  <c r="AQ79" i="5" s="1"/>
  <c r="AO73" i="5"/>
  <c r="AQ73" i="5" s="1"/>
  <c r="AO68" i="5"/>
  <c r="AO72" i="5"/>
  <c r="AP72" i="5" s="1"/>
  <c r="AO61" i="5"/>
  <c r="AQ61" i="5" s="1"/>
  <c r="AO63" i="5"/>
  <c r="AQ63" i="5" s="1"/>
  <c r="AO62" i="5"/>
  <c r="AO50" i="5"/>
  <c r="AP50" i="5" s="1"/>
  <c r="AO64" i="5"/>
  <c r="AP64" i="5" s="1"/>
  <c r="AO53" i="5"/>
  <c r="AQ53" i="5" s="1"/>
  <c r="AO58" i="5"/>
  <c r="AO57" i="5"/>
  <c r="AP57" i="5" s="1"/>
  <c r="AO38" i="5"/>
  <c r="AP38" i="5" s="1"/>
  <c r="AO37" i="5"/>
  <c r="AQ37" i="5" s="1"/>
  <c r="AO36" i="5"/>
  <c r="AO31" i="5"/>
  <c r="AP31" i="5" s="1"/>
  <c r="AO28" i="5"/>
  <c r="AQ28" i="5" s="1"/>
  <c r="AO32" i="5"/>
  <c r="AQ32" i="5" s="1"/>
  <c r="AO25" i="5"/>
  <c r="AO22" i="5"/>
  <c r="AP22" i="5" s="1"/>
  <c r="AO19" i="5"/>
  <c r="AQ19" i="5" s="1"/>
  <c r="AO20" i="5"/>
  <c r="AQ20" i="5" s="1"/>
  <c r="AO17" i="5"/>
  <c r="AO18" i="5"/>
  <c r="AP18" i="5" s="1"/>
  <c r="AO14" i="5"/>
  <c r="AP14" i="5" s="1"/>
  <c r="AO15" i="5"/>
  <c r="AQ15" i="5" s="1"/>
  <c r="AO12" i="5"/>
  <c r="AO6" i="5"/>
  <c r="AP6" i="5" s="1"/>
  <c r="AO97" i="5"/>
  <c r="AP97" i="5" s="1"/>
  <c r="AO95" i="5"/>
  <c r="AQ95" i="5" s="1"/>
  <c r="AO88" i="5"/>
  <c r="AO89" i="5"/>
  <c r="AP89" i="5" s="1"/>
  <c r="AO92" i="5"/>
  <c r="AQ92" i="5" s="1"/>
  <c r="AO90" i="5"/>
  <c r="AQ90" i="5" s="1"/>
  <c r="AO87" i="5"/>
  <c r="AO91" i="5"/>
  <c r="AP91" i="5" s="1"/>
  <c r="AO78" i="5"/>
  <c r="AQ78" i="5" s="1"/>
  <c r="AO71" i="5"/>
  <c r="AQ71" i="5" s="1"/>
  <c r="AO82" i="5"/>
  <c r="AO70" i="5"/>
  <c r="AP70" i="5" s="1"/>
  <c r="AO67" i="5"/>
  <c r="AP67" i="5" s="1"/>
  <c r="AO69" i="5"/>
  <c r="AQ69" i="5" s="1"/>
  <c r="AO52" i="5"/>
  <c r="AO60" i="5"/>
  <c r="AP60" i="5" s="1"/>
  <c r="AO55" i="5"/>
  <c r="AP55" i="5" s="1"/>
  <c r="AO51" i="5"/>
  <c r="AQ51" i="5" s="1"/>
  <c r="AO59" i="5"/>
  <c r="AO54" i="5"/>
  <c r="AP54" i="5" s="1"/>
  <c r="AO56" i="5"/>
  <c r="AQ56" i="5" s="1"/>
  <c r="AO47" i="5"/>
  <c r="AP47" i="5" s="1"/>
  <c r="AO45" i="5"/>
  <c r="AQ45" i="5" s="1"/>
  <c r="AO44" i="5"/>
  <c r="AP44" i="5" s="1"/>
  <c r="AO41" i="5"/>
  <c r="AQ41" i="5" s="1"/>
  <c r="AO42" i="5"/>
  <c r="AQ42" i="5" s="1"/>
  <c r="AO39" i="5"/>
  <c r="AQ39" i="5" s="1"/>
  <c r="AO34" i="5"/>
  <c r="AP34" i="5" s="1"/>
  <c r="AO46" i="5"/>
  <c r="AQ46" i="5" s="1"/>
  <c r="AO33" i="5"/>
  <c r="AP33" i="5" s="1"/>
  <c r="AO35" i="5"/>
  <c r="AQ35" i="5" s="1"/>
  <c r="AO27" i="5"/>
  <c r="AP27" i="5" s="1"/>
  <c r="AO30" i="5"/>
  <c r="AQ30" i="5" s="1"/>
  <c r="AO24" i="5"/>
  <c r="AQ24" i="5" s="1"/>
  <c r="AO26" i="5"/>
  <c r="AQ26" i="5" s="1"/>
  <c r="AO21" i="5"/>
  <c r="AP21" i="5" s="1"/>
  <c r="AO23" i="5"/>
  <c r="AQ23" i="5" s="1"/>
  <c r="AO13" i="5"/>
  <c r="AP13" i="5" s="1"/>
  <c r="AO16" i="5"/>
  <c r="AQ16" i="5" s="1"/>
  <c r="AO9" i="5"/>
  <c r="AP9" i="5" s="1"/>
  <c r="AO7" i="5"/>
  <c r="AQ7" i="5" s="1"/>
  <c r="AO3" i="5"/>
  <c r="AQ3" i="5" s="1"/>
  <c r="AJ98" i="5"/>
  <c r="AK98" i="5" s="1"/>
  <c r="AJ93" i="5"/>
  <c r="AL93" i="5" s="1"/>
  <c r="AJ66" i="5"/>
  <c r="AL66" i="5" s="1"/>
  <c r="AJ65" i="5"/>
  <c r="AL65" i="5" s="1"/>
  <c r="AJ49" i="5"/>
  <c r="AK49" i="5" s="1"/>
  <c r="AJ48" i="5"/>
  <c r="AL48" i="5" s="1"/>
  <c r="AJ43" i="5"/>
  <c r="AL43" i="5" s="1"/>
  <c r="AJ40" i="5"/>
  <c r="AL40" i="5" s="1"/>
  <c r="AJ29" i="5"/>
  <c r="AK29" i="5" s="1"/>
  <c r="AJ11" i="5"/>
  <c r="AL11" i="5" s="1"/>
  <c r="AJ8" i="5"/>
  <c r="AL8" i="5" s="1"/>
  <c r="AJ10" i="5"/>
  <c r="AL10" i="5" s="1"/>
  <c r="AJ5" i="5"/>
  <c r="AK5" i="5" s="1"/>
  <c r="AJ4" i="5"/>
  <c r="AL4" i="5" s="1"/>
  <c r="AJ96" i="5"/>
  <c r="AL96" i="5" s="1"/>
  <c r="AJ94" i="5"/>
  <c r="AL94" i="5" s="1"/>
  <c r="AJ83" i="5"/>
  <c r="AK83" i="5" s="1"/>
  <c r="AJ80" i="5"/>
  <c r="AL80" i="5" s="1"/>
  <c r="AJ81" i="5"/>
  <c r="AL81" i="5" s="1"/>
  <c r="AJ76" i="5"/>
  <c r="AL76" i="5" s="1"/>
  <c r="AJ86" i="5"/>
  <c r="AK86" i="5" s="1"/>
  <c r="AJ85" i="5"/>
  <c r="AL85" i="5" s="1"/>
  <c r="AJ84" i="5"/>
  <c r="AL84" i="5" s="1"/>
  <c r="AJ75" i="5"/>
  <c r="AL75" i="5" s="1"/>
  <c r="AJ74" i="5"/>
  <c r="AK74" i="5" s="1"/>
  <c r="AJ77" i="5"/>
  <c r="AL77" i="5" s="1"/>
  <c r="AJ79" i="5"/>
  <c r="AL79" i="5" s="1"/>
  <c r="AJ73" i="5"/>
  <c r="AL73" i="5" s="1"/>
  <c r="AJ68" i="5"/>
  <c r="AK68" i="5" s="1"/>
  <c r="AJ72" i="5"/>
  <c r="AL72" i="5" s="1"/>
  <c r="AJ61" i="5"/>
  <c r="AL61" i="5" s="1"/>
  <c r="AJ63" i="5"/>
  <c r="AL63" i="5" s="1"/>
  <c r="AJ62" i="5"/>
  <c r="AK62" i="5" s="1"/>
  <c r="AJ50" i="5"/>
  <c r="AL50" i="5" s="1"/>
  <c r="AJ64" i="5"/>
  <c r="AL64" i="5" s="1"/>
  <c r="AJ53" i="5"/>
  <c r="AL53" i="5" s="1"/>
  <c r="AJ58" i="5"/>
  <c r="AK58" i="5" s="1"/>
  <c r="AJ57" i="5"/>
  <c r="AL57" i="5" s="1"/>
  <c r="AJ38" i="5"/>
  <c r="AL38" i="5" s="1"/>
  <c r="AJ37" i="5"/>
  <c r="AL37" i="5" s="1"/>
  <c r="AJ36" i="5"/>
  <c r="AK36" i="5" s="1"/>
  <c r="AJ31" i="5"/>
  <c r="AL31" i="5" s="1"/>
  <c r="AJ28" i="5"/>
  <c r="AL28" i="5" s="1"/>
  <c r="AJ32" i="5"/>
  <c r="AL32" i="5" s="1"/>
  <c r="AJ25" i="5"/>
  <c r="AK25" i="5" s="1"/>
  <c r="AJ22" i="5"/>
  <c r="AL22" i="5" s="1"/>
  <c r="AJ19" i="5"/>
  <c r="AL19" i="5" s="1"/>
  <c r="AJ20" i="5"/>
  <c r="AL20" i="5" s="1"/>
  <c r="AJ17" i="5"/>
  <c r="AK17" i="5" s="1"/>
  <c r="AJ18" i="5"/>
  <c r="AL18" i="5" s="1"/>
  <c r="AJ14" i="5"/>
  <c r="AL14" i="5" s="1"/>
  <c r="AJ15" i="5"/>
  <c r="AL15" i="5" s="1"/>
  <c r="AJ12" i="5"/>
  <c r="AK12" i="5" s="1"/>
  <c r="AJ6" i="5"/>
  <c r="AL6" i="5" s="1"/>
  <c r="AJ97" i="5"/>
  <c r="AL97" i="5" s="1"/>
  <c r="AJ95" i="5"/>
  <c r="AL95" i="5" s="1"/>
  <c r="AJ88" i="5"/>
  <c r="AK88" i="5" s="1"/>
  <c r="AJ89" i="5"/>
  <c r="AL89" i="5" s="1"/>
  <c r="AJ92" i="5"/>
  <c r="AL92" i="5" s="1"/>
  <c r="AJ90" i="5"/>
  <c r="AL90" i="5" s="1"/>
  <c r="AJ87" i="5"/>
  <c r="AK87" i="5" s="1"/>
  <c r="AJ91" i="5"/>
  <c r="AL91" i="5" s="1"/>
  <c r="AJ78" i="5"/>
  <c r="AL78" i="5" s="1"/>
  <c r="AJ71" i="5"/>
  <c r="AL71" i="5" s="1"/>
  <c r="AJ82" i="5"/>
  <c r="AK82" i="5" s="1"/>
  <c r="AJ70" i="5"/>
  <c r="AL70" i="5" s="1"/>
  <c r="AJ67" i="5"/>
  <c r="AL67" i="5" s="1"/>
  <c r="AJ69" i="5"/>
  <c r="AL69" i="5" s="1"/>
  <c r="AJ52" i="5"/>
  <c r="AK52" i="5" s="1"/>
  <c r="AJ60" i="5"/>
  <c r="AL60" i="5" s="1"/>
  <c r="AJ55" i="5"/>
  <c r="AL55" i="5" s="1"/>
  <c r="AJ51" i="5"/>
  <c r="AL51" i="5" s="1"/>
  <c r="AJ59" i="5"/>
  <c r="AK59" i="5" s="1"/>
  <c r="AJ54" i="5"/>
  <c r="AL54" i="5" s="1"/>
  <c r="AJ56" i="5"/>
  <c r="AL56" i="5" s="1"/>
  <c r="AJ47" i="5"/>
  <c r="AL47" i="5" s="1"/>
  <c r="AJ45" i="5"/>
  <c r="AK45" i="5" s="1"/>
  <c r="AJ44" i="5"/>
  <c r="AL44" i="5" s="1"/>
  <c r="AJ41" i="5"/>
  <c r="AL41" i="5" s="1"/>
  <c r="AJ42" i="5"/>
  <c r="AL42" i="5" s="1"/>
  <c r="AJ39" i="5"/>
  <c r="AK39" i="5" s="1"/>
  <c r="AJ34" i="5"/>
  <c r="AL34" i="5" s="1"/>
  <c r="AJ46" i="5"/>
  <c r="AL46" i="5" s="1"/>
  <c r="AJ33" i="5"/>
  <c r="AL33" i="5" s="1"/>
  <c r="AJ35" i="5"/>
  <c r="AK35" i="5" s="1"/>
  <c r="AJ27" i="5"/>
  <c r="AL27" i="5" s="1"/>
  <c r="AJ30" i="5"/>
  <c r="AK30" i="5" s="1"/>
  <c r="AJ24" i="5"/>
  <c r="AL24" i="5" s="1"/>
  <c r="AJ26" i="5"/>
  <c r="AK26" i="5" s="1"/>
  <c r="AJ21" i="5"/>
  <c r="AL21" i="5" s="1"/>
  <c r="AJ23" i="5"/>
  <c r="AL23" i="5" s="1"/>
  <c r="AJ13" i="5"/>
  <c r="AL13" i="5" s="1"/>
  <c r="AJ16" i="5"/>
  <c r="AK16" i="5" s="1"/>
  <c r="AJ9" i="5"/>
  <c r="AL9" i="5" s="1"/>
  <c r="AJ7" i="5"/>
  <c r="AK7" i="5" s="1"/>
  <c r="AJ3" i="5"/>
  <c r="AL3" i="5" s="1"/>
  <c r="AE98" i="5"/>
  <c r="AG98" i="5" s="1"/>
  <c r="AE93" i="5"/>
  <c r="AF93" i="5" s="1"/>
  <c r="AE66" i="5"/>
  <c r="AG66" i="5" s="1"/>
  <c r="AE65" i="5"/>
  <c r="AF65" i="5" s="1"/>
  <c r="AE49" i="5"/>
  <c r="AG49" i="5" s="1"/>
  <c r="AE48" i="5"/>
  <c r="AF48" i="5" s="1"/>
  <c r="AE43" i="5"/>
  <c r="AG43" i="5" s="1"/>
  <c r="AE40" i="5"/>
  <c r="AF40" i="5" s="1"/>
  <c r="AE29" i="5"/>
  <c r="AG29" i="5" s="1"/>
  <c r="AE11" i="5"/>
  <c r="AF11" i="5" s="1"/>
  <c r="AE8" i="5"/>
  <c r="AF8" i="5" s="1"/>
  <c r="AE10" i="5"/>
  <c r="AF10" i="5" s="1"/>
  <c r="AE5" i="5"/>
  <c r="AG5" i="5" s="1"/>
  <c r="AE4" i="5"/>
  <c r="AF4" i="5" s="1"/>
  <c r="AE96" i="5"/>
  <c r="AG96" i="5" s="1"/>
  <c r="AE94" i="5"/>
  <c r="AF94" i="5" s="1"/>
  <c r="AE83" i="5"/>
  <c r="AG83" i="5" s="1"/>
  <c r="AE80" i="5"/>
  <c r="AF80" i="5" s="1"/>
  <c r="AE81" i="5"/>
  <c r="AF81" i="5" s="1"/>
  <c r="AE76" i="5"/>
  <c r="AF76" i="5" s="1"/>
  <c r="AE86" i="5"/>
  <c r="AG86" i="5" s="1"/>
  <c r="AE85" i="5"/>
  <c r="AF85" i="5" s="1"/>
  <c r="AE84" i="5"/>
  <c r="AF84" i="5" s="1"/>
  <c r="AE75" i="5"/>
  <c r="AF75" i="5" s="1"/>
  <c r="AE74" i="5"/>
  <c r="AG74" i="5" s="1"/>
  <c r="AE77" i="5"/>
  <c r="AF77" i="5" s="1"/>
  <c r="AE79" i="5"/>
  <c r="AF79" i="5" s="1"/>
  <c r="AE73" i="5"/>
  <c r="AF73" i="5" s="1"/>
  <c r="AE68" i="5"/>
  <c r="AG68" i="5" s="1"/>
  <c r="AE72" i="5"/>
  <c r="AF72" i="5" s="1"/>
  <c r="AE61" i="5"/>
  <c r="AG61" i="5" s="1"/>
  <c r="AE63" i="5"/>
  <c r="AF63" i="5" s="1"/>
  <c r="AE62" i="5"/>
  <c r="AG62" i="5" s="1"/>
  <c r="AE50" i="5"/>
  <c r="AF50" i="5" s="1"/>
  <c r="AE64" i="5"/>
  <c r="AG64" i="5" s="1"/>
  <c r="AE53" i="5"/>
  <c r="AF53" i="5" s="1"/>
  <c r="AE58" i="5"/>
  <c r="AG58" i="5" s="1"/>
  <c r="AE57" i="5"/>
  <c r="AF57" i="5" s="1"/>
  <c r="AE38" i="5"/>
  <c r="AG38" i="5" s="1"/>
  <c r="AE37" i="5"/>
  <c r="AF37" i="5" s="1"/>
  <c r="AE36" i="5"/>
  <c r="AG36" i="5" s="1"/>
  <c r="AE31" i="5"/>
  <c r="AF31" i="5" s="1"/>
  <c r="AE28" i="5"/>
  <c r="AG28" i="5" s="1"/>
  <c r="AE32" i="5"/>
  <c r="AF32" i="5" s="1"/>
  <c r="AE25" i="5"/>
  <c r="AG25" i="5" s="1"/>
  <c r="AE22" i="5"/>
  <c r="AF22" i="5" s="1"/>
  <c r="AE19" i="5"/>
  <c r="AG19" i="5" s="1"/>
  <c r="AE20" i="5"/>
  <c r="AF20" i="5" s="1"/>
  <c r="AE17" i="5"/>
  <c r="AG17" i="5" s="1"/>
  <c r="AE18" i="5"/>
  <c r="AF18" i="5" s="1"/>
  <c r="AE14" i="5"/>
  <c r="AG14" i="5" s="1"/>
  <c r="AE15" i="5"/>
  <c r="AF15" i="5" s="1"/>
  <c r="AE12" i="5"/>
  <c r="AG12" i="5" s="1"/>
  <c r="AE6" i="5"/>
  <c r="AF6" i="5" s="1"/>
  <c r="AE97" i="5"/>
  <c r="AF97" i="5" s="1"/>
  <c r="AE95" i="5"/>
  <c r="AF95" i="5" s="1"/>
  <c r="AE88" i="5"/>
  <c r="AG88" i="5" s="1"/>
  <c r="AE89" i="5"/>
  <c r="AF89" i="5" s="1"/>
  <c r="AE92" i="5"/>
  <c r="AG92" i="5" s="1"/>
  <c r="AE90" i="5"/>
  <c r="AF90" i="5" s="1"/>
  <c r="AE87" i="5"/>
  <c r="AG87" i="5" s="1"/>
  <c r="AE91" i="5"/>
  <c r="AF91" i="5" s="1"/>
  <c r="AE78" i="5"/>
  <c r="AG78" i="5" s="1"/>
  <c r="AE71" i="5"/>
  <c r="AF71" i="5" s="1"/>
  <c r="AE82" i="5"/>
  <c r="AG82" i="5" s="1"/>
  <c r="AE70" i="5"/>
  <c r="AF70" i="5" s="1"/>
  <c r="AE67" i="5"/>
  <c r="AF67" i="5" s="1"/>
  <c r="AE69" i="5"/>
  <c r="AF69" i="5" s="1"/>
  <c r="AE52" i="5"/>
  <c r="AG52" i="5" s="1"/>
  <c r="AE60" i="5"/>
  <c r="AF60" i="5" s="1"/>
  <c r="AE55" i="5"/>
  <c r="AF55" i="5" s="1"/>
  <c r="AE51" i="5"/>
  <c r="AF51" i="5" s="1"/>
  <c r="AE59" i="5"/>
  <c r="AG59" i="5" s="1"/>
  <c r="AE54" i="5"/>
  <c r="AF54" i="5" s="1"/>
  <c r="AE56" i="5"/>
  <c r="AF56" i="5" s="1"/>
  <c r="AE47" i="5"/>
  <c r="AF47" i="5" s="1"/>
  <c r="AE45" i="5"/>
  <c r="AG45" i="5" s="1"/>
  <c r="AE44" i="5"/>
  <c r="AF44" i="5" s="1"/>
  <c r="AE41" i="5"/>
  <c r="AG41" i="5" s="1"/>
  <c r="AE42" i="5"/>
  <c r="AF42" i="5" s="1"/>
  <c r="AE39" i="5"/>
  <c r="AG39" i="5" s="1"/>
  <c r="AE34" i="5"/>
  <c r="AF34" i="5" s="1"/>
  <c r="AE46" i="5"/>
  <c r="AF46" i="5" s="1"/>
  <c r="AE33" i="5"/>
  <c r="AF33" i="5" s="1"/>
  <c r="AE35" i="5"/>
  <c r="AG35" i="5" s="1"/>
  <c r="AE27" i="5"/>
  <c r="AF27" i="5" s="1"/>
  <c r="AE30" i="5"/>
  <c r="AF30" i="5" s="1"/>
  <c r="AE24" i="5"/>
  <c r="AF24" i="5" s="1"/>
  <c r="AE26" i="5"/>
  <c r="AG26" i="5" s="1"/>
  <c r="AE21" i="5"/>
  <c r="AF21" i="5" s="1"/>
  <c r="AE23" i="5"/>
  <c r="AG23" i="5" s="1"/>
  <c r="AE13" i="5"/>
  <c r="AF13" i="5" s="1"/>
  <c r="AE16" i="5"/>
  <c r="AG16" i="5" s="1"/>
  <c r="AE9" i="5"/>
  <c r="AF9" i="5" s="1"/>
  <c r="AE7" i="5"/>
  <c r="AG7" i="5" s="1"/>
  <c r="AE3" i="5"/>
  <c r="AF3" i="5" s="1"/>
  <c r="Z98" i="5"/>
  <c r="AB98" i="5" s="1"/>
  <c r="Z93" i="5"/>
  <c r="AA93" i="5" s="1"/>
  <c r="Z66" i="5"/>
  <c r="AB66" i="5" s="1"/>
  <c r="Z65" i="5"/>
  <c r="AB65" i="5" s="1"/>
  <c r="Z49" i="5"/>
  <c r="AB49" i="5" s="1"/>
  <c r="Z48" i="5"/>
  <c r="AA48" i="5" s="1"/>
  <c r="Z43" i="5"/>
  <c r="AB43" i="5" s="1"/>
  <c r="Z40" i="5"/>
  <c r="AB40" i="5" s="1"/>
  <c r="Z29" i="5"/>
  <c r="AB29" i="5" s="1"/>
  <c r="Z11" i="5"/>
  <c r="AA11" i="5" s="1"/>
  <c r="Z8" i="5"/>
  <c r="AB8" i="5" s="1"/>
  <c r="Z10" i="5"/>
  <c r="AB10" i="5" s="1"/>
  <c r="Z5" i="5"/>
  <c r="AB5" i="5" s="1"/>
  <c r="Z4" i="5"/>
  <c r="AA4" i="5" s="1"/>
  <c r="Z96" i="5"/>
  <c r="AA96" i="5" s="1"/>
  <c r="Z94" i="5"/>
  <c r="AA94" i="5" s="1"/>
  <c r="Z83" i="5"/>
  <c r="AB83" i="5" s="1"/>
  <c r="Z80" i="5"/>
  <c r="AA80" i="5" s="1"/>
  <c r="Z81" i="5"/>
  <c r="AB81" i="5" s="1"/>
  <c r="Z76" i="5"/>
  <c r="AB76" i="5" s="1"/>
  <c r="Z86" i="5"/>
  <c r="AB86" i="5" s="1"/>
  <c r="Z85" i="5"/>
  <c r="AA85" i="5" s="1"/>
  <c r="Z84" i="5"/>
  <c r="AA84" i="5" s="1"/>
  <c r="Z75" i="5"/>
  <c r="AA75" i="5" s="1"/>
  <c r="Z74" i="5"/>
  <c r="AB74" i="5" s="1"/>
  <c r="Z77" i="5"/>
  <c r="AA77" i="5" s="1"/>
  <c r="Z79" i="5"/>
  <c r="AB79" i="5" s="1"/>
  <c r="Z73" i="5"/>
  <c r="AA73" i="5" s="1"/>
  <c r="Z68" i="5"/>
  <c r="AB68" i="5" s="1"/>
  <c r="Z72" i="5"/>
  <c r="AA72" i="5" s="1"/>
  <c r="Z61" i="5"/>
  <c r="AA61" i="5" s="1"/>
  <c r="Z63" i="5"/>
  <c r="AB63" i="5" s="1"/>
  <c r="Z62" i="5"/>
  <c r="AB62" i="5" s="1"/>
  <c r="Z50" i="5"/>
  <c r="AA50" i="5" s="1"/>
  <c r="Z64" i="5"/>
  <c r="AB64" i="5" s="1"/>
  <c r="Z53" i="5"/>
  <c r="AA53" i="5" s="1"/>
  <c r="Z58" i="5"/>
  <c r="AB58" i="5" s="1"/>
  <c r="Z57" i="5"/>
  <c r="AA57" i="5" s="1"/>
  <c r="Z38" i="5"/>
  <c r="AA38" i="5" s="1"/>
  <c r="Z37" i="5"/>
  <c r="AB37" i="5" s="1"/>
  <c r="Z36" i="5"/>
  <c r="AB36" i="5" s="1"/>
  <c r="Z31" i="5"/>
  <c r="AA31" i="5" s="1"/>
  <c r="Z28" i="5"/>
  <c r="AB28" i="5" s="1"/>
  <c r="Z32" i="5"/>
  <c r="AA32" i="5" s="1"/>
  <c r="Z25" i="5"/>
  <c r="AB25" i="5" s="1"/>
  <c r="Z22" i="5"/>
  <c r="AA22" i="5" s="1"/>
  <c r="Z19" i="5"/>
  <c r="AA19" i="5" s="1"/>
  <c r="Z20" i="5"/>
  <c r="AB20" i="5" s="1"/>
  <c r="Z17" i="5"/>
  <c r="AB17" i="5" s="1"/>
  <c r="Z18" i="5"/>
  <c r="AA18" i="5" s="1"/>
  <c r="Z14" i="5"/>
  <c r="AB14" i="5" s="1"/>
  <c r="Z15" i="5"/>
  <c r="AB15" i="5" s="1"/>
  <c r="Z12" i="5"/>
  <c r="AB12" i="5" s="1"/>
  <c r="Z6" i="5"/>
  <c r="AA6" i="5" s="1"/>
  <c r="Z97" i="5"/>
  <c r="AB97" i="5" s="1"/>
  <c r="Z95" i="5"/>
  <c r="AA95" i="5" s="1"/>
  <c r="Z88" i="5"/>
  <c r="AB88" i="5" s="1"/>
  <c r="Z89" i="5"/>
  <c r="AA89" i="5" s="1"/>
  <c r="Z92" i="5"/>
  <c r="AB92" i="5" s="1"/>
  <c r="Z90" i="5"/>
  <c r="AB90" i="5" s="1"/>
  <c r="Z87" i="5"/>
  <c r="AB87" i="5" s="1"/>
  <c r="Z91" i="5"/>
  <c r="AA91" i="5" s="1"/>
  <c r="Z78" i="5"/>
  <c r="AA78" i="5" s="1"/>
  <c r="Z71" i="5"/>
  <c r="AA71" i="5" s="1"/>
  <c r="Z82" i="5"/>
  <c r="AB82" i="5" s="1"/>
  <c r="Z70" i="5"/>
  <c r="AA70" i="5" s="1"/>
  <c r="Z67" i="5"/>
  <c r="AB67" i="5" s="1"/>
  <c r="Z69" i="5"/>
  <c r="AB69" i="5" s="1"/>
  <c r="Z52" i="5"/>
  <c r="AB52" i="5" s="1"/>
  <c r="Z60" i="5"/>
  <c r="AA60" i="5" s="1"/>
  <c r="Z55" i="5"/>
  <c r="AB55" i="5" s="1"/>
  <c r="Z51" i="5"/>
  <c r="AB51" i="5" s="1"/>
  <c r="Z59" i="5"/>
  <c r="AB59" i="5" s="1"/>
  <c r="Z54" i="5"/>
  <c r="AA54" i="5" s="1"/>
  <c r="Z56" i="5"/>
  <c r="AB56" i="5" s="1"/>
  <c r="Z47" i="5"/>
  <c r="AB47" i="5" s="1"/>
  <c r="Z45" i="5"/>
  <c r="AB45" i="5" s="1"/>
  <c r="Z44" i="5"/>
  <c r="AA44" i="5" s="1"/>
  <c r="Z41" i="5"/>
  <c r="AB41" i="5" s="1"/>
  <c r="Z42" i="5"/>
  <c r="AB42" i="5" s="1"/>
  <c r="Z39" i="5"/>
  <c r="AB39" i="5" s="1"/>
  <c r="Z34" i="5"/>
  <c r="AA34" i="5" s="1"/>
  <c r="Z46" i="5"/>
  <c r="AB46" i="5" s="1"/>
  <c r="Z33" i="5"/>
  <c r="AA33" i="5" s="1"/>
  <c r="Z35" i="5"/>
  <c r="AB35" i="5" s="1"/>
  <c r="Z27" i="5"/>
  <c r="AA27" i="5" s="1"/>
  <c r="Z30" i="5"/>
  <c r="AA30" i="5" s="1"/>
  <c r="Z24" i="5"/>
  <c r="AB24" i="5" s="1"/>
  <c r="Z26" i="5"/>
  <c r="AB26" i="5" s="1"/>
  <c r="Z21" i="5"/>
  <c r="AA21" i="5" s="1"/>
  <c r="Z23" i="5"/>
  <c r="AB23" i="5" s="1"/>
  <c r="Z13" i="5"/>
  <c r="AA13" i="5" s="1"/>
  <c r="Z16" i="5"/>
  <c r="AB16" i="5" s="1"/>
  <c r="Z9" i="5"/>
  <c r="AA9" i="5" s="1"/>
  <c r="Z7" i="5"/>
  <c r="AA7" i="5" s="1"/>
  <c r="Z3" i="5"/>
  <c r="AB3" i="5" s="1"/>
  <c r="U98" i="5"/>
  <c r="W98" i="5" s="1"/>
  <c r="U93" i="5"/>
  <c r="V93" i="5" s="1"/>
  <c r="U66" i="5"/>
  <c r="V66" i="5" s="1"/>
  <c r="U65" i="5"/>
  <c r="W65" i="5" s="1"/>
  <c r="U49" i="5"/>
  <c r="W49" i="5" s="1"/>
  <c r="U48" i="5"/>
  <c r="V48" i="5" s="1"/>
  <c r="U43" i="5"/>
  <c r="V43" i="5" s="1"/>
  <c r="U40" i="5"/>
  <c r="W40" i="5" s="1"/>
  <c r="U29" i="5"/>
  <c r="W29" i="5" s="1"/>
  <c r="U11" i="5"/>
  <c r="V11" i="5" s="1"/>
  <c r="U8" i="5"/>
  <c r="W8" i="5" s="1"/>
  <c r="U10" i="5"/>
  <c r="W10" i="5" s="1"/>
  <c r="U5" i="5"/>
  <c r="W5" i="5" s="1"/>
  <c r="U4" i="5"/>
  <c r="V4" i="5" s="1"/>
  <c r="U96" i="5"/>
  <c r="W96" i="5" s="1"/>
  <c r="U94" i="5"/>
  <c r="W94" i="5" s="1"/>
  <c r="U83" i="5"/>
  <c r="W83" i="5" s="1"/>
  <c r="U80" i="5"/>
  <c r="V80" i="5" s="1"/>
  <c r="U81" i="5"/>
  <c r="W81" i="5" s="1"/>
  <c r="U76" i="5"/>
  <c r="W76" i="5" s="1"/>
  <c r="U86" i="5"/>
  <c r="W86" i="5" s="1"/>
  <c r="U85" i="5"/>
  <c r="V85" i="5" s="1"/>
  <c r="U84" i="5"/>
  <c r="W84" i="5" s="1"/>
  <c r="U75" i="5"/>
  <c r="W75" i="5" s="1"/>
  <c r="U74" i="5"/>
  <c r="W74" i="5" s="1"/>
  <c r="U77" i="5"/>
  <c r="V77" i="5" s="1"/>
  <c r="U79" i="5"/>
  <c r="W79" i="5" s="1"/>
  <c r="U73" i="5"/>
  <c r="W73" i="5" s="1"/>
  <c r="U68" i="5"/>
  <c r="W68" i="5" s="1"/>
  <c r="U72" i="5"/>
  <c r="V72" i="5" s="1"/>
  <c r="U61" i="5"/>
  <c r="W61" i="5" s="1"/>
  <c r="U63" i="5"/>
  <c r="W63" i="5" s="1"/>
  <c r="U62" i="5"/>
  <c r="W62" i="5" s="1"/>
  <c r="U50" i="5"/>
  <c r="V50" i="5" s="1"/>
  <c r="U64" i="5"/>
  <c r="W64" i="5" s="1"/>
  <c r="U53" i="5"/>
  <c r="W53" i="5" s="1"/>
  <c r="U58" i="5"/>
  <c r="W58" i="5" s="1"/>
  <c r="U57" i="5"/>
  <c r="V57" i="5" s="1"/>
  <c r="U38" i="5"/>
  <c r="W38" i="5" s="1"/>
  <c r="U37" i="5"/>
  <c r="W37" i="5" s="1"/>
  <c r="U36" i="5"/>
  <c r="W36" i="5" s="1"/>
  <c r="U31" i="5"/>
  <c r="V31" i="5" s="1"/>
  <c r="U28" i="5"/>
  <c r="W28" i="5" s="1"/>
  <c r="U32" i="5"/>
  <c r="W32" i="5" s="1"/>
  <c r="U25" i="5"/>
  <c r="W25" i="5" s="1"/>
  <c r="U22" i="5"/>
  <c r="V22" i="5" s="1"/>
  <c r="U19" i="5"/>
  <c r="W19" i="5" s="1"/>
  <c r="U20" i="5"/>
  <c r="W20" i="5" s="1"/>
  <c r="U17" i="5"/>
  <c r="W17" i="5" s="1"/>
  <c r="U18" i="5"/>
  <c r="V18" i="5" s="1"/>
  <c r="U14" i="5"/>
  <c r="W14" i="5" s="1"/>
  <c r="U15" i="5"/>
  <c r="W15" i="5" s="1"/>
  <c r="U12" i="5"/>
  <c r="W12" i="5" s="1"/>
  <c r="U6" i="5"/>
  <c r="V6" i="5" s="1"/>
  <c r="U97" i="5"/>
  <c r="W97" i="5" s="1"/>
  <c r="U95" i="5"/>
  <c r="W95" i="5" s="1"/>
  <c r="U88" i="5"/>
  <c r="W88" i="5" s="1"/>
  <c r="U89" i="5"/>
  <c r="V89" i="5" s="1"/>
  <c r="U92" i="5"/>
  <c r="W92" i="5" s="1"/>
  <c r="U90" i="5"/>
  <c r="W90" i="5" s="1"/>
  <c r="U87" i="5"/>
  <c r="W87" i="5" s="1"/>
  <c r="U91" i="5"/>
  <c r="V91" i="5" s="1"/>
  <c r="U78" i="5"/>
  <c r="W78" i="5" s="1"/>
  <c r="U71" i="5"/>
  <c r="W71" i="5" s="1"/>
  <c r="U82" i="5"/>
  <c r="W82" i="5" s="1"/>
  <c r="U70" i="5"/>
  <c r="V70" i="5" s="1"/>
  <c r="U67" i="5"/>
  <c r="W67" i="5" s="1"/>
  <c r="U69" i="5"/>
  <c r="W69" i="5" s="1"/>
  <c r="U52" i="5"/>
  <c r="W52" i="5" s="1"/>
  <c r="U60" i="5"/>
  <c r="V60" i="5" s="1"/>
  <c r="U55" i="5"/>
  <c r="W55" i="5" s="1"/>
  <c r="U51" i="5"/>
  <c r="W51" i="5" s="1"/>
  <c r="U59" i="5"/>
  <c r="W59" i="5" s="1"/>
  <c r="U54" i="5"/>
  <c r="V54" i="5" s="1"/>
  <c r="U56" i="5"/>
  <c r="W56" i="5" s="1"/>
  <c r="U47" i="5"/>
  <c r="W47" i="5" s="1"/>
  <c r="U45" i="5"/>
  <c r="W45" i="5" s="1"/>
  <c r="U44" i="5"/>
  <c r="V44" i="5" s="1"/>
  <c r="U41" i="5"/>
  <c r="W41" i="5" s="1"/>
  <c r="U42" i="5"/>
  <c r="W42" i="5" s="1"/>
  <c r="U39" i="5"/>
  <c r="W39" i="5" s="1"/>
  <c r="U34" i="5"/>
  <c r="V34" i="5" s="1"/>
  <c r="U46" i="5"/>
  <c r="W46" i="5" s="1"/>
  <c r="U33" i="5"/>
  <c r="W33" i="5" s="1"/>
  <c r="U35" i="5"/>
  <c r="W35" i="5" s="1"/>
  <c r="U27" i="5"/>
  <c r="V27" i="5" s="1"/>
  <c r="U30" i="5"/>
  <c r="W30" i="5" s="1"/>
  <c r="U24" i="5"/>
  <c r="W24" i="5" s="1"/>
  <c r="U26" i="5"/>
  <c r="W26" i="5" s="1"/>
  <c r="U21" i="5"/>
  <c r="V21" i="5" s="1"/>
  <c r="U23" i="5"/>
  <c r="W23" i="5" s="1"/>
  <c r="U13" i="5"/>
  <c r="W13" i="5" s="1"/>
  <c r="U16" i="5"/>
  <c r="W16" i="5" s="1"/>
  <c r="U9" i="5"/>
  <c r="V9" i="5" s="1"/>
  <c r="U7" i="5"/>
  <c r="W7" i="5" s="1"/>
  <c r="U3" i="5"/>
  <c r="W3" i="5" s="1"/>
  <c r="P98" i="5"/>
  <c r="R98" i="5" s="1"/>
  <c r="P93" i="5"/>
  <c r="Q93" i="5" s="1"/>
  <c r="P66" i="5"/>
  <c r="R66" i="5" s="1"/>
  <c r="P65" i="5"/>
  <c r="Q65" i="5" s="1"/>
  <c r="P49" i="5"/>
  <c r="R49" i="5" s="1"/>
  <c r="P48" i="5"/>
  <c r="Q48" i="5" s="1"/>
  <c r="P43" i="5"/>
  <c r="Q43" i="5" s="1"/>
  <c r="P40" i="5"/>
  <c r="Q40" i="5" s="1"/>
  <c r="P29" i="5"/>
  <c r="R29" i="5" s="1"/>
  <c r="P11" i="5"/>
  <c r="Q11" i="5" s="1"/>
  <c r="P8" i="5"/>
  <c r="R8" i="5" s="1"/>
  <c r="P10" i="5"/>
  <c r="Q10" i="5" s="1"/>
  <c r="P5" i="5"/>
  <c r="R5" i="5" s="1"/>
  <c r="P4" i="5"/>
  <c r="Q4" i="5" s="1"/>
  <c r="P96" i="5"/>
  <c r="Q96" i="5" s="1"/>
  <c r="P94" i="5"/>
  <c r="Q94" i="5" s="1"/>
  <c r="P83" i="5"/>
  <c r="R83" i="5" s="1"/>
  <c r="P80" i="5"/>
  <c r="Q80" i="5" s="1"/>
  <c r="P81" i="5"/>
  <c r="R81" i="5" s="1"/>
  <c r="P76" i="5"/>
  <c r="Q76" i="5" s="1"/>
  <c r="P86" i="5"/>
  <c r="R86" i="5" s="1"/>
  <c r="P85" i="5"/>
  <c r="Q85" i="5" s="1"/>
  <c r="P84" i="5"/>
  <c r="R84" i="5" s="1"/>
  <c r="P75" i="5"/>
  <c r="Q75" i="5" s="1"/>
  <c r="P74" i="5"/>
  <c r="R74" i="5" s="1"/>
  <c r="P77" i="5"/>
  <c r="Q77" i="5" s="1"/>
  <c r="P79" i="5"/>
  <c r="R79" i="5" s="1"/>
  <c r="P73" i="5"/>
  <c r="Q73" i="5" s="1"/>
  <c r="P68" i="5"/>
  <c r="R68" i="5" s="1"/>
  <c r="P72" i="5"/>
  <c r="Q72" i="5" s="1"/>
  <c r="P61" i="5"/>
  <c r="Q61" i="5" s="1"/>
  <c r="P63" i="5"/>
  <c r="R63" i="5" s="1"/>
  <c r="P62" i="5"/>
  <c r="R62" i="5" s="1"/>
  <c r="P50" i="5"/>
  <c r="Q50" i="5" s="1"/>
  <c r="P64" i="5"/>
  <c r="R64" i="5" s="1"/>
  <c r="P53" i="5"/>
  <c r="Q53" i="5" s="1"/>
  <c r="P58" i="5"/>
  <c r="R58" i="5" s="1"/>
  <c r="P57" i="5"/>
  <c r="Q57" i="5" s="1"/>
  <c r="P38" i="5"/>
  <c r="R38" i="5" s="1"/>
  <c r="P37" i="5"/>
  <c r="R37" i="5" s="1"/>
  <c r="P36" i="5"/>
  <c r="R36" i="5" s="1"/>
  <c r="P31" i="5"/>
  <c r="Q31" i="5" s="1"/>
  <c r="P28" i="5"/>
  <c r="R28" i="5" s="1"/>
  <c r="P32" i="5"/>
  <c r="Q32" i="5" s="1"/>
  <c r="P25" i="5"/>
  <c r="R25" i="5" s="1"/>
  <c r="P22" i="5"/>
  <c r="Q22" i="5" s="1"/>
  <c r="P19" i="5"/>
  <c r="Q19" i="5" s="1"/>
  <c r="P20" i="5"/>
  <c r="Q20" i="5" s="1"/>
  <c r="P17" i="5"/>
  <c r="R17" i="5" s="1"/>
  <c r="P18" i="5"/>
  <c r="Q18" i="5" s="1"/>
  <c r="P14" i="5"/>
  <c r="R14" i="5" s="1"/>
  <c r="P15" i="5"/>
  <c r="R15" i="5" s="1"/>
  <c r="P12" i="5"/>
  <c r="R12" i="5" s="1"/>
  <c r="P6" i="5"/>
  <c r="Q6" i="5" s="1"/>
  <c r="P97" i="5"/>
  <c r="R97" i="5" s="1"/>
  <c r="P95" i="5"/>
  <c r="R95" i="5" s="1"/>
  <c r="P88" i="5"/>
  <c r="R88" i="5" s="1"/>
  <c r="P89" i="5"/>
  <c r="Q89" i="5" s="1"/>
  <c r="P92" i="5"/>
  <c r="R92" i="5" s="1"/>
  <c r="P90" i="5"/>
  <c r="R90" i="5" s="1"/>
  <c r="P87" i="5"/>
  <c r="R87" i="5" s="1"/>
  <c r="P91" i="5"/>
  <c r="Q91" i="5" s="1"/>
  <c r="P78" i="5"/>
  <c r="Q78" i="5" s="1"/>
  <c r="P71" i="5"/>
  <c r="R71" i="5" s="1"/>
  <c r="P82" i="5"/>
  <c r="R82" i="5" s="1"/>
  <c r="P70" i="5"/>
  <c r="Q70" i="5" s="1"/>
  <c r="P67" i="5"/>
  <c r="R67" i="5" s="1"/>
  <c r="P69" i="5"/>
  <c r="R69" i="5" s="1"/>
  <c r="P52" i="5"/>
  <c r="R52" i="5" s="1"/>
  <c r="P60" i="5"/>
  <c r="Q60" i="5" s="1"/>
  <c r="P55" i="5"/>
  <c r="R55" i="5" s="1"/>
  <c r="P51" i="5"/>
  <c r="Q51" i="5" s="1"/>
  <c r="P59" i="5"/>
  <c r="R59" i="5" s="1"/>
  <c r="P54" i="5"/>
  <c r="Q54" i="5" s="1"/>
  <c r="P56" i="5"/>
  <c r="R56" i="5" s="1"/>
  <c r="P47" i="5"/>
  <c r="R47" i="5" s="1"/>
  <c r="P45" i="5"/>
  <c r="R45" i="5" s="1"/>
  <c r="P44" i="5"/>
  <c r="Q44" i="5" s="1"/>
  <c r="P41" i="5"/>
  <c r="Q41" i="5" s="1"/>
  <c r="P42" i="5"/>
  <c r="R42" i="5" s="1"/>
  <c r="P39" i="5"/>
  <c r="R39" i="5" s="1"/>
  <c r="P34" i="5"/>
  <c r="Q34" i="5" s="1"/>
  <c r="P46" i="5"/>
  <c r="R46" i="5" s="1"/>
  <c r="P33" i="5"/>
  <c r="R33" i="5" s="1"/>
  <c r="P35" i="5"/>
  <c r="R35" i="5" s="1"/>
  <c r="P27" i="5"/>
  <c r="Q27" i="5" s="1"/>
  <c r="P30" i="5"/>
  <c r="R30" i="5" s="1"/>
  <c r="P24" i="5"/>
  <c r="R24" i="5" s="1"/>
  <c r="P26" i="5"/>
  <c r="R26" i="5" s="1"/>
  <c r="P21" i="5"/>
  <c r="Q21" i="5" s="1"/>
  <c r="P23" i="5"/>
  <c r="R23" i="5" s="1"/>
  <c r="P13" i="5"/>
  <c r="R13" i="5" s="1"/>
  <c r="P16" i="5"/>
  <c r="R16" i="5" s="1"/>
  <c r="P9" i="5"/>
  <c r="Q9" i="5" s="1"/>
  <c r="P7" i="5"/>
  <c r="Q7" i="5" s="1"/>
  <c r="P3" i="5"/>
  <c r="R3" i="5" s="1"/>
  <c r="K98" i="5"/>
  <c r="M98" i="5" s="1"/>
  <c r="K93" i="5"/>
  <c r="L93" i="5" s="1"/>
  <c r="K66" i="5"/>
  <c r="M66" i="5" s="1"/>
  <c r="K65" i="5"/>
  <c r="L65" i="5" s="1"/>
  <c r="K49" i="5"/>
  <c r="M49" i="5" s="1"/>
  <c r="K48" i="5"/>
  <c r="L48" i="5" s="1"/>
  <c r="K43" i="5"/>
  <c r="M43" i="5" s="1"/>
  <c r="K40" i="5"/>
  <c r="M40" i="5" s="1"/>
  <c r="K29" i="5"/>
  <c r="M29" i="5" s="1"/>
  <c r="K11" i="5"/>
  <c r="L11" i="5" s="1"/>
  <c r="K8" i="5"/>
  <c r="M8" i="5" s="1"/>
  <c r="K10" i="5"/>
  <c r="L10" i="5" s="1"/>
  <c r="K5" i="5"/>
  <c r="M5" i="5" s="1"/>
  <c r="K4" i="5"/>
  <c r="L4" i="5" s="1"/>
  <c r="K96" i="5"/>
  <c r="M96" i="5" s="1"/>
  <c r="K94" i="5"/>
  <c r="M94" i="5" s="1"/>
  <c r="K83" i="5"/>
  <c r="M83" i="5" s="1"/>
  <c r="K80" i="5"/>
  <c r="L80" i="5" s="1"/>
  <c r="K81" i="5"/>
  <c r="M81" i="5" s="1"/>
  <c r="K76" i="5"/>
  <c r="M76" i="5" s="1"/>
  <c r="K86" i="5"/>
  <c r="M86" i="5" s="1"/>
  <c r="K85" i="5"/>
  <c r="L85" i="5" s="1"/>
  <c r="K84" i="5"/>
  <c r="M84" i="5" s="1"/>
  <c r="K75" i="5"/>
  <c r="M75" i="5" s="1"/>
  <c r="K74" i="5"/>
  <c r="M74" i="5" s="1"/>
  <c r="K77" i="5"/>
  <c r="L77" i="5" s="1"/>
  <c r="K79" i="5"/>
  <c r="M79" i="5" s="1"/>
  <c r="K73" i="5"/>
  <c r="L73" i="5" s="1"/>
  <c r="K68" i="5"/>
  <c r="M68" i="5" s="1"/>
  <c r="K72" i="5"/>
  <c r="L72" i="5" s="1"/>
  <c r="K61" i="5"/>
  <c r="L61" i="5" s="1"/>
  <c r="K63" i="5"/>
  <c r="L63" i="5" s="1"/>
  <c r="K62" i="5"/>
  <c r="M62" i="5" s="1"/>
  <c r="K50" i="5"/>
  <c r="L50" i="5" s="1"/>
  <c r="K64" i="5"/>
  <c r="L64" i="5" s="1"/>
  <c r="K53" i="5"/>
  <c r="L53" i="5" s="1"/>
  <c r="K58" i="5"/>
  <c r="M58" i="5" s="1"/>
  <c r="K57" i="5"/>
  <c r="L57" i="5" s="1"/>
  <c r="K38" i="5"/>
  <c r="M38" i="5" s="1"/>
  <c r="K37" i="5"/>
  <c r="L37" i="5" s="1"/>
  <c r="K36" i="5"/>
  <c r="M36" i="5" s="1"/>
  <c r="K31" i="5"/>
  <c r="L31" i="5" s="1"/>
  <c r="K28" i="5"/>
  <c r="M28" i="5" s="1"/>
  <c r="K32" i="5"/>
  <c r="M32" i="5" s="1"/>
  <c r="K25" i="5"/>
  <c r="M25" i="5" s="1"/>
  <c r="K22" i="5"/>
  <c r="L22" i="5" s="1"/>
  <c r="K19" i="5"/>
  <c r="L19" i="5" s="1"/>
  <c r="K20" i="5"/>
  <c r="L20" i="5" s="1"/>
  <c r="K17" i="5"/>
  <c r="M17" i="5" s="1"/>
  <c r="K18" i="5"/>
  <c r="L18" i="5" s="1"/>
  <c r="K14" i="5"/>
  <c r="M14" i="5" s="1"/>
  <c r="K15" i="5"/>
  <c r="L15" i="5" s="1"/>
  <c r="K12" i="5"/>
  <c r="M12" i="5" s="1"/>
  <c r="K6" i="5"/>
  <c r="L6" i="5" s="1"/>
  <c r="K97" i="5"/>
  <c r="M97" i="5" s="1"/>
  <c r="K95" i="5"/>
  <c r="L95" i="5" s="1"/>
  <c r="K88" i="5"/>
  <c r="M88" i="5" s="1"/>
  <c r="K89" i="5"/>
  <c r="L89" i="5" s="1"/>
  <c r="K92" i="5"/>
  <c r="M92" i="5" s="1"/>
  <c r="K90" i="5"/>
  <c r="M90" i="5" s="1"/>
  <c r="K87" i="5"/>
  <c r="M87" i="5" s="1"/>
  <c r="K91" i="5"/>
  <c r="L91" i="5" s="1"/>
  <c r="K78" i="5"/>
  <c r="L78" i="5" s="1"/>
  <c r="K71" i="5"/>
  <c r="M71" i="5" s="1"/>
  <c r="K82" i="5"/>
  <c r="M82" i="5" s="1"/>
  <c r="K70" i="5"/>
  <c r="L70" i="5" s="1"/>
  <c r="K67" i="5"/>
  <c r="M67" i="5" s="1"/>
  <c r="K69" i="5"/>
  <c r="M69" i="5" s="1"/>
  <c r="K52" i="5"/>
  <c r="M52" i="5" s="1"/>
  <c r="K60" i="5"/>
  <c r="L60" i="5" s="1"/>
  <c r="K55" i="5"/>
  <c r="M55" i="5" s="1"/>
  <c r="K51" i="5"/>
  <c r="M51" i="5" s="1"/>
  <c r="K59" i="5"/>
  <c r="M59" i="5" s="1"/>
  <c r="K54" i="5"/>
  <c r="L54" i="5" s="1"/>
  <c r="K56" i="5"/>
  <c r="M56" i="5" s="1"/>
  <c r="K47" i="5"/>
  <c r="M47" i="5" s="1"/>
  <c r="K45" i="5"/>
  <c r="M45" i="5" s="1"/>
  <c r="K44" i="5"/>
  <c r="L44" i="5" s="1"/>
  <c r="K41" i="5"/>
  <c r="L41" i="5" s="1"/>
  <c r="K42" i="5"/>
  <c r="M42" i="5" s="1"/>
  <c r="K39" i="5"/>
  <c r="M39" i="5" s="1"/>
  <c r="K34" i="5"/>
  <c r="L34" i="5" s="1"/>
  <c r="K46" i="5"/>
  <c r="M46" i="5" s="1"/>
  <c r="K33" i="5"/>
  <c r="M33" i="5" s="1"/>
  <c r="K35" i="5"/>
  <c r="M35" i="5" s="1"/>
  <c r="K27" i="5"/>
  <c r="L27" i="5" s="1"/>
  <c r="K30" i="5"/>
  <c r="M30" i="5" s="1"/>
  <c r="K24" i="5"/>
  <c r="L24" i="5" s="1"/>
  <c r="K26" i="5"/>
  <c r="M26" i="5" s="1"/>
  <c r="K21" i="5"/>
  <c r="L21" i="5" s="1"/>
  <c r="K23" i="5"/>
  <c r="M23" i="5" s="1"/>
  <c r="K13" i="5"/>
  <c r="M13" i="5" s="1"/>
  <c r="K16" i="5"/>
  <c r="M16" i="5" s="1"/>
  <c r="K9" i="5"/>
  <c r="L9" i="5" s="1"/>
  <c r="K7" i="5"/>
  <c r="L7" i="5" s="1"/>
  <c r="K3" i="5"/>
  <c r="M3" i="5" s="1"/>
  <c r="BF44" i="5" l="1"/>
  <c r="BF81" i="5"/>
  <c r="BK27" i="5"/>
  <c r="BJ41" i="5"/>
  <c r="BF14" i="5"/>
  <c r="BF3" i="5"/>
  <c r="BE38" i="5"/>
  <c r="BF77" i="5"/>
  <c r="BE84" i="5"/>
  <c r="BF11" i="5"/>
  <c r="BJ23" i="5"/>
  <c r="BJ26" i="5"/>
  <c r="BJ46" i="5"/>
  <c r="BJ39" i="5"/>
  <c r="BJ56" i="5"/>
  <c r="BK70" i="5"/>
  <c r="BJ78" i="5"/>
  <c r="BK18" i="5"/>
  <c r="BJ19" i="5"/>
  <c r="BK50" i="5"/>
  <c r="BJ61" i="5"/>
  <c r="BK80" i="5"/>
  <c r="BJ96" i="5"/>
  <c r="BK93" i="5"/>
  <c r="BF55" i="5"/>
  <c r="BF97" i="5"/>
  <c r="BF43" i="5"/>
  <c r="BJ13" i="5"/>
  <c r="BJ33" i="5"/>
  <c r="BJ47" i="5"/>
  <c r="BK60" i="5"/>
  <c r="BJ67" i="5"/>
  <c r="BK6" i="5"/>
  <c r="BJ14" i="5"/>
  <c r="BK57" i="5"/>
  <c r="BJ64" i="5"/>
  <c r="BK85" i="5"/>
  <c r="BJ81" i="5"/>
  <c r="BK48" i="5"/>
  <c r="BJ66" i="5"/>
  <c r="BE33" i="5"/>
  <c r="BF89" i="5"/>
  <c r="BF31" i="5"/>
  <c r="BE13" i="5"/>
  <c r="BK89" i="5"/>
  <c r="BK31" i="5"/>
  <c r="BK77" i="5"/>
  <c r="BK11" i="5"/>
  <c r="BJ51" i="5"/>
  <c r="BJ69" i="5"/>
  <c r="BJ71" i="5"/>
  <c r="BJ90" i="5"/>
  <c r="BJ95" i="5"/>
  <c r="BJ15" i="5"/>
  <c r="BJ20" i="5"/>
  <c r="BJ32" i="5"/>
  <c r="BJ37" i="5"/>
  <c r="BJ53" i="5"/>
  <c r="BJ63" i="5"/>
  <c r="BJ73" i="5"/>
  <c r="BJ75" i="5"/>
  <c r="BJ76" i="5"/>
  <c r="BJ94" i="5"/>
  <c r="BJ10" i="5"/>
  <c r="BJ40" i="5"/>
  <c r="BJ65" i="5"/>
  <c r="BJ3" i="5"/>
  <c r="BJ16" i="5"/>
  <c r="BK21" i="5"/>
  <c r="BJ24" i="5"/>
  <c r="BJ35" i="5"/>
  <c r="BK34" i="5"/>
  <c r="BJ42" i="5"/>
  <c r="BJ45" i="5"/>
  <c r="BK54" i="5"/>
  <c r="BK59" i="5"/>
  <c r="BJ59" i="5"/>
  <c r="BK52" i="5"/>
  <c r="BJ52" i="5"/>
  <c r="BK82" i="5"/>
  <c r="BJ82" i="5"/>
  <c r="BK87" i="5"/>
  <c r="BJ87" i="5"/>
  <c r="BK88" i="5"/>
  <c r="BJ88" i="5"/>
  <c r="BK12" i="5"/>
  <c r="BJ12" i="5"/>
  <c r="BK17" i="5"/>
  <c r="BJ17" i="5"/>
  <c r="BK25" i="5"/>
  <c r="BJ25" i="5"/>
  <c r="BK36" i="5"/>
  <c r="BJ36" i="5"/>
  <c r="BK58" i="5"/>
  <c r="BJ58" i="5"/>
  <c r="BK62" i="5"/>
  <c r="BJ62" i="5"/>
  <c r="BK68" i="5"/>
  <c r="BJ68" i="5"/>
  <c r="BK74" i="5"/>
  <c r="BJ74" i="5"/>
  <c r="BK86" i="5"/>
  <c r="BJ86" i="5"/>
  <c r="BK83" i="5"/>
  <c r="BJ83" i="5"/>
  <c r="BK5" i="5"/>
  <c r="BJ5" i="5"/>
  <c r="BK29" i="5"/>
  <c r="BJ29" i="5"/>
  <c r="BK49" i="5"/>
  <c r="BJ49" i="5"/>
  <c r="BK98" i="5"/>
  <c r="BJ98" i="5"/>
  <c r="BF9" i="5"/>
  <c r="BF27" i="5"/>
  <c r="BF22" i="5"/>
  <c r="BE7" i="5"/>
  <c r="BE23" i="5"/>
  <c r="BE26" i="5"/>
  <c r="BE30" i="5"/>
  <c r="BE46" i="5"/>
  <c r="BE39" i="5"/>
  <c r="BF41" i="5"/>
  <c r="BE56" i="5"/>
  <c r="BF70" i="5"/>
  <c r="BE78" i="5"/>
  <c r="BF92" i="5"/>
  <c r="BF18" i="5"/>
  <c r="BE19" i="5"/>
  <c r="BF28" i="5"/>
  <c r="BF50" i="5"/>
  <c r="BE61" i="5"/>
  <c r="BF79" i="5"/>
  <c r="BF80" i="5"/>
  <c r="BE96" i="5"/>
  <c r="BF8" i="5"/>
  <c r="BF93" i="5"/>
  <c r="BF91" i="5"/>
  <c r="BF72" i="5"/>
  <c r="BF4" i="5"/>
  <c r="BF60" i="5"/>
  <c r="BF6" i="5"/>
  <c r="BF57" i="5"/>
  <c r="BF85" i="5"/>
  <c r="BF48" i="5"/>
  <c r="BE51" i="5"/>
  <c r="BE69" i="5"/>
  <c r="BE71" i="5"/>
  <c r="BE90" i="5"/>
  <c r="BE95" i="5"/>
  <c r="BE15" i="5"/>
  <c r="BE20" i="5"/>
  <c r="BE32" i="5"/>
  <c r="BE37" i="5"/>
  <c r="BE53" i="5"/>
  <c r="BE63" i="5"/>
  <c r="BE73" i="5"/>
  <c r="BE75" i="5"/>
  <c r="BE76" i="5"/>
  <c r="BE94" i="5"/>
  <c r="BE10" i="5"/>
  <c r="BE40" i="5"/>
  <c r="BE65" i="5"/>
  <c r="BE16" i="5"/>
  <c r="BF21" i="5"/>
  <c r="BE35" i="5"/>
  <c r="BF34" i="5"/>
  <c r="BE42" i="5"/>
  <c r="BE45" i="5"/>
  <c r="BF54" i="5"/>
  <c r="BF59" i="5"/>
  <c r="BE59" i="5"/>
  <c r="BF52" i="5"/>
  <c r="BE52" i="5"/>
  <c r="BF82" i="5"/>
  <c r="BE82" i="5"/>
  <c r="BF87" i="5"/>
  <c r="BE87" i="5"/>
  <c r="BF88" i="5"/>
  <c r="BE88" i="5"/>
  <c r="BF12" i="5"/>
  <c r="BE12" i="5"/>
  <c r="BF17" i="5"/>
  <c r="BE17" i="5"/>
  <c r="BF25" i="5"/>
  <c r="BE25" i="5"/>
  <c r="BF36" i="5"/>
  <c r="BE36" i="5"/>
  <c r="BF58" i="5"/>
  <c r="BE58" i="5"/>
  <c r="BF62" i="5"/>
  <c r="BE62" i="5"/>
  <c r="BF68" i="5"/>
  <c r="BE68" i="5"/>
  <c r="BF74" i="5"/>
  <c r="BE74" i="5"/>
  <c r="BF86" i="5"/>
  <c r="BE86" i="5"/>
  <c r="BF83" i="5"/>
  <c r="BE83" i="5"/>
  <c r="BF5" i="5"/>
  <c r="BE5" i="5"/>
  <c r="BF29" i="5"/>
  <c r="BE29" i="5"/>
  <c r="BF49" i="5"/>
  <c r="BE49" i="5"/>
  <c r="BF98" i="5"/>
  <c r="BE98" i="5"/>
  <c r="BA46" i="5"/>
  <c r="BA84" i="5"/>
  <c r="BA67" i="5"/>
  <c r="BA48" i="5"/>
  <c r="AZ66" i="5"/>
  <c r="AZ14" i="5"/>
  <c r="BA85" i="5"/>
  <c r="AZ81" i="5"/>
  <c r="BA38" i="5"/>
  <c r="BA64" i="5"/>
  <c r="BA11" i="5"/>
  <c r="AZ43" i="5"/>
  <c r="BA21" i="5"/>
  <c r="AZ30" i="5"/>
  <c r="BA54" i="5"/>
  <c r="AZ55" i="5"/>
  <c r="BA89" i="5"/>
  <c r="AZ97" i="5"/>
  <c r="BA31" i="5"/>
  <c r="BA77" i="5"/>
  <c r="AV48" i="5"/>
  <c r="AU66" i="5"/>
  <c r="BA9" i="5"/>
  <c r="AZ23" i="5"/>
  <c r="BA44" i="5"/>
  <c r="BA91" i="5"/>
  <c r="AZ92" i="5"/>
  <c r="BA22" i="5"/>
  <c r="AZ28" i="5"/>
  <c r="BA72" i="5"/>
  <c r="AZ79" i="5"/>
  <c r="BA4" i="5"/>
  <c r="AZ8" i="5"/>
  <c r="AV60" i="5"/>
  <c r="AU67" i="5"/>
  <c r="AZ7" i="5"/>
  <c r="BA34" i="5"/>
  <c r="AZ41" i="5"/>
  <c r="BA56" i="5"/>
  <c r="BA70" i="5"/>
  <c r="AZ78" i="5"/>
  <c r="BA18" i="5"/>
  <c r="AZ19" i="5"/>
  <c r="BA50" i="5"/>
  <c r="AZ61" i="5"/>
  <c r="BA80" i="5"/>
  <c r="AZ96" i="5"/>
  <c r="BA93" i="5"/>
  <c r="BA27" i="5"/>
  <c r="BA60" i="5"/>
  <c r="BA6" i="5"/>
  <c r="BA57" i="5"/>
  <c r="AZ13" i="5"/>
  <c r="AZ33" i="5"/>
  <c r="AZ42" i="5"/>
  <c r="AZ47" i="5"/>
  <c r="AZ51" i="5"/>
  <c r="AZ20" i="5"/>
  <c r="AZ37" i="5"/>
  <c r="AZ53" i="5"/>
  <c r="AZ63" i="5"/>
  <c r="AZ73" i="5"/>
  <c r="AZ76" i="5"/>
  <c r="AZ40" i="5"/>
  <c r="BA3" i="5"/>
  <c r="AZ16" i="5"/>
  <c r="AZ26" i="5"/>
  <c r="BA24" i="5"/>
  <c r="AZ35" i="5"/>
  <c r="AZ39" i="5"/>
  <c r="AZ45" i="5"/>
  <c r="AZ59" i="5"/>
  <c r="AZ52" i="5"/>
  <c r="BA69" i="5"/>
  <c r="AZ82" i="5"/>
  <c r="BA71" i="5"/>
  <c r="AZ87" i="5"/>
  <c r="BA90" i="5"/>
  <c r="AZ88" i="5"/>
  <c r="BA95" i="5"/>
  <c r="AZ12" i="5"/>
  <c r="BA15" i="5"/>
  <c r="AZ17" i="5"/>
  <c r="AZ25" i="5"/>
  <c r="BA32" i="5"/>
  <c r="AZ36" i="5"/>
  <c r="AZ58" i="5"/>
  <c r="AZ62" i="5"/>
  <c r="AZ68" i="5"/>
  <c r="AZ74" i="5"/>
  <c r="BA75" i="5"/>
  <c r="AZ86" i="5"/>
  <c r="AZ83" i="5"/>
  <c r="BA94" i="5"/>
  <c r="AZ5" i="5"/>
  <c r="BA10" i="5"/>
  <c r="AZ29" i="5"/>
  <c r="AZ49" i="5"/>
  <c r="BA65" i="5"/>
  <c r="AZ98" i="5"/>
  <c r="AV57" i="5"/>
  <c r="AU64" i="5"/>
  <c r="AV9" i="5"/>
  <c r="AV97" i="5"/>
  <c r="AV84" i="5"/>
  <c r="AV44" i="5"/>
  <c r="AV33" i="5"/>
  <c r="AU55" i="5"/>
  <c r="AV31" i="5"/>
  <c r="AU38" i="5"/>
  <c r="AV11" i="5"/>
  <c r="AU43" i="5"/>
  <c r="AV27" i="5"/>
  <c r="AV6" i="5"/>
  <c r="AU14" i="5"/>
  <c r="AV85" i="5"/>
  <c r="AU81" i="5"/>
  <c r="AV13" i="5"/>
  <c r="AV47" i="5"/>
  <c r="AV89" i="5"/>
  <c r="AV77" i="5"/>
  <c r="AU7" i="5"/>
  <c r="AU30" i="5"/>
  <c r="AU41" i="5"/>
  <c r="AV91" i="5"/>
  <c r="AU92" i="5"/>
  <c r="AV22" i="5"/>
  <c r="AU28" i="5"/>
  <c r="AV72" i="5"/>
  <c r="AU79" i="5"/>
  <c r="AV4" i="5"/>
  <c r="AU8" i="5"/>
  <c r="AU23" i="5"/>
  <c r="AU26" i="5"/>
  <c r="AU46" i="5"/>
  <c r="AU39" i="5"/>
  <c r="AU56" i="5"/>
  <c r="AV70" i="5"/>
  <c r="AU78" i="5"/>
  <c r="AV18" i="5"/>
  <c r="AU19" i="5"/>
  <c r="AV50" i="5"/>
  <c r="AU61" i="5"/>
  <c r="AV80" i="5"/>
  <c r="AU96" i="5"/>
  <c r="AV93" i="5"/>
  <c r="AU51" i="5"/>
  <c r="AU69" i="5"/>
  <c r="AU71" i="5"/>
  <c r="AU90" i="5"/>
  <c r="AU95" i="5"/>
  <c r="AU15" i="5"/>
  <c r="AU20" i="5"/>
  <c r="AU32" i="5"/>
  <c r="AU37" i="5"/>
  <c r="AU53" i="5"/>
  <c r="AU63" i="5"/>
  <c r="AU73" i="5"/>
  <c r="AU75" i="5"/>
  <c r="AU76" i="5"/>
  <c r="AU94" i="5"/>
  <c r="AU10" i="5"/>
  <c r="AU40" i="5"/>
  <c r="AU65" i="5"/>
  <c r="AU3" i="5"/>
  <c r="AU16" i="5"/>
  <c r="AV21" i="5"/>
  <c r="AU24" i="5"/>
  <c r="AU35" i="5"/>
  <c r="AV34" i="5"/>
  <c r="AU42" i="5"/>
  <c r="AU45" i="5"/>
  <c r="AV54" i="5"/>
  <c r="AV59" i="5"/>
  <c r="AU59" i="5"/>
  <c r="AV52" i="5"/>
  <c r="AU52" i="5"/>
  <c r="AV82" i="5"/>
  <c r="AU82" i="5"/>
  <c r="AV87" i="5"/>
  <c r="AU87" i="5"/>
  <c r="AV88" i="5"/>
  <c r="AU88" i="5"/>
  <c r="AV12" i="5"/>
  <c r="AU12" i="5"/>
  <c r="AV17" i="5"/>
  <c r="AU17" i="5"/>
  <c r="AV25" i="5"/>
  <c r="AU25" i="5"/>
  <c r="AV36" i="5"/>
  <c r="AU36" i="5"/>
  <c r="AV58" i="5"/>
  <c r="AU58" i="5"/>
  <c r="AV62" i="5"/>
  <c r="AU62" i="5"/>
  <c r="AV68" i="5"/>
  <c r="AU68" i="5"/>
  <c r="AV74" i="5"/>
  <c r="AU74" i="5"/>
  <c r="AV86" i="5"/>
  <c r="AU86" i="5"/>
  <c r="AV83" i="5"/>
  <c r="AU83" i="5"/>
  <c r="AV5" i="5"/>
  <c r="AU5" i="5"/>
  <c r="AV29" i="5"/>
  <c r="AU29" i="5"/>
  <c r="AV49" i="5"/>
  <c r="AU49" i="5"/>
  <c r="AV98" i="5"/>
  <c r="AU98" i="5"/>
  <c r="AQ84" i="5"/>
  <c r="AQ27" i="5"/>
  <c r="AQ55" i="5"/>
  <c r="AQ43" i="5"/>
  <c r="AQ97" i="5"/>
  <c r="AQ38" i="5"/>
  <c r="AQ13" i="5"/>
  <c r="AQ47" i="5"/>
  <c r="AQ67" i="5"/>
  <c r="AQ14" i="5"/>
  <c r="AQ64" i="5"/>
  <c r="AQ81" i="5"/>
  <c r="AQ66" i="5"/>
  <c r="AQ9" i="5"/>
  <c r="AQ44" i="5"/>
  <c r="AQ33" i="5"/>
  <c r="AQ89" i="5"/>
  <c r="AQ31" i="5"/>
  <c r="AQ77" i="5"/>
  <c r="AQ11" i="5"/>
  <c r="AP7" i="5"/>
  <c r="AP30" i="5"/>
  <c r="AP41" i="5"/>
  <c r="AQ91" i="5"/>
  <c r="AP92" i="5"/>
  <c r="AQ22" i="5"/>
  <c r="AP28" i="5"/>
  <c r="AQ72" i="5"/>
  <c r="AP79" i="5"/>
  <c r="AQ4" i="5"/>
  <c r="AP8" i="5"/>
  <c r="AP23" i="5"/>
  <c r="AP26" i="5"/>
  <c r="AP46" i="5"/>
  <c r="AP39" i="5"/>
  <c r="AP56" i="5"/>
  <c r="AQ70" i="5"/>
  <c r="AP78" i="5"/>
  <c r="AQ18" i="5"/>
  <c r="AP19" i="5"/>
  <c r="AQ50" i="5"/>
  <c r="AP61" i="5"/>
  <c r="AQ80" i="5"/>
  <c r="AP96" i="5"/>
  <c r="AQ93" i="5"/>
  <c r="AQ60" i="5"/>
  <c r="AQ6" i="5"/>
  <c r="AQ57" i="5"/>
  <c r="AQ85" i="5"/>
  <c r="AQ48" i="5"/>
  <c r="AP51" i="5"/>
  <c r="AP69" i="5"/>
  <c r="AP71" i="5"/>
  <c r="AP90" i="5"/>
  <c r="AP95" i="5"/>
  <c r="AP15" i="5"/>
  <c r="AP20" i="5"/>
  <c r="AP32" i="5"/>
  <c r="AP37" i="5"/>
  <c r="AP53" i="5"/>
  <c r="AP63" i="5"/>
  <c r="AP73" i="5"/>
  <c r="AP75" i="5"/>
  <c r="AP76" i="5"/>
  <c r="AP94" i="5"/>
  <c r="AP10" i="5"/>
  <c r="AP40" i="5"/>
  <c r="AP65" i="5"/>
  <c r="AP3" i="5"/>
  <c r="AP16" i="5"/>
  <c r="AQ21" i="5"/>
  <c r="AP24" i="5"/>
  <c r="AP35" i="5"/>
  <c r="AQ34" i="5"/>
  <c r="AP42" i="5"/>
  <c r="AP45" i="5"/>
  <c r="AQ54" i="5"/>
  <c r="AQ59" i="5"/>
  <c r="AP59" i="5"/>
  <c r="AQ52" i="5"/>
  <c r="AP52" i="5"/>
  <c r="AQ82" i="5"/>
  <c r="AP82" i="5"/>
  <c r="AQ87" i="5"/>
  <c r="AP87" i="5"/>
  <c r="AQ88" i="5"/>
  <c r="AP88" i="5"/>
  <c r="AQ12" i="5"/>
  <c r="AP12" i="5"/>
  <c r="AQ17" i="5"/>
  <c r="AP17" i="5"/>
  <c r="AQ25" i="5"/>
  <c r="AP25" i="5"/>
  <c r="AQ36" i="5"/>
  <c r="AP36" i="5"/>
  <c r="AQ58" i="5"/>
  <c r="AP58" i="5"/>
  <c r="AQ62" i="5"/>
  <c r="AP62" i="5"/>
  <c r="AQ68" i="5"/>
  <c r="AP68" i="5"/>
  <c r="AQ74" i="5"/>
  <c r="AP74" i="5"/>
  <c r="AQ86" i="5"/>
  <c r="AP86" i="5"/>
  <c r="AQ83" i="5"/>
  <c r="AP83" i="5"/>
  <c r="AQ5" i="5"/>
  <c r="AP5" i="5"/>
  <c r="AQ29" i="5"/>
  <c r="AP29" i="5"/>
  <c r="AQ49" i="5"/>
  <c r="AP49" i="5"/>
  <c r="AQ98" i="5"/>
  <c r="AP98" i="5"/>
  <c r="AL58" i="5"/>
  <c r="AK72" i="5"/>
  <c r="AK84" i="5"/>
  <c r="AL12" i="5"/>
  <c r="AK22" i="5"/>
  <c r="AK38" i="5"/>
  <c r="AL35" i="5"/>
  <c r="AK34" i="5"/>
  <c r="AL52" i="5"/>
  <c r="AK91" i="5"/>
  <c r="AK97" i="5"/>
  <c r="AL49" i="5"/>
  <c r="AK93" i="5"/>
  <c r="AG81" i="5"/>
  <c r="AK55" i="5"/>
  <c r="AL86" i="5"/>
  <c r="AK4" i="5"/>
  <c r="AK43" i="5"/>
  <c r="AK27" i="5"/>
  <c r="AK50" i="5"/>
  <c r="AK60" i="5"/>
  <c r="AK78" i="5"/>
  <c r="AL87" i="5"/>
  <c r="AK6" i="5"/>
  <c r="AK19" i="5"/>
  <c r="AL25" i="5"/>
  <c r="AK57" i="5"/>
  <c r="AK61" i="5"/>
  <c r="AL68" i="5"/>
  <c r="AK85" i="5"/>
  <c r="AK96" i="5"/>
  <c r="AL5" i="5"/>
  <c r="AK48" i="5"/>
  <c r="AL26" i="5"/>
  <c r="AL59" i="5"/>
  <c r="AK70" i="5"/>
  <c r="AK92" i="5"/>
  <c r="AL88" i="5"/>
  <c r="AK18" i="5"/>
  <c r="AK28" i="5"/>
  <c r="AL36" i="5"/>
  <c r="AK79" i="5"/>
  <c r="AL74" i="5"/>
  <c r="AK80" i="5"/>
  <c r="AK8" i="5"/>
  <c r="AL29" i="5"/>
  <c r="AG85" i="5"/>
  <c r="AL16" i="5"/>
  <c r="AK21" i="5"/>
  <c r="AL45" i="5"/>
  <c r="AK54" i="5"/>
  <c r="AK67" i="5"/>
  <c r="AL82" i="5"/>
  <c r="AK89" i="5"/>
  <c r="AK14" i="5"/>
  <c r="AL17" i="5"/>
  <c r="AK31" i="5"/>
  <c r="AK64" i="5"/>
  <c r="AL62" i="5"/>
  <c r="AK77" i="5"/>
  <c r="AK81" i="5"/>
  <c r="AL83" i="5"/>
  <c r="AK11" i="5"/>
  <c r="AK66" i="5"/>
  <c r="AL98" i="5"/>
  <c r="AK9" i="5"/>
  <c r="AL39" i="5"/>
  <c r="AK44" i="5"/>
  <c r="AK23" i="5"/>
  <c r="AK46" i="5"/>
  <c r="AK41" i="5"/>
  <c r="AK56" i="5"/>
  <c r="AK3" i="5"/>
  <c r="AL7" i="5"/>
  <c r="AK13" i="5"/>
  <c r="AK24" i="5"/>
  <c r="AL30" i="5"/>
  <c r="AK33" i="5"/>
  <c r="AK42" i="5"/>
  <c r="AK47" i="5"/>
  <c r="AK51" i="5"/>
  <c r="AK69" i="5"/>
  <c r="AK71" i="5"/>
  <c r="AK90" i="5"/>
  <c r="AK95" i="5"/>
  <c r="AK15" i="5"/>
  <c r="AK20" i="5"/>
  <c r="AK32" i="5"/>
  <c r="AK37" i="5"/>
  <c r="AK53" i="5"/>
  <c r="AK63" i="5"/>
  <c r="AK73" i="5"/>
  <c r="AK75" i="5"/>
  <c r="AK76" i="5"/>
  <c r="AK94" i="5"/>
  <c r="AK10" i="5"/>
  <c r="AK40" i="5"/>
  <c r="AK65" i="5"/>
  <c r="AG6" i="5"/>
  <c r="AF14" i="5"/>
  <c r="AG30" i="5"/>
  <c r="AG84" i="5"/>
  <c r="AG97" i="5"/>
  <c r="AG55" i="5"/>
  <c r="AG48" i="5"/>
  <c r="AF66" i="5"/>
  <c r="AG57" i="5"/>
  <c r="AF64" i="5"/>
  <c r="AG46" i="5"/>
  <c r="AG67" i="5"/>
  <c r="AG31" i="5"/>
  <c r="AF38" i="5"/>
  <c r="AG11" i="5"/>
  <c r="AF43" i="5"/>
  <c r="AG21" i="5"/>
  <c r="AG54" i="5"/>
  <c r="AG89" i="5"/>
  <c r="AG77" i="5"/>
  <c r="AG9" i="5"/>
  <c r="AF23" i="5"/>
  <c r="AG91" i="5"/>
  <c r="AF92" i="5"/>
  <c r="AG22" i="5"/>
  <c r="AF28" i="5"/>
  <c r="AG72" i="5"/>
  <c r="AF7" i="5"/>
  <c r="AG34" i="5"/>
  <c r="AF41" i="5"/>
  <c r="AG56" i="5"/>
  <c r="AG70" i="5"/>
  <c r="AF78" i="5"/>
  <c r="AG18" i="5"/>
  <c r="AF19" i="5"/>
  <c r="AG50" i="5"/>
  <c r="AF61" i="5"/>
  <c r="AG79" i="5"/>
  <c r="AG80" i="5"/>
  <c r="AF96" i="5"/>
  <c r="AG8" i="5"/>
  <c r="AG93" i="5"/>
  <c r="AG44" i="5"/>
  <c r="AG4" i="5"/>
  <c r="AG27" i="5"/>
  <c r="AG60" i="5"/>
  <c r="AG3" i="5"/>
  <c r="AF16" i="5"/>
  <c r="AG13" i="5"/>
  <c r="AF26" i="5"/>
  <c r="AG24" i="5"/>
  <c r="AF35" i="5"/>
  <c r="AG33" i="5"/>
  <c r="AF39" i="5"/>
  <c r="AG42" i="5"/>
  <c r="AF45" i="5"/>
  <c r="AG47" i="5"/>
  <c r="AF59" i="5"/>
  <c r="AG51" i="5"/>
  <c r="AF52" i="5"/>
  <c r="AG69" i="5"/>
  <c r="AF82" i="5"/>
  <c r="AG71" i="5"/>
  <c r="AF87" i="5"/>
  <c r="AG90" i="5"/>
  <c r="AF88" i="5"/>
  <c r="AG95" i="5"/>
  <c r="AF12" i="5"/>
  <c r="AG15" i="5"/>
  <c r="AF17" i="5"/>
  <c r="AG20" i="5"/>
  <c r="AF25" i="5"/>
  <c r="AG32" i="5"/>
  <c r="AF36" i="5"/>
  <c r="AG37" i="5"/>
  <c r="AF58" i="5"/>
  <c r="AG53" i="5"/>
  <c r="AF62" i="5"/>
  <c r="AG63" i="5"/>
  <c r="AF68" i="5"/>
  <c r="AG73" i="5"/>
  <c r="AF74" i="5"/>
  <c r="AG75" i="5"/>
  <c r="AF86" i="5"/>
  <c r="AG76" i="5"/>
  <c r="AF83" i="5"/>
  <c r="AG94" i="5"/>
  <c r="AF5" i="5"/>
  <c r="AG10" i="5"/>
  <c r="AF29" i="5"/>
  <c r="AG40" i="5"/>
  <c r="AF49" i="5"/>
  <c r="AG65" i="5"/>
  <c r="AF98" i="5"/>
  <c r="AB78" i="5"/>
  <c r="AB7" i="5"/>
  <c r="AB60" i="5"/>
  <c r="AA67" i="5"/>
  <c r="AB85" i="5"/>
  <c r="AA81" i="5"/>
  <c r="AB34" i="5"/>
  <c r="AA41" i="5"/>
  <c r="AB61" i="5"/>
  <c r="AB48" i="5"/>
  <c r="AA66" i="5"/>
  <c r="AB19" i="5"/>
  <c r="AB96" i="5"/>
  <c r="AB27" i="5"/>
  <c r="AA46" i="5"/>
  <c r="AB6" i="5"/>
  <c r="AA14" i="5"/>
  <c r="AB57" i="5"/>
  <c r="AA64" i="5"/>
  <c r="V88" i="5"/>
  <c r="W18" i="5"/>
  <c r="V28" i="5"/>
  <c r="AB70" i="5"/>
  <c r="AA55" i="5"/>
  <c r="AB89" i="5"/>
  <c r="AA97" i="5"/>
  <c r="AB11" i="5"/>
  <c r="AA43" i="5"/>
  <c r="AB9" i="5"/>
  <c r="AA23" i="5"/>
  <c r="AB30" i="5"/>
  <c r="AB44" i="5"/>
  <c r="AA56" i="5"/>
  <c r="AB91" i="5"/>
  <c r="AA92" i="5"/>
  <c r="AB22" i="5"/>
  <c r="AA28" i="5"/>
  <c r="AB38" i="5"/>
  <c r="AB72" i="5"/>
  <c r="AA79" i="5"/>
  <c r="AB84" i="5"/>
  <c r="AB4" i="5"/>
  <c r="AA8" i="5"/>
  <c r="AB21" i="5"/>
  <c r="AB54" i="5"/>
  <c r="AB31" i="5"/>
  <c r="AB77" i="5"/>
  <c r="AB18" i="5"/>
  <c r="AB50" i="5"/>
  <c r="AB80" i="5"/>
  <c r="AB93" i="5"/>
  <c r="V92" i="5"/>
  <c r="V36" i="5"/>
  <c r="AA3" i="5"/>
  <c r="AA24" i="5"/>
  <c r="AA42" i="5"/>
  <c r="AA47" i="5"/>
  <c r="AA51" i="5"/>
  <c r="AA69" i="5"/>
  <c r="AA90" i="5"/>
  <c r="AA15" i="5"/>
  <c r="AA20" i="5"/>
  <c r="AA37" i="5"/>
  <c r="AA63" i="5"/>
  <c r="AA76" i="5"/>
  <c r="AA10" i="5"/>
  <c r="AA40" i="5"/>
  <c r="AA65" i="5"/>
  <c r="AA16" i="5"/>
  <c r="AB13" i="5"/>
  <c r="AA26" i="5"/>
  <c r="AA35" i="5"/>
  <c r="AB33" i="5"/>
  <c r="AA39" i="5"/>
  <c r="AA45" i="5"/>
  <c r="AA59" i="5"/>
  <c r="AA52" i="5"/>
  <c r="AA82" i="5"/>
  <c r="AB71" i="5"/>
  <c r="AA87" i="5"/>
  <c r="AA88" i="5"/>
  <c r="AB95" i="5"/>
  <c r="AA12" i="5"/>
  <c r="AA17" i="5"/>
  <c r="AA25" i="5"/>
  <c r="AB32" i="5"/>
  <c r="AA36" i="5"/>
  <c r="AA58" i="5"/>
  <c r="AB53" i="5"/>
  <c r="AA62" i="5"/>
  <c r="AA68" i="5"/>
  <c r="AB73" i="5"/>
  <c r="AA74" i="5"/>
  <c r="AB75" i="5"/>
  <c r="AA86" i="5"/>
  <c r="AA83" i="5"/>
  <c r="AB94" i="5"/>
  <c r="AA5" i="5"/>
  <c r="AA29" i="5"/>
  <c r="AA49" i="5"/>
  <c r="AA98" i="5"/>
  <c r="V23" i="5"/>
  <c r="V26" i="5"/>
  <c r="V62" i="5"/>
  <c r="V8" i="5"/>
  <c r="W89" i="5"/>
  <c r="W31" i="5"/>
  <c r="W77" i="5"/>
  <c r="W21" i="5"/>
  <c r="W54" i="5"/>
  <c r="V64" i="5"/>
  <c r="W85" i="5"/>
  <c r="W48" i="5"/>
  <c r="V56" i="5"/>
  <c r="V59" i="5"/>
  <c r="V86" i="5"/>
  <c r="W43" i="5"/>
  <c r="V49" i="5"/>
  <c r="V46" i="5"/>
  <c r="V39" i="5"/>
  <c r="W70" i="5"/>
  <c r="V14" i="5"/>
  <c r="V17" i="5"/>
  <c r="W50" i="5"/>
  <c r="W66" i="5"/>
  <c r="V79" i="5"/>
  <c r="V74" i="5"/>
  <c r="W34" i="5"/>
  <c r="V67" i="5"/>
  <c r="V82" i="5"/>
  <c r="V96" i="5"/>
  <c r="V29" i="5"/>
  <c r="W9" i="5"/>
  <c r="V30" i="5"/>
  <c r="V35" i="5"/>
  <c r="W44" i="5"/>
  <c r="V55" i="5"/>
  <c r="V52" i="5"/>
  <c r="W91" i="5"/>
  <c r="V97" i="5"/>
  <c r="V12" i="5"/>
  <c r="W22" i="5"/>
  <c r="V38" i="5"/>
  <c r="V58" i="5"/>
  <c r="W72" i="5"/>
  <c r="V84" i="5"/>
  <c r="V81" i="5"/>
  <c r="V83" i="5"/>
  <c r="V5" i="5"/>
  <c r="V7" i="5"/>
  <c r="V16" i="5"/>
  <c r="W27" i="5"/>
  <c r="V41" i="5"/>
  <c r="V45" i="5"/>
  <c r="W60" i="5"/>
  <c r="V78" i="5"/>
  <c r="V87" i="5"/>
  <c r="W6" i="5"/>
  <c r="V19" i="5"/>
  <c r="V25" i="5"/>
  <c r="W57" i="5"/>
  <c r="V61" i="5"/>
  <c r="V68" i="5"/>
  <c r="W4" i="5"/>
  <c r="V98" i="5"/>
  <c r="W80" i="5"/>
  <c r="W11" i="5"/>
  <c r="W93" i="5"/>
  <c r="V3" i="5"/>
  <c r="V13" i="5"/>
  <c r="V24" i="5"/>
  <c r="V33" i="5"/>
  <c r="V42" i="5"/>
  <c r="V47" i="5"/>
  <c r="V51" i="5"/>
  <c r="V69" i="5"/>
  <c r="V71" i="5"/>
  <c r="V90" i="5"/>
  <c r="V95" i="5"/>
  <c r="V15" i="5"/>
  <c r="V20" i="5"/>
  <c r="V32" i="5"/>
  <c r="V37" i="5"/>
  <c r="V53" i="5"/>
  <c r="V63" i="5"/>
  <c r="V73" i="5"/>
  <c r="V75" i="5"/>
  <c r="V76" i="5"/>
  <c r="V94" i="5"/>
  <c r="V10" i="5"/>
  <c r="V40" i="5"/>
  <c r="V65" i="5"/>
  <c r="R60" i="5"/>
  <c r="Q67" i="5"/>
  <c r="R6" i="5"/>
  <c r="Q14" i="5"/>
  <c r="R48" i="5"/>
  <c r="Q66" i="5"/>
  <c r="R41" i="5"/>
  <c r="R78" i="5"/>
  <c r="R61" i="5"/>
  <c r="R21" i="5"/>
  <c r="Q30" i="5"/>
  <c r="R31" i="5"/>
  <c r="Q38" i="5"/>
  <c r="R70" i="5"/>
  <c r="R85" i="5"/>
  <c r="Q81" i="5"/>
  <c r="R7" i="5"/>
  <c r="R27" i="5"/>
  <c r="Q46" i="5"/>
  <c r="R54" i="5"/>
  <c r="Q55" i="5"/>
  <c r="R89" i="5"/>
  <c r="Q97" i="5"/>
  <c r="R19" i="5"/>
  <c r="R57" i="5"/>
  <c r="Q64" i="5"/>
  <c r="R77" i="5"/>
  <c r="Q84" i="5"/>
  <c r="R43" i="5"/>
  <c r="R11" i="5"/>
  <c r="R96" i="5"/>
  <c r="M89" i="5"/>
  <c r="L97" i="5"/>
  <c r="R9" i="5"/>
  <c r="Q23" i="5"/>
  <c r="R44" i="5"/>
  <c r="Q56" i="5"/>
  <c r="R91" i="5"/>
  <c r="Q92" i="5"/>
  <c r="R22" i="5"/>
  <c r="Q28" i="5"/>
  <c r="R72" i="5"/>
  <c r="Q79" i="5"/>
  <c r="R4" i="5"/>
  <c r="Q8" i="5"/>
  <c r="R34" i="5"/>
  <c r="R18" i="5"/>
  <c r="R50" i="5"/>
  <c r="R80" i="5"/>
  <c r="R93" i="5"/>
  <c r="Q3" i="5"/>
  <c r="Q13" i="5"/>
  <c r="Q24" i="5"/>
  <c r="Q33" i="5"/>
  <c r="Q42" i="5"/>
  <c r="Q69" i="5"/>
  <c r="Q71" i="5"/>
  <c r="Q90" i="5"/>
  <c r="Q95" i="5"/>
  <c r="Q15" i="5"/>
  <c r="Q37" i="5"/>
  <c r="Q59" i="5"/>
  <c r="R51" i="5"/>
  <c r="Q52" i="5"/>
  <c r="Q82" i="5"/>
  <c r="Q17" i="5"/>
  <c r="R20" i="5"/>
  <c r="Q25" i="5"/>
  <c r="R32" i="5"/>
  <c r="R53" i="5"/>
  <c r="R73" i="5"/>
  <c r="R75" i="5"/>
  <c r="Q86" i="5"/>
  <c r="R76" i="5"/>
  <c r="Q83" i="5"/>
  <c r="R94" i="5"/>
  <c r="Q5" i="5"/>
  <c r="R10" i="5"/>
  <c r="Q29" i="5"/>
  <c r="R40" i="5"/>
  <c r="Q49" i="5"/>
  <c r="R65" i="5"/>
  <c r="Q98" i="5"/>
  <c r="Q47" i="5"/>
  <c r="Q63" i="5"/>
  <c r="Q16" i="5"/>
  <c r="Q26" i="5"/>
  <c r="Q35" i="5"/>
  <c r="Q39" i="5"/>
  <c r="Q45" i="5"/>
  <c r="Q87" i="5"/>
  <c r="Q88" i="5"/>
  <c r="Q12" i="5"/>
  <c r="Q36" i="5"/>
  <c r="Q58" i="5"/>
  <c r="Q62" i="5"/>
  <c r="Q68" i="5"/>
  <c r="Q74" i="5"/>
  <c r="M48" i="5"/>
  <c r="L66" i="5"/>
  <c r="M21" i="5"/>
  <c r="L30" i="5"/>
  <c r="M64" i="5"/>
  <c r="M77" i="5"/>
  <c r="L84" i="5"/>
  <c r="M60" i="5"/>
  <c r="L67" i="5"/>
  <c r="M19" i="5"/>
  <c r="M41" i="5"/>
  <c r="M57" i="5"/>
  <c r="M11" i="5"/>
  <c r="L43" i="5"/>
  <c r="M7" i="5"/>
  <c r="M27" i="5"/>
  <c r="L46" i="5"/>
  <c r="M54" i="5"/>
  <c r="L55" i="5"/>
  <c r="M78" i="5"/>
  <c r="M6" i="5"/>
  <c r="L14" i="5"/>
  <c r="M31" i="5"/>
  <c r="L38" i="5"/>
  <c r="M61" i="5"/>
  <c r="M85" i="5"/>
  <c r="L81" i="5"/>
  <c r="L23" i="5"/>
  <c r="M44" i="5"/>
  <c r="L56" i="5"/>
  <c r="M91" i="5"/>
  <c r="L92" i="5"/>
  <c r="M22" i="5"/>
  <c r="L28" i="5"/>
  <c r="M72" i="5"/>
  <c r="L79" i="5"/>
  <c r="M4" i="5"/>
  <c r="L8" i="5"/>
  <c r="M9" i="5"/>
  <c r="M34" i="5"/>
  <c r="M70" i="5"/>
  <c r="M18" i="5"/>
  <c r="M50" i="5"/>
  <c r="M80" i="5"/>
  <c r="L96" i="5"/>
  <c r="M93" i="5"/>
  <c r="L3" i="5"/>
  <c r="L13" i="5"/>
  <c r="L33" i="5"/>
  <c r="L42" i="5"/>
  <c r="L47" i="5"/>
  <c r="L51" i="5"/>
  <c r="L69" i="5"/>
  <c r="L71" i="5"/>
  <c r="L90" i="5"/>
  <c r="L75" i="5"/>
  <c r="L76" i="5"/>
  <c r="L94" i="5"/>
  <c r="L40" i="5"/>
  <c r="M24" i="5"/>
  <c r="L35" i="5"/>
  <c r="L52" i="5"/>
  <c r="L87" i="5"/>
  <c r="L88" i="5"/>
  <c r="M95" i="5"/>
  <c r="L12" i="5"/>
  <c r="M15" i="5"/>
  <c r="L17" i="5"/>
  <c r="M20" i="5"/>
  <c r="L25" i="5"/>
  <c r="L36" i="5"/>
  <c r="M37" i="5"/>
  <c r="L58" i="5"/>
  <c r="M53" i="5"/>
  <c r="L62" i="5"/>
  <c r="M63" i="5"/>
  <c r="L68" i="5"/>
  <c r="M73" i="5"/>
  <c r="L74" i="5"/>
  <c r="L86" i="5"/>
  <c r="L83" i="5"/>
  <c r="L5" i="5"/>
  <c r="M10" i="5"/>
  <c r="L29" i="5"/>
  <c r="L49" i="5"/>
  <c r="M65" i="5"/>
  <c r="L98" i="5"/>
  <c r="L32" i="5"/>
  <c r="L16" i="5"/>
  <c r="L26" i="5"/>
  <c r="L39" i="5"/>
  <c r="L45" i="5"/>
  <c r="L59" i="5"/>
  <c r="L82" i="5"/>
  <c r="F7" i="5" l="1"/>
  <c r="F9" i="5"/>
  <c r="F16" i="5"/>
  <c r="F13" i="5"/>
  <c r="F23" i="5"/>
  <c r="F21" i="5"/>
  <c r="F26" i="5"/>
  <c r="F24" i="5"/>
  <c r="F30" i="5"/>
  <c r="F27" i="5"/>
  <c r="F35" i="5"/>
  <c r="F33" i="5"/>
  <c r="F46" i="5"/>
  <c r="F34" i="5"/>
  <c r="F39" i="5"/>
  <c r="F42" i="5"/>
  <c r="F41" i="5"/>
  <c r="F44" i="5"/>
  <c r="F45" i="5"/>
  <c r="F47" i="5"/>
  <c r="F56" i="5"/>
  <c r="F54" i="5"/>
  <c r="F59" i="5"/>
  <c r="F51" i="5"/>
  <c r="F55" i="5"/>
  <c r="F60" i="5"/>
  <c r="F52" i="5"/>
  <c r="F69" i="5"/>
  <c r="F67" i="5"/>
  <c r="F70" i="5"/>
  <c r="F82" i="5"/>
  <c r="F71" i="5"/>
  <c r="F78" i="5"/>
  <c r="F91" i="5"/>
  <c r="F87" i="5"/>
  <c r="F90" i="5"/>
  <c r="F92" i="5"/>
  <c r="F89" i="5"/>
  <c r="F88" i="5"/>
  <c r="F95" i="5"/>
  <c r="F97" i="5"/>
  <c r="F6" i="5"/>
  <c r="F12" i="5"/>
  <c r="F15" i="5"/>
  <c r="F14" i="5"/>
  <c r="F18" i="5"/>
  <c r="F17" i="5"/>
  <c r="F20" i="5"/>
  <c r="F19" i="5"/>
  <c r="F22" i="5"/>
  <c r="F25" i="5"/>
  <c r="F32" i="5"/>
  <c r="F28" i="5"/>
  <c r="F31" i="5"/>
  <c r="F36" i="5"/>
  <c r="F37" i="5"/>
  <c r="F38" i="5"/>
  <c r="F57" i="5"/>
  <c r="F58" i="5"/>
  <c r="F53" i="5"/>
  <c r="F64" i="5"/>
  <c r="F50" i="5"/>
  <c r="F62" i="5"/>
  <c r="F63" i="5"/>
  <c r="F61" i="5"/>
  <c r="F72" i="5"/>
  <c r="F68" i="5"/>
  <c r="F73" i="5"/>
  <c r="F79" i="5"/>
  <c r="F77" i="5"/>
  <c r="F74" i="5"/>
  <c r="F75" i="5"/>
  <c r="F84" i="5"/>
  <c r="F85" i="5"/>
  <c r="F86" i="5"/>
  <c r="F76" i="5"/>
  <c r="F81" i="5"/>
  <c r="F80" i="5"/>
  <c r="F83" i="5"/>
  <c r="F94" i="5"/>
  <c r="F96" i="5"/>
  <c r="F4" i="5"/>
  <c r="F5" i="5"/>
  <c r="F10" i="5"/>
  <c r="F8" i="5"/>
  <c r="F11" i="5"/>
  <c r="F29" i="5"/>
  <c r="F40" i="5"/>
  <c r="F43" i="5"/>
  <c r="F48" i="5"/>
  <c r="F49" i="5"/>
  <c r="F65" i="5"/>
  <c r="F66" i="5"/>
  <c r="F93" i="5"/>
  <c r="F98" i="5"/>
  <c r="F3" i="5"/>
  <c r="BC3" i="4"/>
  <c r="F4" i="4"/>
  <c r="F5" i="4"/>
  <c r="F6" i="4"/>
  <c r="F7" i="4"/>
  <c r="F10" i="4"/>
  <c r="F8" i="4"/>
  <c r="F9" i="4"/>
  <c r="F12" i="4"/>
  <c r="F11" i="4"/>
  <c r="F14" i="4"/>
  <c r="F15" i="4"/>
  <c r="F13" i="4"/>
  <c r="F16" i="4"/>
  <c r="F17" i="4"/>
  <c r="F19" i="4"/>
  <c r="F18" i="4"/>
  <c r="F21" i="4"/>
  <c r="F20" i="4"/>
  <c r="F22" i="4"/>
  <c r="F28" i="4"/>
  <c r="F24" i="4"/>
  <c r="F23" i="4"/>
  <c r="F25" i="4"/>
  <c r="F26" i="4"/>
  <c r="F31" i="4"/>
  <c r="F27" i="4"/>
  <c r="F30" i="4"/>
  <c r="F34" i="4"/>
  <c r="F33" i="4"/>
  <c r="F29" i="4"/>
  <c r="F35" i="4"/>
  <c r="F32" i="4"/>
  <c r="F36" i="4"/>
  <c r="F40" i="4"/>
  <c r="F38" i="4"/>
  <c r="F37" i="4"/>
  <c r="F39" i="4"/>
  <c r="F41" i="4"/>
  <c r="F44" i="4"/>
  <c r="F47" i="4"/>
  <c r="F43" i="4"/>
  <c r="F42" i="4"/>
  <c r="F46" i="4"/>
  <c r="F45" i="4"/>
  <c r="F48" i="4"/>
  <c r="F49" i="4"/>
  <c r="F50" i="4"/>
  <c r="F53" i="4"/>
  <c r="F54" i="4"/>
  <c r="F51" i="4"/>
  <c r="F61" i="4"/>
  <c r="F55" i="4"/>
  <c r="F59" i="4"/>
  <c r="F57" i="4"/>
  <c r="F52" i="4"/>
  <c r="F56" i="4"/>
  <c r="F60" i="4"/>
  <c r="F63" i="4"/>
  <c r="F58" i="4"/>
  <c r="F62" i="4"/>
  <c r="F65" i="4"/>
  <c r="F64" i="4"/>
  <c r="F66" i="4"/>
  <c r="F67" i="4"/>
  <c r="F68" i="4"/>
  <c r="F69" i="4"/>
  <c r="F71" i="4"/>
  <c r="F70" i="4"/>
  <c r="F74" i="4"/>
  <c r="F72" i="4"/>
  <c r="F73" i="4"/>
  <c r="F75" i="4"/>
  <c r="H48" i="5" l="1"/>
  <c r="G48" i="5"/>
  <c r="H4" i="5"/>
  <c r="G4" i="5"/>
  <c r="H85" i="5"/>
  <c r="G85" i="5"/>
  <c r="H72" i="5"/>
  <c r="G72" i="5"/>
  <c r="H57" i="5"/>
  <c r="G57" i="5"/>
  <c r="H22" i="5"/>
  <c r="G22" i="5"/>
  <c r="H6" i="5"/>
  <c r="G6" i="5"/>
  <c r="H91" i="5"/>
  <c r="G91" i="5"/>
  <c r="H60" i="5"/>
  <c r="G60" i="5"/>
  <c r="G44" i="5"/>
  <c r="H44" i="5"/>
  <c r="G27" i="5"/>
  <c r="H27" i="5"/>
  <c r="H9" i="5"/>
  <c r="G9" i="5"/>
  <c r="H66" i="5"/>
  <c r="G66" i="5"/>
  <c r="H8" i="5"/>
  <c r="G8" i="5"/>
  <c r="H81" i="5"/>
  <c r="G81" i="5"/>
  <c r="H79" i="5"/>
  <c r="G79" i="5"/>
  <c r="H64" i="5"/>
  <c r="G64" i="5"/>
  <c r="H28" i="5"/>
  <c r="G28" i="5"/>
  <c r="H14" i="5"/>
  <c r="G14" i="5"/>
  <c r="H92" i="5"/>
  <c r="G92" i="5"/>
  <c r="H78" i="5"/>
  <c r="G78" i="5"/>
  <c r="H55" i="5"/>
  <c r="G55" i="5"/>
  <c r="H41" i="5"/>
  <c r="G41" i="5"/>
  <c r="H30" i="5"/>
  <c r="G30" i="5"/>
  <c r="H23" i="5"/>
  <c r="G23" i="5"/>
  <c r="H3" i="5"/>
  <c r="BN3" i="5" s="1"/>
  <c r="G3" i="5"/>
  <c r="H65" i="5"/>
  <c r="G65" i="5"/>
  <c r="H40" i="5"/>
  <c r="G40" i="5"/>
  <c r="H10" i="5"/>
  <c r="G10" i="5"/>
  <c r="H94" i="5"/>
  <c r="G94" i="5"/>
  <c r="H76" i="5"/>
  <c r="G76" i="5"/>
  <c r="H75" i="5"/>
  <c r="G75" i="5"/>
  <c r="H73" i="5"/>
  <c r="G73" i="5"/>
  <c r="H63" i="5"/>
  <c r="G63" i="5"/>
  <c r="H53" i="5"/>
  <c r="G53" i="5"/>
  <c r="H37" i="5"/>
  <c r="G37" i="5"/>
  <c r="H32" i="5"/>
  <c r="G32" i="5"/>
  <c r="H20" i="5"/>
  <c r="G20" i="5"/>
  <c r="H15" i="5"/>
  <c r="G15" i="5"/>
  <c r="H95" i="5"/>
  <c r="G95" i="5"/>
  <c r="H90" i="5"/>
  <c r="G90" i="5"/>
  <c r="H71" i="5"/>
  <c r="G71" i="5"/>
  <c r="H69" i="5"/>
  <c r="G69" i="5"/>
  <c r="H51" i="5"/>
  <c r="G51" i="5"/>
  <c r="H47" i="5"/>
  <c r="G47" i="5"/>
  <c r="H42" i="5"/>
  <c r="G42" i="5"/>
  <c r="H33" i="5"/>
  <c r="G33" i="5"/>
  <c r="H24" i="5"/>
  <c r="G24" i="5"/>
  <c r="H13" i="5"/>
  <c r="G13" i="5"/>
  <c r="H93" i="5"/>
  <c r="G93" i="5"/>
  <c r="G11" i="5"/>
  <c r="H11" i="5"/>
  <c r="G80" i="5"/>
  <c r="H80" i="5"/>
  <c r="G77" i="5"/>
  <c r="H77" i="5"/>
  <c r="G50" i="5"/>
  <c r="H50" i="5"/>
  <c r="G31" i="5"/>
  <c r="H31" i="5"/>
  <c r="G18" i="5"/>
  <c r="H18" i="5"/>
  <c r="G89" i="5"/>
  <c r="H89" i="5"/>
  <c r="G70" i="5"/>
  <c r="H70" i="5"/>
  <c r="H54" i="5"/>
  <c r="G54" i="5"/>
  <c r="H34" i="5"/>
  <c r="G34" i="5"/>
  <c r="H21" i="5"/>
  <c r="G21" i="5"/>
  <c r="H43" i="5"/>
  <c r="G43" i="5"/>
  <c r="H96" i="5"/>
  <c r="G96" i="5"/>
  <c r="H84" i="5"/>
  <c r="G84" i="5"/>
  <c r="H61" i="5"/>
  <c r="G61" i="5"/>
  <c r="H38" i="5"/>
  <c r="G38" i="5"/>
  <c r="H19" i="5"/>
  <c r="G19" i="5"/>
  <c r="H97" i="5"/>
  <c r="G97" i="5"/>
  <c r="H67" i="5"/>
  <c r="G67" i="5"/>
  <c r="H56" i="5"/>
  <c r="G56" i="5"/>
  <c r="H46" i="5"/>
  <c r="G46" i="5"/>
  <c r="H7" i="5"/>
  <c r="G7" i="5"/>
  <c r="H98" i="5"/>
  <c r="G98" i="5"/>
  <c r="H49" i="5"/>
  <c r="G49" i="5"/>
  <c r="H29" i="5"/>
  <c r="G29" i="5"/>
  <c r="G5" i="5"/>
  <c r="H5" i="5"/>
  <c r="H83" i="5"/>
  <c r="G83" i="5"/>
  <c r="G86" i="5"/>
  <c r="H86" i="5"/>
  <c r="H74" i="5"/>
  <c r="G74" i="5"/>
  <c r="H68" i="5"/>
  <c r="G68" i="5"/>
  <c r="H62" i="5"/>
  <c r="G62" i="5"/>
  <c r="H58" i="5"/>
  <c r="G58" i="5"/>
  <c r="H36" i="5"/>
  <c r="G36" i="5"/>
  <c r="H25" i="5"/>
  <c r="G25" i="5"/>
  <c r="H17" i="5"/>
  <c r="G17" i="5"/>
  <c r="H12" i="5"/>
  <c r="G12" i="5"/>
  <c r="H88" i="5"/>
  <c r="G88" i="5"/>
  <c r="H87" i="5"/>
  <c r="G87" i="5"/>
  <c r="H82" i="5"/>
  <c r="G82" i="5"/>
  <c r="H52" i="5"/>
  <c r="G52" i="5"/>
  <c r="H59" i="5"/>
  <c r="G59" i="5"/>
  <c r="H45" i="5"/>
  <c r="G45" i="5"/>
  <c r="H39" i="5"/>
  <c r="G39" i="5"/>
  <c r="H35" i="5"/>
  <c r="G35" i="5"/>
  <c r="G26" i="5"/>
  <c r="H26" i="5"/>
  <c r="H16" i="5"/>
  <c r="G16" i="5"/>
  <c r="H3" i="4"/>
  <c r="H18" i="4"/>
  <c r="H34" i="4"/>
  <c r="H32" i="4"/>
  <c r="H39" i="4"/>
  <c r="H48" i="4"/>
  <c r="H54" i="4"/>
  <c r="H62" i="4"/>
  <c r="H24" i="4"/>
  <c r="H20" i="4"/>
  <c r="BC4" i="4"/>
  <c r="BC5" i="4"/>
  <c r="BC8" i="4"/>
  <c r="BC7" i="4"/>
  <c r="BC15" i="4"/>
  <c r="BC9" i="4"/>
  <c r="BC12" i="4"/>
  <c r="BC11" i="4"/>
  <c r="BC10" i="4"/>
  <c r="BC14" i="4"/>
  <c r="BC13" i="4"/>
  <c r="BC17" i="4"/>
  <c r="BC19" i="4"/>
  <c r="BC18" i="4"/>
  <c r="BC16" i="4"/>
  <c r="BC21" i="4"/>
  <c r="BC20" i="4"/>
  <c r="BC22" i="4"/>
  <c r="BC23" i="4"/>
  <c r="BC31" i="4"/>
  <c r="BC28" i="4"/>
  <c r="BC24" i="4"/>
  <c r="BC27" i="4"/>
  <c r="BC26" i="4"/>
  <c r="BC34" i="4"/>
  <c r="BC29" i="4"/>
  <c r="BC33" i="4"/>
  <c r="BC32" i="4"/>
  <c r="BC36" i="4"/>
  <c r="BC30" i="4"/>
  <c r="BC25" i="4"/>
  <c r="BC6" i="4"/>
  <c r="BC35" i="4"/>
  <c r="BC37" i="4"/>
  <c r="BC41" i="4"/>
  <c r="BC40" i="4"/>
  <c r="BC38" i="4"/>
  <c r="BC39" i="4"/>
  <c r="BC47" i="4"/>
  <c r="BC44" i="4"/>
  <c r="BC43" i="4"/>
  <c r="BC42" i="4"/>
  <c r="BC46" i="4"/>
  <c r="BC48" i="4"/>
  <c r="BC54" i="4"/>
  <c r="BC45" i="4"/>
  <c r="BC49" i="4"/>
  <c r="BC53" i="4"/>
  <c r="BC61" i="4"/>
  <c r="BC51" i="4"/>
  <c r="BC55" i="4"/>
  <c r="BC57" i="4"/>
  <c r="BC50" i="4"/>
  <c r="BC60" i="4"/>
  <c r="BC63" i="4"/>
  <c r="BC52" i="4"/>
  <c r="BC59" i="4"/>
  <c r="BC62" i="4"/>
  <c r="BC56" i="4"/>
  <c r="BC58" i="4"/>
  <c r="BC65" i="4"/>
  <c r="BC66" i="4"/>
  <c r="BC64" i="4"/>
  <c r="BC67" i="4"/>
  <c r="BC69" i="4"/>
  <c r="BC68" i="4"/>
  <c r="BC70" i="4"/>
  <c r="BC74" i="4"/>
  <c r="BC72" i="4"/>
  <c r="BC71" i="4"/>
  <c r="BC75" i="4"/>
  <c r="BC73" i="4"/>
  <c r="AY73" i="4"/>
  <c r="AZ73" i="4" s="1"/>
  <c r="AY75" i="4"/>
  <c r="BA75" i="4" s="1"/>
  <c r="AY71" i="4"/>
  <c r="BA71" i="4" s="1"/>
  <c r="AY72" i="4"/>
  <c r="AZ72" i="4" s="1"/>
  <c r="AY74" i="4"/>
  <c r="AZ74" i="4" s="1"/>
  <c r="AY70" i="4"/>
  <c r="BA70" i="4" s="1"/>
  <c r="AY68" i="4"/>
  <c r="BA68" i="4" s="1"/>
  <c r="AY69" i="4"/>
  <c r="AZ69" i="4" s="1"/>
  <c r="AY67" i="4"/>
  <c r="BA67" i="4" s="1"/>
  <c r="AY64" i="4"/>
  <c r="BA64" i="4" s="1"/>
  <c r="AY66" i="4"/>
  <c r="BA66" i="4" s="1"/>
  <c r="AY65" i="4"/>
  <c r="AZ65" i="4" s="1"/>
  <c r="AY58" i="4"/>
  <c r="BA58" i="4" s="1"/>
  <c r="AY56" i="4"/>
  <c r="BA56" i="4" s="1"/>
  <c r="AY62" i="4"/>
  <c r="BA62" i="4" s="1"/>
  <c r="AY59" i="4"/>
  <c r="AZ59" i="4" s="1"/>
  <c r="AY52" i="4"/>
  <c r="BA52" i="4" s="1"/>
  <c r="AY63" i="4"/>
  <c r="BA63" i="4" s="1"/>
  <c r="AY60" i="4"/>
  <c r="BA60" i="4" s="1"/>
  <c r="AY50" i="4"/>
  <c r="AZ50" i="4" s="1"/>
  <c r="AY57" i="4"/>
  <c r="AZ57" i="4" s="1"/>
  <c r="AY55" i="4"/>
  <c r="BA55" i="4" s="1"/>
  <c r="AY51" i="4"/>
  <c r="BA51" i="4" s="1"/>
  <c r="AY61" i="4"/>
  <c r="AZ61" i="4" s="1"/>
  <c r="AY53" i="4"/>
  <c r="BA53" i="4" s="1"/>
  <c r="AY49" i="4"/>
  <c r="BA49" i="4" s="1"/>
  <c r="AY45" i="4"/>
  <c r="BA45" i="4" s="1"/>
  <c r="AY54" i="4"/>
  <c r="AZ54" i="4" s="1"/>
  <c r="AY48" i="4"/>
  <c r="BA48" i="4" s="1"/>
  <c r="AY46" i="4"/>
  <c r="BA46" i="4" s="1"/>
  <c r="AY42" i="4"/>
  <c r="BA42" i="4" s="1"/>
  <c r="AY43" i="4"/>
  <c r="AZ43" i="4" s="1"/>
  <c r="AY44" i="4"/>
  <c r="AZ44" i="4" s="1"/>
  <c r="AY47" i="4"/>
  <c r="BA47" i="4" s="1"/>
  <c r="AY39" i="4"/>
  <c r="BA39" i="4" s="1"/>
  <c r="AY38" i="4"/>
  <c r="AZ38" i="4" s="1"/>
  <c r="AY40" i="4"/>
  <c r="AZ40" i="4" s="1"/>
  <c r="AY41" i="4"/>
  <c r="BA41" i="4" s="1"/>
  <c r="AY37" i="4"/>
  <c r="BA37" i="4" s="1"/>
  <c r="AY35" i="4"/>
  <c r="AZ35" i="4" s="1"/>
  <c r="AY6" i="4"/>
  <c r="BA6" i="4" s="1"/>
  <c r="AY25" i="4"/>
  <c r="BA25" i="4" s="1"/>
  <c r="AY30" i="4"/>
  <c r="BA30" i="4" s="1"/>
  <c r="AY36" i="4"/>
  <c r="AZ36" i="4" s="1"/>
  <c r="AY32" i="4"/>
  <c r="BA32" i="4" s="1"/>
  <c r="AY33" i="4"/>
  <c r="BA33" i="4" s="1"/>
  <c r="AY29" i="4"/>
  <c r="BA29" i="4" s="1"/>
  <c r="AY34" i="4"/>
  <c r="AZ34" i="4" s="1"/>
  <c r="AY26" i="4"/>
  <c r="BA26" i="4" s="1"/>
  <c r="AY27" i="4"/>
  <c r="BA27" i="4" s="1"/>
  <c r="AY24" i="4"/>
  <c r="BA24" i="4" s="1"/>
  <c r="AY28" i="4"/>
  <c r="AZ28" i="4" s="1"/>
  <c r="AY31" i="4"/>
  <c r="AZ31" i="4" s="1"/>
  <c r="AY23" i="4"/>
  <c r="AZ23" i="4" s="1"/>
  <c r="AY22" i="4"/>
  <c r="BA22" i="4" s="1"/>
  <c r="AY20" i="4"/>
  <c r="AZ20" i="4" s="1"/>
  <c r="AY21" i="4"/>
  <c r="BA21" i="4" s="1"/>
  <c r="AY16" i="4"/>
  <c r="AZ16" i="4" s="1"/>
  <c r="AY18" i="4"/>
  <c r="BA18" i="4" s="1"/>
  <c r="AY19" i="4"/>
  <c r="AZ19" i="4" s="1"/>
  <c r="AY17" i="4"/>
  <c r="BA17" i="4" s="1"/>
  <c r="AY13" i="4"/>
  <c r="AZ13" i="4" s="1"/>
  <c r="AY14" i="4"/>
  <c r="BA14" i="4" s="1"/>
  <c r="AY10" i="4"/>
  <c r="AZ10" i="4" s="1"/>
  <c r="AY11" i="4"/>
  <c r="AZ11" i="4" s="1"/>
  <c r="AY12" i="4"/>
  <c r="BA12" i="4" s="1"/>
  <c r="AY9" i="4"/>
  <c r="BA9" i="4" s="1"/>
  <c r="AY15" i="4"/>
  <c r="AZ15" i="4" s="1"/>
  <c r="AY7" i="4"/>
  <c r="AZ7" i="4" s="1"/>
  <c r="AY8" i="4"/>
  <c r="BA8" i="4" s="1"/>
  <c r="AY5" i="4"/>
  <c r="BA5" i="4" s="1"/>
  <c r="AY4" i="4"/>
  <c r="AZ4" i="4" s="1"/>
  <c r="AY3" i="4"/>
  <c r="BA3" i="4" s="1"/>
  <c r="AT73" i="4"/>
  <c r="AV73" i="4" s="1"/>
  <c r="AT75" i="4"/>
  <c r="AV75" i="4" s="1"/>
  <c r="AT71" i="4"/>
  <c r="AV71" i="4" s="1"/>
  <c r="AT72" i="4"/>
  <c r="AU72" i="4" s="1"/>
  <c r="AT74" i="4"/>
  <c r="AV74" i="4" s="1"/>
  <c r="AT70" i="4"/>
  <c r="AV70" i="4" s="1"/>
  <c r="AT68" i="4"/>
  <c r="AV68" i="4" s="1"/>
  <c r="AT69" i="4"/>
  <c r="AU69" i="4" s="1"/>
  <c r="AT67" i="4"/>
  <c r="AV67" i="4" s="1"/>
  <c r="AT64" i="4"/>
  <c r="AV64" i="4" s="1"/>
  <c r="AT66" i="4"/>
  <c r="AV66" i="4" s="1"/>
  <c r="AT65" i="4"/>
  <c r="AU65" i="4" s="1"/>
  <c r="AT58" i="4"/>
  <c r="AV58" i="4" s="1"/>
  <c r="AT56" i="4"/>
  <c r="AV56" i="4" s="1"/>
  <c r="AT62" i="4"/>
  <c r="AV62" i="4" s="1"/>
  <c r="AT59" i="4"/>
  <c r="AU59" i="4" s="1"/>
  <c r="AT52" i="4"/>
  <c r="AV52" i="4" s="1"/>
  <c r="AT63" i="4"/>
  <c r="AV63" i="4" s="1"/>
  <c r="AT60" i="4"/>
  <c r="AV60" i="4" s="1"/>
  <c r="AT50" i="4"/>
  <c r="AU50" i="4" s="1"/>
  <c r="AT57" i="4"/>
  <c r="AV57" i="4" s="1"/>
  <c r="AT55" i="4"/>
  <c r="AV55" i="4" s="1"/>
  <c r="AT51" i="4"/>
  <c r="AV51" i="4" s="1"/>
  <c r="AT61" i="4"/>
  <c r="AU61" i="4" s="1"/>
  <c r="AT53" i="4"/>
  <c r="AV53" i="4" s="1"/>
  <c r="AT49" i="4"/>
  <c r="AV49" i="4" s="1"/>
  <c r="AT45" i="4"/>
  <c r="AV45" i="4" s="1"/>
  <c r="AT54" i="4"/>
  <c r="AU54" i="4" s="1"/>
  <c r="AT48" i="4"/>
  <c r="AV48" i="4" s="1"/>
  <c r="AT46" i="4"/>
  <c r="AV46" i="4" s="1"/>
  <c r="AT42" i="4"/>
  <c r="AV42" i="4" s="1"/>
  <c r="AT43" i="4"/>
  <c r="AU43" i="4" s="1"/>
  <c r="AT44" i="4"/>
  <c r="AV44" i="4" s="1"/>
  <c r="AT47" i="4"/>
  <c r="AV47" i="4" s="1"/>
  <c r="AT39" i="4"/>
  <c r="AV39" i="4" s="1"/>
  <c r="AT38" i="4"/>
  <c r="AU38" i="4" s="1"/>
  <c r="AT40" i="4"/>
  <c r="AV40" i="4" s="1"/>
  <c r="AT41" i="4"/>
  <c r="AV41" i="4" s="1"/>
  <c r="AT37" i="4"/>
  <c r="AV37" i="4" s="1"/>
  <c r="AT35" i="4"/>
  <c r="AU35" i="4" s="1"/>
  <c r="AT6" i="4"/>
  <c r="AV6" i="4" s="1"/>
  <c r="AT25" i="4"/>
  <c r="AV25" i="4" s="1"/>
  <c r="AT30" i="4"/>
  <c r="AV30" i="4" s="1"/>
  <c r="AT36" i="4"/>
  <c r="AU36" i="4" s="1"/>
  <c r="AT32" i="4"/>
  <c r="AV32" i="4" s="1"/>
  <c r="AT33" i="4"/>
  <c r="AV33" i="4" s="1"/>
  <c r="AT29" i="4"/>
  <c r="AV29" i="4" s="1"/>
  <c r="AT34" i="4"/>
  <c r="AU34" i="4" s="1"/>
  <c r="AT26" i="4"/>
  <c r="AV26" i="4" s="1"/>
  <c r="AT27" i="4"/>
  <c r="AV27" i="4" s="1"/>
  <c r="AT24" i="4"/>
  <c r="AV24" i="4" s="1"/>
  <c r="AT28" i="4"/>
  <c r="AU28" i="4" s="1"/>
  <c r="AT31" i="4"/>
  <c r="AV31" i="4" s="1"/>
  <c r="AT23" i="4"/>
  <c r="AV23" i="4" s="1"/>
  <c r="AT22" i="4"/>
  <c r="AV22" i="4" s="1"/>
  <c r="AT20" i="4"/>
  <c r="AU20" i="4" s="1"/>
  <c r="AT21" i="4"/>
  <c r="AV21" i="4" s="1"/>
  <c r="AT16" i="4"/>
  <c r="AV16" i="4" s="1"/>
  <c r="AT18" i="4"/>
  <c r="AV18" i="4" s="1"/>
  <c r="AT19" i="4"/>
  <c r="AU19" i="4" s="1"/>
  <c r="AT17" i="4"/>
  <c r="AV17" i="4" s="1"/>
  <c r="AT13" i="4"/>
  <c r="AV13" i="4" s="1"/>
  <c r="AT14" i="4"/>
  <c r="AV14" i="4" s="1"/>
  <c r="AT10" i="4"/>
  <c r="AU10" i="4" s="1"/>
  <c r="AT11" i="4"/>
  <c r="AV11" i="4" s="1"/>
  <c r="AT12" i="4"/>
  <c r="AV12" i="4" s="1"/>
  <c r="AT9" i="4"/>
  <c r="AV9" i="4" s="1"/>
  <c r="AT15" i="4"/>
  <c r="AU15" i="4" s="1"/>
  <c r="AT7" i="4"/>
  <c r="AV7" i="4" s="1"/>
  <c r="AT8" i="4"/>
  <c r="AV8" i="4" s="1"/>
  <c r="AT5" i="4"/>
  <c r="AV5" i="4" s="1"/>
  <c r="AT4" i="4"/>
  <c r="AU4" i="4" s="1"/>
  <c r="AT3" i="4"/>
  <c r="AV3" i="4" s="1"/>
  <c r="AO73" i="4"/>
  <c r="AQ73" i="4" s="1"/>
  <c r="AO75" i="4"/>
  <c r="AQ75" i="4" s="1"/>
  <c r="AO71" i="4"/>
  <c r="AQ71" i="4" s="1"/>
  <c r="AO72" i="4"/>
  <c r="AP72" i="4" s="1"/>
  <c r="AO74" i="4"/>
  <c r="AQ74" i="4" s="1"/>
  <c r="AO70" i="4"/>
  <c r="AQ70" i="4" s="1"/>
  <c r="AO68" i="4"/>
  <c r="AQ68" i="4" s="1"/>
  <c r="AO69" i="4"/>
  <c r="AP69" i="4" s="1"/>
  <c r="AO67" i="4"/>
  <c r="AQ67" i="4" s="1"/>
  <c r="AO64" i="4"/>
  <c r="AQ64" i="4" s="1"/>
  <c r="AO66" i="4"/>
  <c r="AQ66" i="4" s="1"/>
  <c r="AO65" i="4"/>
  <c r="AP65" i="4" s="1"/>
  <c r="AO58" i="4"/>
  <c r="AQ58" i="4" s="1"/>
  <c r="AO56" i="4"/>
  <c r="AQ56" i="4" s="1"/>
  <c r="AO62" i="4"/>
  <c r="AQ62" i="4" s="1"/>
  <c r="AO59" i="4"/>
  <c r="AP59" i="4" s="1"/>
  <c r="AO52" i="4"/>
  <c r="AQ52" i="4" s="1"/>
  <c r="AO63" i="4"/>
  <c r="AQ63" i="4" s="1"/>
  <c r="AO60" i="4"/>
  <c r="AQ60" i="4" s="1"/>
  <c r="AO50" i="4"/>
  <c r="AP50" i="4" s="1"/>
  <c r="AO57" i="4"/>
  <c r="AQ57" i="4" s="1"/>
  <c r="AO55" i="4"/>
  <c r="AQ55" i="4" s="1"/>
  <c r="AO51" i="4"/>
  <c r="AQ51" i="4" s="1"/>
  <c r="AO61" i="4"/>
  <c r="AP61" i="4" s="1"/>
  <c r="AO53" i="4"/>
  <c r="AQ53" i="4" s="1"/>
  <c r="AO49" i="4"/>
  <c r="AQ49" i="4" s="1"/>
  <c r="AO45" i="4"/>
  <c r="AQ45" i="4" s="1"/>
  <c r="AO54" i="4"/>
  <c r="AP54" i="4" s="1"/>
  <c r="AO48" i="4"/>
  <c r="AQ48" i="4" s="1"/>
  <c r="AO46" i="4"/>
  <c r="AQ46" i="4" s="1"/>
  <c r="AO42" i="4"/>
  <c r="AQ42" i="4" s="1"/>
  <c r="AO43" i="4"/>
  <c r="AP43" i="4" s="1"/>
  <c r="AO44" i="4"/>
  <c r="AQ44" i="4" s="1"/>
  <c r="AO47" i="4"/>
  <c r="AQ47" i="4" s="1"/>
  <c r="AO39" i="4"/>
  <c r="AQ39" i="4" s="1"/>
  <c r="AO38" i="4"/>
  <c r="AP38" i="4" s="1"/>
  <c r="AO40" i="4"/>
  <c r="AQ40" i="4" s="1"/>
  <c r="AO41" i="4"/>
  <c r="AQ41" i="4" s="1"/>
  <c r="AO37" i="4"/>
  <c r="AQ37" i="4" s="1"/>
  <c r="AO35" i="4"/>
  <c r="AP35" i="4" s="1"/>
  <c r="AO6" i="4"/>
  <c r="AQ6" i="4" s="1"/>
  <c r="AO25" i="4"/>
  <c r="AQ25" i="4" s="1"/>
  <c r="AO30" i="4"/>
  <c r="AQ30" i="4" s="1"/>
  <c r="AO36" i="4"/>
  <c r="AP36" i="4" s="1"/>
  <c r="AO32" i="4"/>
  <c r="AQ32" i="4" s="1"/>
  <c r="AO33" i="4"/>
  <c r="AQ33" i="4" s="1"/>
  <c r="AO29" i="4"/>
  <c r="AQ29" i="4" s="1"/>
  <c r="AO34" i="4"/>
  <c r="AP34" i="4" s="1"/>
  <c r="AO26" i="4"/>
  <c r="AQ26" i="4" s="1"/>
  <c r="AO27" i="4"/>
  <c r="AQ27" i="4" s="1"/>
  <c r="AO24" i="4"/>
  <c r="AQ24" i="4" s="1"/>
  <c r="AO28" i="4"/>
  <c r="AP28" i="4" s="1"/>
  <c r="AO31" i="4"/>
  <c r="AQ31" i="4" s="1"/>
  <c r="AO23" i="4"/>
  <c r="AQ23" i="4" s="1"/>
  <c r="AO22" i="4"/>
  <c r="AQ22" i="4" s="1"/>
  <c r="AO20" i="4"/>
  <c r="AP20" i="4" s="1"/>
  <c r="AO21" i="4"/>
  <c r="AQ21" i="4" s="1"/>
  <c r="AO16" i="4"/>
  <c r="AQ16" i="4" s="1"/>
  <c r="AO18" i="4"/>
  <c r="AQ18" i="4" s="1"/>
  <c r="AO19" i="4"/>
  <c r="AP19" i="4" s="1"/>
  <c r="AO17" i="4"/>
  <c r="AQ17" i="4" s="1"/>
  <c r="AO13" i="4"/>
  <c r="AQ13" i="4" s="1"/>
  <c r="AO14" i="4"/>
  <c r="AQ14" i="4" s="1"/>
  <c r="AO10" i="4"/>
  <c r="AP10" i="4" s="1"/>
  <c r="AO11" i="4"/>
  <c r="AQ11" i="4" s="1"/>
  <c r="AO12" i="4"/>
  <c r="AQ12" i="4" s="1"/>
  <c r="AO9" i="4"/>
  <c r="AQ9" i="4" s="1"/>
  <c r="AO15" i="4"/>
  <c r="AP15" i="4" s="1"/>
  <c r="AO7" i="4"/>
  <c r="AQ7" i="4" s="1"/>
  <c r="AO8" i="4"/>
  <c r="AQ8" i="4" s="1"/>
  <c r="AO5" i="4"/>
  <c r="AQ5" i="4" s="1"/>
  <c r="AO4" i="4"/>
  <c r="AP4" i="4" s="1"/>
  <c r="AO3" i="4"/>
  <c r="AQ3" i="4" s="1"/>
  <c r="AJ73" i="4"/>
  <c r="AL73" i="4" s="1"/>
  <c r="AJ75" i="4"/>
  <c r="AK75" i="4" s="1"/>
  <c r="AJ71" i="4"/>
  <c r="AL71" i="4" s="1"/>
  <c r="AJ72" i="4"/>
  <c r="AK72" i="4" s="1"/>
  <c r="AJ74" i="4"/>
  <c r="AL74" i="4" s="1"/>
  <c r="AJ70" i="4"/>
  <c r="AK70" i="4" s="1"/>
  <c r="AJ68" i="4"/>
  <c r="AL68" i="4" s="1"/>
  <c r="AJ69" i="4"/>
  <c r="AK69" i="4" s="1"/>
  <c r="AJ67" i="4"/>
  <c r="AL67" i="4" s="1"/>
  <c r="AJ64" i="4"/>
  <c r="AK64" i="4" s="1"/>
  <c r="AJ66" i="4"/>
  <c r="AL66" i="4" s="1"/>
  <c r="AJ65" i="4"/>
  <c r="AK65" i="4" s="1"/>
  <c r="AJ58" i="4"/>
  <c r="AL58" i="4" s="1"/>
  <c r="AJ56" i="4"/>
  <c r="AL56" i="4" s="1"/>
  <c r="AJ62" i="4"/>
  <c r="AL62" i="4" s="1"/>
  <c r="AJ59" i="4"/>
  <c r="AK59" i="4" s="1"/>
  <c r="AJ52" i="4"/>
  <c r="AK52" i="4" s="1"/>
  <c r="AJ63" i="4"/>
  <c r="AK63" i="4" s="1"/>
  <c r="AJ60" i="4"/>
  <c r="AL60" i="4" s="1"/>
  <c r="AJ50" i="4"/>
  <c r="AK50" i="4" s="1"/>
  <c r="AJ57" i="4"/>
  <c r="AL57" i="4" s="1"/>
  <c r="AJ55" i="4"/>
  <c r="AL55" i="4" s="1"/>
  <c r="AJ51" i="4"/>
  <c r="AL51" i="4" s="1"/>
  <c r="AJ61" i="4"/>
  <c r="AK61" i="4" s="1"/>
  <c r="AJ53" i="4"/>
  <c r="AL53" i="4" s="1"/>
  <c r="AJ49" i="4"/>
  <c r="AL49" i="4" s="1"/>
  <c r="AJ45" i="4"/>
  <c r="AL45" i="4" s="1"/>
  <c r="AJ54" i="4"/>
  <c r="AK54" i="4" s="1"/>
  <c r="AJ48" i="4"/>
  <c r="AK48" i="4" s="1"/>
  <c r="AJ46" i="4"/>
  <c r="AL46" i="4" s="1"/>
  <c r="AJ42" i="4"/>
  <c r="AL42" i="4" s="1"/>
  <c r="AJ43" i="4"/>
  <c r="AK43" i="4" s="1"/>
  <c r="AJ44" i="4"/>
  <c r="AK44" i="4" s="1"/>
  <c r="AJ47" i="4"/>
  <c r="AK47" i="4" s="1"/>
  <c r="AJ39" i="4"/>
  <c r="AL39" i="4" s="1"/>
  <c r="AJ38" i="4"/>
  <c r="AK38" i="4" s="1"/>
  <c r="AJ40" i="4"/>
  <c r="AL40" i="4" s="1"/>
  <c r="AJ41" i="4"/>
  <c r="AK41" i="4" s="1"/>
  <c r="AJ37" i="4"/>
  <c r="AL37" i="4" s="1"/>
  <c r="AJ35" i="4"/>
  <c r="AK35" i="4" s="1"/>
  <c r="AJ6" i="4"/>
  <c r="AL6" i="4" s="1"/>
  <c r="AJ25" i="4"/>
  <c r="AL25" i="4" s="1"/>
  <c r="AJ30" i="4"/>
  <c r="AL30" i="4" s="1"/>
  <c r="AJ36" i="4"/>
  <c r="AK36" i="4" s="1"/>
  <c r="AJ32" i="4"/>
  <c r="AL32" i="4" s="1"/>
  <c r="AJ33" i="4"/>
  <c r="AL33" i="4" s="1"/>
  <c r="AJ29" i="4"/>
  <c r="AL29" i="4" s="1"/>
  <c r="AJ34" i="4"/>
  <c r="AK34" i="4" s="1"/>
  <c r="AJ26" i="4"/>
  <c r="AK26" i="4" s="1"/>
  <c r="AJ27" i="4"/>
  <c r="AL27" i="4" s="1"/>
  <c r="AJ24" i="4"/>
  <c r="AL24" i="4" s="1"/>
  <c r="AJ28" i="4"/>
  <c r="AK28" i="4" s="1"/>
  <c r="AJ31" i="4"/>
  <c r="AL31" i="4" s="1"/>
  <c r="AJ23" i="4"/>
  <c r="AK23" i="4" s="1"/>
  <c r="AJ22" i="4"/>
  <c r="AL22" i="4" s="1"/>
  <c r="AJ20" i="4"/>
  <c r="AK20" i="4" s="1"/>
  <c r="AJ21" i="4"/>
  <c r="AL21" i="4" s="1"/>
  <c r="AJ16" i="4"/>
  <c r="AK16" i="4" s="1"/>
  <c r="AJ18" i="4"/>
  <c r="AL18" i="4" s="1"/>
  <c r="AJ19" i="4"/>
  <c r="AK19" i="4" s="1"/>
  <c r="AJ17" i="4"/>
  <c r="AL17" i="4" s="1"/>
  <c r="AJ13" i="4"/>
  <c r="AK13" i="4" s="1"/>
  <c r="AJ14" i="4"/>
  <c r="AL14" i="4" s="1"/>
  <c r="AJ10" i="4"/>
  <c r="AK10" i="4" s="1"/>
  <c r="AJ11" i="4"/>
  <c r="AK11" i="4" s="1"/>
  <c r="AJ12" i="4"/>
  <c r="AK12" i="4" s="1"/>
  <c r="AJ9" i="4"/>
  <c r="AL9" i="4" s="1"/>
  <c r="AJ15" i="4"/>
  <c r="AK15" i="4" s="1"/>
  <c r="AJ7" i="4"/>
  <c r="AL7" i="4" s="1"/>
  <c r="AJ8" i="4"/>
  <c r="AK8" i="4" s="1"/>
  <c r="AJ5" i="4"/>
  <c r="AL5" i="4" s="1"/>
  <c r="AJ4" i="4"/>
  <c r="AK4" i="4" s="1"/>
  <c r="AJ3" i="4"/>
  <c r="AL3" i="4" s="1"/>
  <c r="AE73" i="4"/>
  <c r="AG73" i="4" s="1"/>
  <c r="AE75" i="4"/>
  <c r="AF75" i="4" s="1"/>
  <c r="AE71" i="4"/>
  <c r="AG71" i="4" s="1"/>
  <c r="AE72" i="4"/>
  <c r="AF72" i="4" s="1"/>
  <c r="AE74" i="4"/>
  <c r="AF74" i="4" s="1"/>
  <c r="AE70" i="4"/>
  <c r="AG70" i="4" s="1"/>
  <c r="AE68" i="4"/>
  <c r="AG68" i="4" s="1"/>
  <c r="AE69" i="4"/>
  <c r="AF69" i="4" s="1"/>
  <c r="AE67" i="4"/>
  <c r="AG67" i="4" s="1"/>
  <c r="AE64" i="4"/>
  <c r="AF64" i="4" s="1"/>
  <c r="AE66" i="4"/>
  <c r="AG66" i="4" s="1"/>
  <c r="AE65" i="4"/>
  <c r="AF65" i="4" s="1"/>
  <c r="AE58" i="4"/>
  <c r="AG58" i="4" s="1"/>
  <c r="AE56" i="4"/>
  <c r="AF56" i="4" s="1"/>
  <c r="AE62" i="4"/>
  <c r="AG62" i="4" s="1"/>
  <c r="AE59" i="4"/>
  <c r="AF59" i="4" s="1"/>
  <c r="AE52" i="4"/>
  <c r="AG52" i="4" s="1"/>
  <c r="AE63" i="4"/>
  <c r="AG63" i="4" s="1"/>
  <c r="AE60" i="4"/>
  <c r="AG60" i="4" s="1"/>
  <c r="AE50" i="4"/>
  <c r="AF50" i="4" s="1"/>
  <c r="AE57" i="4"/>
  <c r="AG57" i="4" s="1"/>
  <c r="AE55" i="4"/>
  <c r="AG55" i="4" s="1"/>
  <c r="AE51" i="4"/>
  <c r="AG51" i="4" s="1"/>
  <c r="AE61" i="4"/>
  <c r="AF61" i="4" s="1"/>
  <c r="AE53" i="4"/>
  <c r="AG53" i="4" s="1"/>
  <c r="AE49" i="4"/>
  <c r="AF49" i="4" s="1"/>
  <c r="AE45" i="4"/>
  <c r="AG45" i="4" s="1"/>
  <c r="AE54" i="4"/>
  <c r="AF54" i="4" s="1"/>
  <c r="AE48" i="4"/>
  <c r="AF48" i="4" s="1"/>
  <c r="AE46" i="4"/>
  <c r="AG46" i="4" s="1"/>
  <c r="AE42" i="4"/>
  <c r="AG42" i="4" s="1"/>
  <c r="AE43" i="4"/>
  <c r="AF43" i="4" s="1"/>
  <c r="AE44" i="4"/>
  <c r="AF44" i="4" s="1"/>
  <c r="AE47" i="4"/>
  <c r="AG47" i="4" s="1"/>
  <c r="AE39" i="4"/>
  <c r="AG39" i="4" s="1"/>
  <c r="AE38" i="4"/>
  <c r="AF38" i="4" s="1"/>
  <c r="AE40" i="4"/>
  <c r="AG40" i="4" s="1"/>
  <c r="AE41" i="4"/>
  <c r="AG41" i="4" s="1"/>
  <c r="AE37" i="4"/>
  <c r="AG37" i="4" s="1"/>
  <c r="AE35" i="4"/>
  <c r="AF35" i="4" s="1"/>
  <c r="AE6" i="4"/>
  <c r="AG6" i="4" s="1"/>
  <c r="AE25" i="4"/>
  <c r="AG25" i="4" s="1"/>
  <c r="AE30" i="4"/>
  <c r="AG30" i="4" s="1"/>
  <c r="AE36" i="4"/>
  <c r="AF36" i="4" s="1"/>
  <c r="AE32" i="4"/>
  <c r="AF32" i="4" s="1"/>
  <c r="AE33" i="4"/>
  <c r="AG33" i="4" s="1"/>
  <c r="AE29" i="4"/>
  <c r="AG29" i="4" s="1"/>
  <c r="AE34" i="4"/>
  <c r="AF34" i="4" s="1"/>
  <c r="AE26" i="4"/>
  <c r="AG26" i="4" s="1"/>
  <c r="AE27" i="4"/>
  <c r="AF27" i="4" s="1"/>
  <c r="AE24" i="4"/>
  <c r="AG24" i="4" s="1"/>
  <c r="AE28" i="4"/>
  <c r="AF28" i="4" s="1"/>
  <c r="AE31" i="4"/>
  <c r="AG31" i="4" s="1"/>
  <c r="AE23" i="4"/>
  <c r="AF23" i="4" s="1"/>
  <c r="AE22" i="4"/>
  <c r="AG22" i="4" s="1"/>
  <c r="AE20" i="4"/>
  <c r="AF20" i="4" s="1"/>
  <c r="AE21" i="4"/>
  <c r="AG21" i="4" s="1"/>
  <c r="AE16" i="4"/>
  <c r="AG16" i="4" s="1"/>
  <c r="AE18" i="4"/>
  <c r="AG18" i="4" s="1"/>
  <c r="AE19" i="4"/>
  <c r="AF19" i="4" s="1"/>
  <c r="AE17" i="4"/>
  <c r="AF17" i="4" s="1"/>
  <c r="AE13" i="4"/>
  <c r="AG13" i="4" s="1"/>
  <c r="AE14" i="4"/>
  <c r="AG14" i="4" s="1"/>
  <c r="AE10" i="4"/>
  <c r="AF10" i="4" s="1"/>
  <c r="AE11" i="4"/>
  <c r="AF11" i="4" s="1"/>
  <c r="AE12" i="4"/>
  <c r="AG12" i="4" s="1"/>
  <c r="AE9" i="4"/>
  <c r="AG9" i="4" s="1"/>
  <c r="AE15" i="4"/>
  <c r="AF15" i="4" s="1"/>
  <c r="AE7" i="4"/>
  <c r="AG7" i="4" s="1"/>
  <c r="AE8" i="4"/>
  <c r="AF8" i="4" s="1"/>
  <c r="AE5" i="4"/>
  <c r="AG5" i="4" s="1"/>
  <c r="AE4" i="4"/>
  <c r="AF4" i="4" s="1"/>
  <c r="AE3" i="4"/>
  <c r="AG3" i="4" s="1"/>
  <c r="Z73" i="4"/>
  <c r="AB73" i="4" s="1"/>
  <c r="Z75" i="4"/>
  <c r="Z71" i="4"/>
  <c r="AB71" i="4" s="1"/>
  <c r="Z72" i="4"/>
  <c r="AA72" i="4" s="1"/>
  <c r="Z74" i="4"/>
  <c r="AA74" i="4" s="1"/>
  <c r="Z70" i="4"/>
  <c r="Z68" i="4"/>
  <c r="AB68" i="4" s="1"/>
  <c r="Z69" i="4"/>
  <c r="AA69" i="4" s="1"/>
  <c r="Z67" i="4"/>
  <c r="AB67" i="4" s="1"/>
  <c r="Z64" i="4"/>
  <c r="Z66" i="4"/>
  <c r="AB66" i="4" s="1"/>
  <c r="Z65" i="4"/>
  <c r="AA65" i="4" s="1"/>
  <c r="Z58" i="4"/>
  <c r="AB58" i="4" s="1"/>
  <c r="Z56" i="4"/>
  <c r="Z62" i="4"/>
  <c r="AB62" i="4" s="1"/>
  <c r="Z59" i="4"/>
  <c r="AA59" i="4" s="1"/>
  <c r="Z52" i="4"/>
  <c r="AB52" i="4" s="1"/>
  <c r="Z63" i="4"/>
  <c r="Z60" i="4"/>
  <c r="AB60" i="4" s="1"/>
  <c r="Z50" i="4"/>
  <c r="AA50" i="4" s="1"/>
  <c r="Z57" i="4"/>
  <c r="AB57" i="4" s="1"/>
  <c r="Z55" i="4"/>
  <c r="Z51" i="4"/>
  <c r="AB51" i="4" s="1"/>
  <c r="Z61" i="4"/>
  <c r="AA61" i="4" s="1"/>
  <c r="Z53" i="4"/>
  <c r="AB53" i="4" s="1"/>
  <c r="Z49" i="4"/>
  <c r="Z45" i="4"/>
  <c r="AB45" i="4" s="1"/>
  <c r="Z54" i="4"/>
  <c r="AA54" i="4" s="1"/>
  <c r="Z48" i="4"/>
  <c r="AA48" i="4" s="1"/>
  <c r="Z46" i="4"/>
  <c r="Z42" i="4"/>
  <c r="AB42" i="4" s="1"/>
  <c r="Z43" i="4"/>
  <c r="AA43" i="4" s="1"/>
  <c r="Z44" i="4"/>
  <c r="AA44" i="4" s="1"/>
  <c r="Z47" i="4"/>
  <c r="Z39" i="4"/>
  <c r="AB39" i="4" s="1"/>
  <c r="Z38" i="4"/>
  <c r="AA38" i="4" s="1"/>
  <c r="Z40" i="4"/>
  <c r="AB40" i="4" s="1"/>
  <c r="Z41" i="4"/>
  <c r="Z37" i="4"/>
  <c r="Z35" i="4"/>
  <c r="AA35" i="4" s="1"/>
  <c r="Z6" i="4"/>
  <c r="AB6" i="4" s="1"/>
  <c r="Z25" i="4"/>
  <c r="AB25" i="4" s="1"/>
  <c r="Z30" i="4"/>
  <c r="Z36" i="4"/>
  <c r="AA36" i="4" s="1"/>
  <c r="Z32" i="4"/>
  <c r="AA32" i="4" s="1"/>
  <c r="Z33" i="4"/>
  <c r="AB33" i="4" s="1"/>
  <c r="Z29" i="4"/>
  <c r="Z34" i="4"/>
  <c r="AA34" i="4" s="1"/>
  <c r="Z26" i="4"/>
  <c r="AA26" i="4" s="1"/>
  <c r="Z27" i="4"/>
  <c r="AB27" i="4" s="1"/>
  <c r="Z24" i="4"/>
  <c r="Z28" i="4"/>
  <c r="AA28" i="4" s="1"/>
  <c r="Z31" i="4"/>
  <c r="AA31" i="4" s="1"/>
  <c r="Z23" i="4"/>
  <c r="AB23" i="4" s="1"/>
  <c r="Z22" i="4"/>
  <c r="Z20" i="4"/>
  <c r="AA20" i="4" s="1"/>
  <c r="Z21" i="4"/>
  <c r="AB21" i="4" s="1"/>
  <c r="Z16" i="4"/>
  <c r="AB16" i="4" s="1"/>
  <c r="Z18" i="4"/>
  <c r="Z19" i="4"/>
  <c r="AA19" i="4" s="1"/>
  <c r="Z17" i="4"/>
  <c r="AB17" i="4" s="1"/>
  <c r="Z13" i="4"/>
  <c r="AB13" i="4" s="1"/>
  <c r="Z14" i="4"/>
  <c r="Z10" i="4"/>
  <c r="AA10" i="4" s="1"/>
  <c r="Z11" i="4"/>
  <c r="AA11" i="4" s="1"/>
  <c r="Z12" i="4"/>
  <c r="AB12" i="4" s="1"/>
  <c r="Z9" i="4"/>
  <c r="Z15" i="4"/>
  <c r="AA15" i="4" s="1"/>
  <c r="Z7" i="4"/>
  <c r="AA7" i="4" s="1"/>
  <c r="Z8" i="4"/>
  <c r="AB8" i="4" s="1"/>
  <c r="Z5" i="4"/>
  <c r="Z4" i="4"/>
  <c r="AA4" i="4" s="1"/>
  <c r="Z3" i="4"/>
  <c r="AB3" i="4" s="1"/>
  <c r="U73" i="4"/>
  <c r="V73" i="4" s="1"/>
  <c r="U75" i="4"/>
  <c r="W75" i="4" s="1"/>
  <c r="U71" i="4"/>
  <c r="W71" i="4" s="1"/>
  <c r="U72" i="4"/>
  <c r="V72" i="4" s="1"/>
  <c r="U74" i="4"/>
  <c r="V74" i="4" s="1"/>
  <c r="U70" i="4"/>
  <c r="W70" i="4" s="1"/>
  <c r="U68" i="4"/>
  <c r="W68" i="4" s="1"/>
  <c r="U69" i="4"/>
  <c r="V69" i="4" s="1"/>
  <c r="U67" i="4"/>
  <c r="V67" i="4" s="1"/>
  <c r="U64" i="4"/>
  <c r="W64" i="4" s="1"/>
  <c r="U66" i="4"/>
  <c r="W66" i="4" s="1"/>
  <c r="U65" i="4"/>
  <c r="V65" i="4" s="1"/>
  <c r="U58" i="4"/>
  <c r="W58" i="4" s="1"/>
  <c r="U56" i="4"/>
  <c r="W56" i="4" s="1"/>
  <c r="U62" i="4"/>
  <c r="W62" i="4" s="1"/>
  <c r="U59" i="4"/>
  <c r="V59" i="4" s="1"/>
  <c r="U52" i="4"/>
  <c r="V52" i="4" s="1"/>
  <c r="U63" i="4"/>
  <c r="W63" i="4" s="1"/>
  <c r="U60" i="4"/>
  <c r="W60" i="4" s="1"/>
  <c r="U50" i="4"/>
  <c r="V50" i="4" s="1"/>
  <c r="U57" i="4"/>
  <c r="W57" i="4" s="1"/>
  <c r="U55" i="4"/>
  <c r="W55" i="4" s="1"/>
  <c r="U51" i="4"/>
  <c r="W51" i="4" s="1"/>
  <c r="U61" i="4"/>
  <c r="V61" i="4" s="1"/>
  <c r="U53" i="4"/>
  <c r="W53" i="4" s="1"/>
  <c r="U49" i="4"/>
  <c r="W49" i="4" s="1"/>
  <c r="U45" i="4"/>
  <c r="W45" i="4" s="1"/>
  <c r="U54" i="4"/>
  <c r="V54" i="4" s="1"/>
  <c r="U48" i="4"/>
  <c r="W48" i="4" s="1"/>
  <c r="U46" i="4"/>
  <c r="W46" i="4" s="1"/>
  <c r="U42" i="4"/>
  <c r="W42" i="4" s="1"/>
  <c r="U43" i="4"/>
  <c r="V43" i="4" s="1"/>
  <c r="U44" i="4"/>
  <c r="W44" i="4" s="1"/>
  <c r="U47" i="4"/>
  <c r="W47" i="4" s="1"/>
  <c r="U39" i="4"/>
  <c r="W39" i="4" s="1"/>
  <c r="U38" i="4"/>
  <c r="V38" i="4" s="1"/>
  <c r="U40" i="4"/>
  <c r="W40" i="4" s="1"/>
  <c r="U41" i="4"/>
  <c r="W41" i="4" s="1"/>
  <c r="U37" i="4"/>
  <c r="W37" i="4" s="1"/>
  <c r="U35" i="4"/>
  <c r="V35" i="4" s="1"/>
  <c r="U6" i="4"/>
  <c r="W6" i="4" s="1"/>
  <c r="U25" i="4"/>
  <c r="W25" i="4" s="1"/>
  <c r="U30" i="4"/>
  <c r="W30" i="4" s="1"/>
  <c r="U36" i="4"/>
  <c r="V36" i="4" s="1"/>
  <c r="U32" i="4"/>
  <c r="W32" i="4" s="1"/>
  <c r="U33" i="4"/>
  <c r="W33" i="4" s="1"/>
  <c r="U29" i="4"/>
  <c r="W29" i="4" s="1"/>
  <c r="U34" i="4"/>
  <c r="V34" i="4" s="1"/>
  <c r="U26" i="4"/>
  <c r="W26" i="4" s="1"/>
  <c r="U27" i="4"/>
  <c r="W27" i="4" s="1"/>
  <c r="U24" i="4"/>
  <c r="W24" i="4" s="1"/>
  <c r="U28" i="4"/>
  <c r="V28" i="4" s="1"/>
  <c r="U31" i="4"/>
  <c r="W31" i="4" s="1"/>
  <c r="U23" i="4"/>
  <c r="W23" i="4" s="1"/>
  <c r="U22" i="4"/>
  <c r="W22" i="4" s="1"/>
  <c r="U20" i="4"/>
  <c r="V20" i="4" s="1"/>
  <c r="U21" i="4"/>
  <c r="W21" i="4" s="1"/>
  <c r="U16" i="4"/>
  <c r="W16" i="4" s="1"/>
  <c r="U18" i="4"/>
  <c r="W18" i="4" s="1"/>
  <c r="U19" i="4"/>
  <c r="V19" i="4" s="1"/>
  <c r="U17" i="4"/>
  <c r="W17" i="4" s="1"/>
  <c r="U13" i="4"/>
  <c r="W13" i="4" s="1"/>
  <c r="U14" i="4"/>
  <c r="W14" i="4" s="1"/>
  <c r="U10" i="4"/>
  <c r="V10" i="4" s="1"/>
  <c r="U11" i="4"/>
  <c r="W11" i="4" s="1"/>
  <c r="U12" i="4"/>
  <c r="W12" i="4" s="1"/>
  <c r="U9" i="4"/>
  <c r="W9" i="4" s="1"/>
  <c r="U15" i="4"/>
  <c r="V15" i="4" s="1"/>
  <c r="U7" i="4"/>
  <c r="W7" i="4" s="1"/>
  <c r="U8" i="4"/>
  <c r="W8" i="4" s="1"/>
  <c r="U5" i="4"/>
  <c r="W5" i="4" s="1"/>
  <c r="U4" i="4"/>
  <c r="V4" i="4" s="1"/>
  <c r="U3" i="4"/>
  <c r="W3" i="4" s="1"/>
  <c r="P73" i="4"/>
  <c r="R73" i="4" s="1"/>
  <c r="P75" i="4"/>
  <c r="R75" i="4" s="1"/>
  <c r="P71" i="4"/>
  <c r="R71" i="4" s="1"/>
  <c r="P72" i="4"/>
  <c r="Q72" i="4" s="1"/>
  <c r="P74" i="4"/>
  <c r="R74" i="4" s="1"/>
  <c r="P70" i="4"/>
  <c r="R70" i="4" s="1"/>
  <c r="P68" i="4"/>
  <c r="R68" i="4" s="1"/>
  <c r="P69" i="4"/>
  <c r="Q69" i="4" s="1"/>
  <c r="P67" i="4"/>
  <c r="R67" i="4" s="1"/>
  <c r="P64" i="4"/>
  <c r="Q64" i="4" s="1"/>
  <c r="P66" i="4"/>
  <c r="R66" i="4" s="1"/>
  <c r="P65" i="4"/>
  <c r="Q65" i="4" s="1"/>
  <c r="P58" i="4"/>
  <c r="R58" i="4" s="1"/>
  <c r="P56" i="4"/>
  <c r="R56" i="4" s="1"/>
  <c r="P62" i="4"/>
  <c r="R62" i="4" s="1"/>
  <c r="P59" i="4"/>
  <c r="Q59" i="4" s="1"/>
  <c r="P52" i="4"/>
  <c r="R52" i="4" s="1"/>
  <c r="P63" i="4"/>
  <c r="R63" i="4" s="1"/>
  <c r="P60" i="4"/>
  <c r="R60" i="4" s="1"/>
  <c r="P50" i="4"/>
  <c r="Q50" i="4" s="1"/>
  <c r="P57" i="4"/>
  <c r="Q57" i="4" s="1"/>
  <c r="P55" i="4"/>
  <c r="R55" i="4" s="1"/>
  <c r="P51" i="4"/>
  <c r="R51" i="4" s="1"/>
  <c r="P61" i="4"/>
  <c r="Q61" i="4" s="1"/>
  <c r="P53" i="4"/>
  <c r="R53" i="4" s="1"/>
  <c r="P49" i="4"/>
  <c r="R49" i="4" s="1"/>
  <c r="P45" i="4"/>
  <c r="R45" i="4" s="1"/>
  <c r="P54" i="4"/>
  <c r="Q54" i="4" s="1"/>
  <c r="P48" i="4"/>
  <c r="R48" i="4" s="1"/>
  <c r="P46" i="4"/>
  <c r="R46" i="4" s="1"/>
  <c r="P42" i="4"/>
  <c r="R42" i="4" s="1"/>
  <c r="P43" i="4"/>
  <c r="Q43" i="4" s="1"/>
  <c r="P44" i="4"/>
  <c r="R44" i="4" s="1"/>
  <c r="P47" i="4"/>
  <c r="R47" i="4" s="1"/>
  <c r="P39" i="4"/>
  <c r="R39" i="4" s="1"/>
  <c r="P38" i="4"/>
  <c r="Q38" i="4" s="1"/>
  <c r="P40" i="4"/>
  <c r="R40" i="4" s="1"/>
  <c r="P41" i="4"/>
  <c r="R41" i="4" s="1"/>
  <c r="P37" i="4"/>
  <c r="R37" i="4" s="1"/>
  <c r="P35" i="4"/>
  <c r="Q35" i="4" s="1"/>
  <c r="P6" i="4"/>
  <c r="Q6" i="4" s="1"/>
  <c r="P25" i="4"/>
  <c r="R25" i="4" s="1"/>
  <c r="P30" i="4"/>
  <c r="R30" i="4" s="1"/>
  <c r="P36" i="4"/>
  <c r="Q36" i="4" s="1"/>
  <c r="P32" i="4"/>
  <c r="R32" i="4" s="1"/>
  <c r="P33" i="4"/>
  <c r="R33" i="4" s="1"/>
  <c r="P29" i="4"/>
  <c r="R29" i="4" s="1"/>
  <c r="P34" i="4"/>
  <c r="Q34" i="4" s="1"/>
  <c r="P26" i="4"/>
  <c r="Q26" i="4" s="1"/>
  <c r="P27" i="4"/>
  <c r="R27" i="4" s="1"/>
  <c r="P24" i="4"/>
  <c r="R24" i="4" s="1"/>
  <c r="P28" i="4"/>
  <c r="Q28" i="4" s="1"/>
  <c r="P31" i="4"/>
  <c r="Q31" i="4" s="1"/>
  <c r="P23" i="4"/>
  <c r="R23" i="4" s="1"/>
  <c r="P22" i="4"/>
  <c r="R22" i="4" s="1"/>
  <c r="P20" i="4"/>
  <c r="Q20" i="4" s="1"/>
  <c r="P21" i="4"/>
  <c r="Q21" i="4" s="1"/>
  <c r="P16" i="4"/>
  <c r="R16" i="4" s="1"/>
  <c r="P18" i="4"/>
  <c r="R18" i="4" s="1"/>
  <c r="P19" i="4"/>
  <c r="Q19" i="4" s="1"/>
  <c r="P17" i="4"/>
  <c r="R17" i="4" s="1"/>
  <c r="P13" i="4"/>
  <c r="R13" i="4" s="1"/>
  <c r="P14" i="4"/>
  <c r="R14" i="4" s="1"/>
  <c r="P10" i="4"/>
  <c r="Q10" i="4" s="1"/>
  <c r="P11" i="4"/>
  <c r="R11" i="4" s="1"/>
  <c r="P12" i="4"/>
  <c r="R12" i="4" s="1"/>
  <c r="P9" i="4"/>
  <c r="R9" i="4" s="1"/>
  <c r="P15" i="4"/>
  <c r="Q15" i="4" s="1"/>
  <c r="P7" i="4"/>
  <c r="R7" i="4" s="1"/>
  <c r="P8" i="4"/>
  <c r="R8" i="4" s="1"/>
  <c r="P5" i="4"/>
  <c r="R5" i="4" s="1"/>
  <c r="P4" i="4"/>
  <c r="Q4" i="4" s="1"/>
  <c r="P3" i="4"/>
  <c r="R3" i="4" s="1"/>
  <c r="K73" i="4"/>
  <c r="L73" i="4" s="1"/>
  <c r="K75" i="4"/>
  <c r="M75" i="4" s="1"/>
  <c r="K71" i="4"/>
  <c r="M71" i="4" s="1"/>
  <c r="K72" i="4"/>
  <c r="L72" i="4" s="1"/>
  <c r="K74" i="4"/>
  <c r="M74" i="4" s="1"/>
  <c r="K70" i="4"/>
  <c r="L70" i="4" s="1"/>
  <c r="K68" i="4"/>
  <c r="M68" i="4" s="1"/>
  <c r="K69" i="4"/>
  <c r="L69" i="4" s="1"/>
  <c r="K67" i="4"/>
  <c r="M67" i="4" s="1"/>
  <c r="K64" i="4"/>
  <c r="L64" i="4" s="1"/>
  <c r="K66" i="4"/>
  <c r="M66" i="4" s="1"/>
  <c r="K65" i="4"/>
  <c r="L65" i="4" s="1"/>
  <c r="K58" i="4"/>
  <c r="L58" i="4" s="1"/>
  <c r="K56" i="4"/>
  <c r="L56" i="4" s="1"/>
  <c r="K62" i="4"/>
  <c r="M62" i="4" s="1"/>
  <c r="K59" i="4"/>
  <c r="L59" i="4" s="1"/>
  <c r="K52" i="4"/>
  <c r="L52" i="4" s="1"/>
  <c r="K63" i="4"/>
  <c r="L63" i="4" s="1"/>
  <c r="K60" i="4"/>
  <c r="M60" i="4" s="1"/>
  <c r="K50" i="4"/>
  <c r="L50" i="4" s="1"/>
  <c r="K57" i="4"/>
  <c r="M57" i="4" s="1"/>
  <c r="K55" i="4"/>
  <c r="L55" i="4" s="1"/>
  <c r="K51" i="4"/>
  <c r="M51" i="4" s="1"/>
  <c r="K61" i="4"/>
  <c r="L61" i="4" s="1"/>
  <c r="K53" i="4"/>
  <c r="M53" i="4" s="1"/>
  <c r="K49" i="4"/>
  <c r="M49" i="4" s="1"/>
  <c r="K45" i="4"/>
  <c r="M45" i="4" s="1"/>
  <c r="K54" i="4"/>
  <c r="L54" i="4" s="1"/>
  <c r="K48" i="4"/>
  <c r="M48" i="4" s="1"/>
  <c r="K46" i="4"/>
  <c r="M46" i="4" s="1"/>
  <c r="K42" i="4"/>
  <c r="M42" i="4" s="1"/>
  <c r="K43" i="4"/>
  <c r="L43" i="4" s="1"/>
  <c r="K44" i="4"/>
  <c r="L44" i="4" s="1"/>
  <c r="K47" i="4"/>
  <c r="M47" i="4" s="1"/>
  <c r="K39" i="4"/>
  <c r="M39" i="4" s="1"/>
  <c r="K38" i="4"/>
  <c r="L38" i="4" s="1"/>
  <c r="K40" i="4"/>
  <c r="M40" i="4" s="1"/>
  <c r="K41" i="4"/>
  <c r="L41" i="4" s="1"/>
  <c r="K37" i="4"/>
  <c r="M37" i="4" s="1"/>
  <c r="K35" i="4"/>
  <c r="L35" i="4" s="1"/>
  <c r="K6" i="4"/>
  <c r="M6" i="4" s="1"/>
  <c r="K25" i="4"/>
  <c r="L25" i="4" s="1"/>
  <c r="K30" i="4"/>
  <c r="M30" i="4" s="1"/>
  <c r="K36" i="4"/>
  <c r="L36" i="4" s="1"/>
  <c r="K32" i="4"/>
  <c r="M32" i="4" s="1"/>
  <c r="K33" i="4"/>
  <c r="L33" i="4" s="1"/>
  <c r="K29" i="4"/>
  <c r="M29" i="4" s="1"/>
  <c r="K34" i="4"/>
  <c r="L34" i="4" s="1"/>
  <c r="K26" i="4"/>
  <c r="L26" i="4" s="1"/>
  <c r="K27" i="4"/>
  <c r="L27" i="4" s="1"/>
  <c r="K24" i="4"/>
  <c r="M24" i="4" s="1"/>
  <c r="K28" i="4"/>
  <c r="L28" i="4" s="1"/>
  <c r="K31" i="4"/>
  <c r="M31" i="4" s="1"/>
  <c r="K23" i="4"/>
  <c r="L23" i="4" s="1"/>
  <c r="K22" i="4"/>
  <c r="M22" i="4" s="1"/>
  <c r="K20" i="4"/>
  <c r="L20" i="4" s="1"/>
  <c r="K21" i="4"/>
  <c r="M21" i="4" s="1"/>
  <c r="K16" i="4"/>
  <c r="L16" i="4" s="1"/>
  <c r="K18" i="4"/>
  <c r="M18" i="4" s="1"/>
  <c r="K19" i="4"/>
  <c r="L19" i="4" s="1"/>
  <c r="K17" i="4"/>
  <c r="L17" i="4" s="1"/>
  <c r="K13" i="4"/>
  <c r="L13" i="4" s="1"/>
  <c r="K14" i="4"/>
  <c r="M14" i="4" s="1"/>
  <c r="K10" i="4"/>
  <c r="L10" i="4" s="1"/>
  <c r="K11" i="4"/>
  <c r="L11" i="4" s="1"/>
  <c r="K12" i="4"/>
  <c r="L12" i="4" s="1"/>
  <c r="K9" i="4"/>
  <c r="M9" i="4" s="1"/>
  <c r="K15" i="4"/>
  <c r="L15" i="4" s="1"/>
  <c r="K7" i="4"/>
  <c r="M7" i="4" s="1"/>
  <c r="K8" i="4"/>
  <c r="L8" i="4" s="1"/>
  <c r="K5" i="4"/>
  <c r="M5" i="4" s="1"/>
  <c r="K4" i="4"/>
  <c r="L4" i="4" s="1"/>
  <c r="K3" i="4"/>
  <c r="M3" i="4" s="1"/>
  <c r="H68" i="4"/>
  <c r="H69" i="4"/>
  <c r="H30" i="4"/>
  <c r="H10" i="4"/>
  <c r="H5" i="4"/>
  <c r="BC4" i="3"/>
  <c r="BC5" i="3"/>
  <c r="BC6" i="3"/>
  <c r="BC7" i="3"/>
  <c r="BC8" i="3"/>
  <c r="BC10" i="3"/>
  <c r="BC9" i="3"/>
  <c r="BC11" i="3"/>
  <c r="BC12" i="3"/>
  <c r="BC17" i="3"/>
  <c r="BC18" i="3"/>
  <c r="BC21" i="3"/>
  <c r="BC19" i="3"/>
  <c r="BC13" i="3"/>
  <c r="BC22" i="3"/>
  <c r="BC25" i="3"/>
  <c r="BC14" i="3"/>
  <c r="BC24" i="3"/>
  <c r="BC16" i="3"/>
  <c r="BC26" i="3"/>
  <c r="BC65" i="3"/>
  <c r="BC29" i="3"/>
  <c r="BC30" i="3"/>
  <c r="BC32" i="3"/>
  <c r="BC31" i="3"/>
  <c r="BC33" i="3"/>
  <c r="BC27" i="3"/>
  <c r="BC34" i="3"/>
  <c r="BC35" i="3"/>
  <c r="BC38" i="3"/>
  <c r="BC28" i="3"/>
  <c r="BC20" i="3"/>
  <c r="BC36" i="3"/>
  <c r="BC39" i="3"/>
  <c r="BC70" i="3"/>
  <c r="BC37" i="3"/>
  <c r="BC43" i="3"/>
  <c r="BC40" i="3"/>
  <c r="BC44" i="3"/>
  <c r="BC56" i="3"/>
  <c r="BC50" i="3"/>
  <c r="BC51" i="3"/>
  <c r="BC47" i="3"/>
  <c r="BC48" i="3"/>
  <c r="BC41" i="3"/>
  <c r="BC68" i="3"/>
  <c r="BC54" i="3"/>
  <c r="BC53" i="3"/>
  <c r="BC23" i="3"/>
  <c r="BC57" i="3"/>
  <c r="BC58" i="3"/>
  <c r="BC59" i="3"/>
  <c r="BC15" i="3"/>
  <c r="BC60" i="3"/>
  <c r="BC73" i="3"/>
  <c r="BC66" i="3"/>
  <c r="BC45" i="3"/>
  <c r="BC64" i="3"/>
  <c r="BC67" i="3"/>
  <c r="BC62" i="3"/>
  <c r="BC55" i="3"/>
  <c r="BC49" i="3"/>
  <c r="BC42" i="3"/>
  <c r="BC71" i="3"/>
  <c r="BC61" i="3"/>
  <c r="BC69" i="3"/>
  <c r="BC72" i="3"/>
  <c r="BC52" i="3"/>
  <c r="BC46" i="3"/>
  <c r="BC63" i="3"/>
  <c r="BC74" i="3"/>
  <c r="BC75" i="3"/>
  <c r="BC77" i="3"/>
  <c r="BC76" i="3"/>
  <c r="BC3" i="3"/>
  <c r="AY76" i="3"/>
  <c r="AY77" i="3"/>
  <c r="AZ77" i="3" s="1"/>
  <c r="AY75" i="3"/>
  <c r="AZ75" i="3" s="1"/>
  <c r="AY74" i="3"/>
  <c r="AY63" i="3"/>
  <c r="AZ63" i="3" s="1"/>
  <c r="AY46" i="3"/>
  <c r="AZ46" i="3" s="1"/>
  <c r="AY52" i="3"/>
  <c r="AZ52" i="3" s="1"/>
  <c r="AY72" i="3"/>
  <c r="AY69" i="3"/>
  <c r="AZ69" i="3" s="1"/>
  <c r="AY61" i="3"/>
  <c r="AZ61" i="3" s="1"/>
  <c r="AY71" i="3"/>
  <c r="AZ71" i="3" s="1"/>
  <c r="AY42" i="3"/>
  <c r="AY49" i="3"/>
  <c r="AZ49" i="3" s="1"/>
  <c r="AY55" i="3"/>
  <c r="AZ55" i="3" s="1"/>
  <c r="AY62" i="3"/>
  <c r="AZ62" i="3" s="1"/>
  <c r="AY67" i="3"/>
  <c r="AY64" i="3"/>
  <c r="AZ64" i="3" s="1"/>
  <c r="AY45" i="3"/>
  <c r="AZ45" i="3" s="1"/>
  <c r="AY66" i="3"/>
  <c r="AZ66" i="3" s="1"/>
  <c r="AY73" i="3"/>
  <c r="AY60" i="3"/>
  <c r="AZ60" i="3" s="1"/>
  <c r="AY15" i="3"/>
  <c r="AZ15" i="3" s="1"/>
  <c r="AY59" i="3"/>
  <c r="AZ59" i="3" s="1"/>
  <c r="AY58" i="3"/>
  <c r="AY57" i="3"/>
  <c r="AZ57" i="3" s="1"/>
  <c r="AY23" i="3"/>
  <c r="AZ23" i="3" s="1"/>
  <c r="AY53" i="3"/>
  <c r="AZ53" i="3" s="1"/>
  <c r="AY54" i="3"/>
  <c r="AY68" i="3"/>
  <c r="AZ68" i="3" s="1"/>
  <c r="AY41" i="3"/>
  <c r="AY48" i="3"/>
  <c r="AZ48" i="3" s="1"/>
  <c r="AY47" i="3"/>
  <c r="AY51" i="3"/>
  <c r="AZ51" i="3" s="1"/>
  <c r="AY50" i="3"/>
  <c r="AY56" i="3"/>
  <c r="AZ56" i="3" s="1"/>
  <c r="AY44" i="3"/>
  <c r="AY40" i="3"/>
  <c r="AZ40" i="3" s="1"/>
  <c r="AY43" i="3"/>
  <c r="AZ43" i="3" s="1"/>
  <c r="AY37" i="3"/>
  <c r="AZ37" i="3" s="1"/>
  <c r="AY70" i="3"/>
  <c r="AY39" i="3"/>
  <c r="AZ39" i="3" s="1"/>
  <c r="AY36" i="3"/>
  <c r="AY20" i="3"/>
  <c r="AZ20" i="3" s="1"/>
  <c r="AY28" i="3"/>
  <c r="AY38" i="3"/>
  <c r="AZ38" i="3" s="1"/>
  <c r="AY35" i="3"/>
  <c r="AY34" i="3"/>
  <c r="AZ34" i="3" s="1"/>
  <c r="AY27" i="3"/>
  <c r="AY33" i="3"/>
  <c r="AZ33" i="3" s="1"/>
  <c r="AY31" i="3"/>
  <c r="AY32" i="3"/>
  <c r="AZ32" i="3" s="1"/>
  <c r="AY30" i="3"/>
  <c r="AY29" i="3"/>
  <c r="AZ29" i="3" s="1"/>
  <c r="AY65" i="3"/>
  <c r="AY26" i="3"/>
  <c r="AZ26" i="3" s="1"/>
  <c r="AY16" i="3"/>
  <c r="AY24" i="3"/>
  <c r="AZ24" i="3" s="1"/>
  <c r="AY14" i="3"/>
  <c r="AY25" i="3"/>
  <c r="AZ25" i="3" s="1"/>
  <c r="AY22" i="3"/>
  <c r="AY13" i="3"/>
  <c r="AZ13" i="3" s="1"/>
  <c r="AY19" i="3"/>
  <c r="AZ19" i="3" s="1"/>
  <c r="AY21" i="3"/>
  <c r="AZ21" i="3" s="1"/>
  <c r="AY18" i="3"/>
  <c r="AY17" i="3"/>
  <c r="AZ17" i="3" s="1"/>
  <c r="AY12" i="3"/>
  <c r="AY11" i="3"/>
  <c r="AY9" i="3"/>
  <c r="AY10" i="3"/>
  <c r="AZ10" i="3" s="1"/>
  <c r="AY8" i="3"/>
  <c r="AZ8" i="3" s="1"/>
  <c r="AY7" i="3"/>
  <c r="AZ7" i="3" s="1"/>
  <c r="AY6" i="3"/>
  <c r="AY5" i="3"/>
  <c r="AZ5" i="3" s="1"/>
  <c r="AY4" i="3"/>
  <c r="AZ4" i="3" s="1"/>
  <c r="AY3" i="3"/>
  <c r="AT76" i="3"/>
  <c r="AU76" i="3" s="1"/>
  <c r="AT77" i="3"/>
  <c r="AU77" i="3" s="1"/>
  <c r="AT75" i="3"/>
  <c r="AU75" i="3" s="1"/>
  <c r="AT74" i="3"/>
  <c r="AT63" i="3"/>
  <c r="AU63" i="3" s="1"/>
  <c r="AT46" i="3"/>
  <c r="AU46" i="3" s="1"/>
  <c r="AT52" i="3"/>
  <c r="AU52" i="3" s="1"/>
  <c r="AT72" i="3"/>
  <c r="AT69" i="3"/>
  <c r="AT61" i="3"/>
  <c r="AU61" i="3" s="1"/>
  <c r="AT71" i="3"/>
  <c r="AT42" i="3"/>
  <c r="AT49" i="3"/>
  <c r="AU49" i="3" s="1"/>
  <c r="AT55" i="3"/>
  <c r="AU55" i="3" s="1"/>
  <c r="AT62" i="3"/>
  <c r="AT67" i="3"/>
  <c r="AT64" i="3"/>
  <c r="AT45" i="3"/>
  <c r="AU45" i="3" s="1"/>
  <c r="AT66" i="3"/>
  <c r="AU66" i="3" s="1"/>
  <c r="AT73" i="3"/>
  <c r="AT60" i="3"/>
  <c r="AU60" i="3" s="1"/>
  <c r="AT15" i="3"/>
  <c r="AU15" i="3" s="1"/>
  <c r="AT59" i="3"/>
  <c r="AU59" i="3" s="1"/>
  <c r="AT58" i="3"/>
  <c r="AT57" i="3"/>
  <c r="AT23" i="3"/>
  <c r="AU23" i="3" s="1"/>
  <c r="AT53" i="3"/>
  <c r="AT54" i="3"/>
  <c r="AT68" i="3"/>
  <c r="AU68" i="3" s="1"/>
  <c r="AT41" i="3"/>
  <c r="AU41" i="3" s="1"/>
  <c r="AT48" i="3"/>
  <c r="AT47" i="3"/>
  <c r="AT51" i="3"/>
  <c r="AU51" i="3" s="1"/>
  <c r="AT50" i="3"/>
  <c r="AU50" i="3" s="1"/>
  <c r="AT56" i="3"/>
  <c r="AU56" i="3" s="1"/>
  <c r="AT44" i="3"/>
  <c r="AT40" i="3"/>
  <c r="AU40" i="3" s="1"/>
  <c r="AT43" i="3"/>
  <c r="AU43" i="3" s="1"/>
  <c r="AT37" i="3"/>
  <c r="AU37" i="3" s="1"/>
  <c r="AT70" i="3"/>
  <c r="AT39" i="3"/>
  <c r="AU39" i="3" s="1"/>
  <c r="AT36" i="3"/>
  <c r="AU36" i="3" s="1"/>
  <c r="AT20" i="3"/>
  <c r="AU20" i="3" s="1"/>
  <c r="AT28" i="3"/>
  <c r="AT38" i="3"/>
  <c r="AT35" i="3"/>
  <c r="AU35" i="3" s="1"/>
  <c r="AT34" i="3"/>
  <c r="AT27" i="3"/>
  <c r="AT33" i="3"/>
  <c r="AU33" i="3" s="1"/>
  <c r="AT31" i="3"/>
  <c r="AU31" i="3" s="1"/>
  <c r="AT32" i="3"/>
  <c r="AU32" i="3" s="1"/>
  <c r="AT30" i="3"/>
  <c r="AT29" i="3"/>
  <c r="AU29" i="3" s="1"/>
  <c r="AT65" i="3"/>
  <c r="AU65" i="3" s="1"/>
  <c r="AT26" i="3"/>
  <c r="AU26" i="3" s="1"/>
  <c r="AT16" i="3"/>
  <c r="AT24" i="3"/>
  <c r="AU24" i="3" s="1"/>
  <c r="AT14" i="3"/>
  <c r="AU14" i="3" s="1"/>
  <c r="AT25" i="3"/>
  <c r="AU25" i="3" s="1"/>
  <c r="AT22" i="3"/>
  <c r="AT13" i="3"/>
  <c r="AT19" i="3"/>
  <c r="AU19" i="3" s="1"/>
  <c r="AT21" i="3"/>
  <c r="AT18" i="3"/>
  <c r="AT17" i="3"/>
  <c r="AU17" i="3" s="1"/>
  <c r="AT12" i="3"/>
  <c r="AU12" i="3" s="1"/>
  <c r="AT11" i="3"/>
  <c r="AU11" i="3" s="1"/>
  <c r="AT9" i="3"/>
  <c r="AT10" i="3"/>
  <c r="AT8" i="3"/>
  <c r="AU8" i="3" s="1"/>
  <c r="AT7" i="3"/>
  <c r="AT6" i="3"/>
  <c r="AT5" i="3"/>
  <c r="AU5" i="3" s="1"/>
  <c r="AT4" i="3"/>
  <c r="AU4" i="3" s="1"/>
  <c r="AT3" i="3"/>
  <c r="AU3" i="3" s="1"/>
  <c r="AO76" i="3"/>
  <c r="AP76" i="3" s="1"/>
  <c r="AO77" i="3"/>
  <c r="AP77" i="3" s="1"/>
  <c r="AO75" i="3"/>
  <c r="AP75" i="3" s="1"/>
  <c r="AO74" i="3"/>
  <c r="AO63" i="3"/>
  <c r="AP63" i="3" s="1"/>
  <c r="AO46" i="3"/>
  <c r="AP46" i="3" s="1"/>
  <c r="AO52" i="3"/>
  <c r="AO72" i="3"/>
  <c r="AO69" i="3"/>
  <c r="AP69" i="3" s="1"/>
  <c r="AO61" i="3"/>
  <c r="AP61" i="3" s="1"/>
  <c r="AO71" i="3"/>
  <c r="AP71" i="3" s="1"/>
  <c r="AO42" i="3"/>
  <c r="AO49" i="3"/>
  <c r="AP49" i="3" s="1"/>
  <c r="AO55" i="3"/>
  <c r="AP55" i="3" s="1"/>
  <c r="AO62" i="3"/>
  <c r="AO67" i="3"/>
  <c r="AO64" i="3"/>
  <c r="AP64" i="3" s="1"/>
  <c r="AO45" i="3"/>
  <c r="AO66" i="3"/>
  <c r="AP66" i="3" s="1"/>
  <c r="AO73" i="3"/>
  <c r="AO60" i="3"/>
  <c r="AP60" i="3" s="1"/>
  <c r="AO15" i="3"/>
  <c r="AP15" i="3" s="1"/>
  <c r="AO59" i="3"/>
  <c r="AO58" i="3"/>
  <c r="AO57" i="3"/>
  <c r="AP57" i="3" s="1"/>
  <c r="AO23" i="3"/>
  <c r="AP23" i="3" s="1"/>
  <c r="AO53" i="3"/>
  <c r="AP53" i="3" s="1"/>
  <c r="AO54" i="3"/>
  <c r="AO68" i="3"/>
  <c r="AP68" i="3" s="1"/>
  <c r="AO41" i="3"/>
  <c r="AP41" i="3" s="1"/>
  <c r="AO48" i="3"/>
  <c r="AO47" i="3"/>
  <c r="AO51" i="3"/>
  <c r="AP51" i="3" s="1"/>
  <c r="AO50" i="3"/>
  <c r="AP50" i="3" s="1"/>
  <c r="AO56" i="3"/>
  <c r="AO44" i="3"/>
  <c r="AO40" i="3"/>
  <c r="AP40" i="3" s="1"/>
  <c r="AO43" i="3"/>
  <c r="AP43" i="3" s="1"/>
  <c r="AO37" i="3"/>
  <c r="AP37" i="3" s="1"/>
  <c r="AO70" i="3"/>
  <c r="AO39" i="3"/>
  <c r="AP39" i="3" s="1"/>
  <c r="AO36" i="3"/>
  <c r="AP36" i="3" s="1"/>
  <c r="AO20" i="3"/>
  <c r="AO28" i="3"/>
  <c r="AO38" i="3"/>
  <c r="AP38" i="3" s="1"/>
  <c r="AO35" i="3"/>
  <c r="AP35" i="3" s="1"/>
  <c r="AO34" i="3"/>
  <c r="AP34" i="3" s="1"/>
  <c r="AO27" i="3"/>
  <c r="AO33" i="3"/>
  <c r="AP33" i="3" s="1"/>
  <c r="AO31" i="3"/>
  <c r="AP31" i="3" s="1"/>
  <c r="AO32" i="3"/>
  <c r="AP32" i="3" s="1"/>
  <c r="AO30" i="3"/>
  <c r="AO29" i="3"/>
  <c r="AP29" i="3" s="1"/>
  <c r="AO65" i="3"/>
  <c r="AP65" i="3" s="1"/>
  <c r="AO26" i="3"/>
  <c r="AO16" i="3"/>
  <c r="AO24" i="3"/>
  <c r="AP24" i="3" s="1"/>
  <c r="AO14" i="3"/>
  <c r="AP14" i="3" s="1"/>
  <c r="AO25" i="3"/>
  <c r="AP25" i="3" s="1"/>
  <c r="AO22" i="3"/>
  <c r="AO13" i="3"/>
  <c r="AP13" i="3" s="1"/>
  <c r="AO19" i="3"/>
  <c r="AP19" i="3" s="1"/>
  <c r="AO21" i="3"/>
  <c r="AO18" i="3"/>
  <c r="AO17" i="3"/>
  <c r="AP17" i="3" s="1"/>
  <c r="AO12" i="3"/>
  <c r="AO11" i="3"/>
  <c r="AO9" i="3"/>
  <c r="AO10" i="3"/>
  <c r="AP10" i="3" s="1"/>
  <c r="AO8" i="3"/>
  <c r="AP8" i="3" s="1"/>
  <c r="AO7" i="3"/>
  <c r="AP7" i="3" s="1"/>
  <c r="AO6" i="3"/>
  <c r="AO5" i="3"/>
  <c r="AP5" i="3" s="1"/>
  <c r="AO4" i="3"/>
  <c r="AO3" i="3"/>
  <c r="AP3" i="3" s="1"/>
  <c r="AJ76" i="3"/>
  <c r="AK76" i="3" s="1"/>
  <c r="AJ77" i="3"/>
  <c r="AK77" i="3" s="1"/>
  <c r="AJ75" i="3"/>
  <c r="AK75" i="3" s="1"/>
  <c r="AJ74" i="3"/>
  <c r="AJ63" i="3"/>
  <c r="AJ46" i="3"/>
  <c r="AK46" i="3" s="1"/>
  <c r="AJ52" i="3"/>
  <c r="AJ72" i="3"/>
  <c r="AJ69" i="3"/>
  <c r="AK69" i="3" s="1"/>
  <c r="AJ61" i="3"/>
  <c r="AK61" i="3" s="1"/>
  <c r="AJ71" i="3"/>
  <c r="AJ42" i="3"/>
  <c r="AJ49" i="3"/>
  <c r="AK49" i="3" s="1"/>
  <c r="AJ55" i="3"/>
  <c r="AK55" i="3" s="1"/>
  <c r="AJ62" i="3"/>
  <c r="AJ67" i="3"/>
  <c r="AJ64" i="3"/>
  <c r="AK64" i="3" s="1"/>
  <c r="AJ45" i="3"/>
  <c r="AK45" i="3" s="1"/>
  <c r="AJ66" i="3"/>
  <c r="AK66" i="3" s="1"/>
  <c r="AJ73" i="3"/>
  <c r="AJ60" i="3"/>
  <c r="AJ15" i="3"/>
  <c r="AK15" i="3" s="1"/>
  <c r="AJ59" i="3"/>
  <c r="AJ58" i="3"/>
  <c r="AJ57" i="3"/>
  <c r="AK57" i="3" s="1"/>
  <c r="AJ23" i="3"/>
  <c r="AK23" i="3" s="1"/>
  <c r="AJ53" i="3"/>
  <c r="AK53" i="3" s="1"/>
  <c r="AJ54" i="3"/>
  <c r="AJ68" i="3"/>
  <c r="AJ41" i="3"/>
  <c r="AK41" i="3" s="1"/>
  <c r="AJ48" i="3"/>
  <c r="AJ47" i="3"/>
  <c r="AJ51" i="3"/>
  <c r="AK51" i="3" s="1"/>
  <c r="AJ50" i="3"/>
  <c r="AK50" i="3" s="1"/>
  <c r="AJ56" i="3"/>
  <c r="AK56" i="3" s="1"/>
  <c r="AJ44" i="3"/>
  <c r="AJ40" i="3"/>
  <c r="AK40" i="3" s="1"/>
  <c r="AJ43" i="3"/>
  <c r="AK43" i="3" s="1"/>
  <c r="AJ37" i="3"/>
  <c r="AK37" i="3" s="1"/>
  <c r="AJ70" i="3"/>
  <c r="AJ39" i="3"/>
  <c r="AK39" i="3" s="1"/>
  <c r="AJ36" i="3"/>
  <c r="AK36" i="3" s="1"/>
  <c r="AJ20" i="3"/>
  <c r="AK20" i="3" s="1"/>
  <c r="AJ28" i="3"/>
  <c r="AJ38" i="3"/>
  <c r="AJ35" i="3"/>
  <c r="AK35" i="3" s="1"/>
  <c r="AJ34" i="3"/>
  <c r="AJ27" i="3"/>
  <c r="AJ33" i="3"/>
  <c r="AK33" i="3" s="1"/>
  <c r="AJ31" i="3"/>
  <c r="AK31" i="3" s="1"/>
  <c r="AJ32" i="3"/>
  <c r="AK32" i="3" s="1"/>
  <c r="AJ30" i="3"/>
  <c r="AJ29" i="3"/>
  <c r="AJ65" i="3"/>
  <c r="AK65" i="3" s="1"/>
  <c r="AJ26" i="3"/>
  <c r="AJ16" i="3"/>
  <c r="AJ24" i="3"/>
  <c r="AK24" i="3" s="1"/>
  <c r="AJ14" i="3"/>
  <c r="AK14" i="3" s="1"/>
  <c r="AJ25" i="3"/>
  <c r="AK25" i="3" s="1"/>
  <c r="AJ22" i="3"/>
  <c r="AJ13" i="3"/>
  <c r="AJ19" i="3"/>
  <c r="AK19" i="3" s="1"/>
  <c r="AJ21" i="3"/>
  <c r="AJ18" i="3"/>
  <c r="AJ17" i="3"/>
  <c r="AK17" i="3" s="1"/>
  <c r="AJ12" i="3"/>
  <c r="AK12" i="3" s="1"/>
  <c r="AJ11" i="3"/>
  <c r="AK11" i="3" s="1"/>
  <c r="AJ9" i="3"/>
  <c r="AJ10" i="3"/>
  <c r="AK10" i="3" s="1"/>
  <c r="AJ8" i="3"/>
  <c r="AK8" i="3" s="1"/>
  <c r="AJ7" i="3"/>
  <c r="AK7" i="3" s="1"/>
  <c r="AJ6" i="3"/>
  <c r="AJ5" i="3"/>
  <c r="AK5" i="3" s="1"/>
  <c r="AJ4" i="3"/>
  <c r="AK4" i="3" s="1"/>
  <c r="AJ3" i="3"/>
  <c r="AK3" i="3" s="1"/>
  <c r="AE76" i="3"/>
  <c r="AF76" i="3" s="1"/>
  <c r="AE77" i="3"/>
  <c r="AF77" i="3" s="1"/>
  <c r="AE75" i="3"/>
  <c r="AF75" i="3" s="1"/>
  <c r="AE74" i="3"/>
  <c r="AE63" i="3"/>
  <c r="AE46" i="3"/>
  <c r="AF46" i="3" s="1"/>
  <c r="AE52" i="3"/>
  <c r="AF52" i="3" s="1"/>
  <c r="AE72" i="3"/>
  <c r="AE69" i="3"/>
  <c r="AE61" i="3"/>
  <c r="AF61" i="3" s="1"/>
  <c r="AE71" i="3"/>
  <c r="AE42" i="3"/>
  <c r="AE49" i="3"/>
  <c r="AF49" i="3" s="1"/>
  <c r="AE55" i="3"/>
  <c r="AF55" i="3" s="1"/>
  <c r="AE62" i="3"/>
  <c r="AE67" i="3"/>
  <c r="AE64" i="3"/>
  <c r="AF64" i="3" s="1"/>
  <c r="AE45" i="3"/>
  <c r="AF45" i="3" s="1"/>
  <c r="AE66" i="3"/>
  <c r="AE73" i="3"/>
  <c r="AE60" i="3"/>
  <c r="AF60" i="3" s="1"/>
  <c r="AE15" i="3"/>
  <c r="AF15" i="3" s="1"/>
  <c r="AE59" i="3"/>
  <c r="AE58" i="3"/>
  <c r="AE57" i="3"/>
  <c r="AF57" i="3" s="1"/>
  <c r="AE23" i="3"/>
  <c r="AF23" i="3" s="1"/>
  <c r="AE53" i="3"/>
  <c r="AE54" i="3"/>
  <c r="AE68" i="3"/>
  <c r="AF68" i="3" s="1"/>
  <c r="AE41" i="3"/>
  <c r="AF41" i="3" s="1"/>
  <c r="AE48" i="3"/>
  <c r="AF48" i="3" s="1"/>
  <c r="AE47" i="3"/>
  <c r="AE51" i="3"/>
  <c r="AF51" i="3" s="1"/>
  <c r="AE50" i="3"/>
  <c r="AF50" i="3" s="1"/>
  <c r="AE56" i="3"/>
  <c r="AF56" i="3" s="1"/>
  <c r="AE44" i="3"/>
  <c r="AE40" i="3"/>
  <c r="AF40" i="3" s="1"/>
  <c r="AE43" i="3"/>
  <c r="AF43" i="3" s="1"/>
  <c r="AE37" i="3"/>
  <c r="AF37" i="3" s="1"/>
  <c r="AE70" i="3"/>
  <c r="AE39" i="3"/>
  <c r="AE36" i="3"/>
  <c r="AF36" i="3" s="1"/>
  <c r="AE20" i="3"/>
  <c r="AF20" i="3" s="1"/>
  <c r="AE28" i="3"/>
  <c r="AE38" i="3"/>
  <c r="AF38" i="3" s="1"/>
  <c r="AE35" i="3"/>
  <c r="AF35" i="3" s="1"/>
  <c r="AE34" i="3"/>
  <c r="AF34" i="3" s="1"/>
  <c r="AE27" i="3"/>
  <c r="AE33" i="3"/>
  <c r="AF33" i="3" s="1"/>
  <c r="AE31" i="3"/>
  <c r="AF31" i="3" s="1"/>
  <c r="AE32" i="3"/>
  <c r="AF32" i="3" s="1"/>
  <c r="AE30" i="3"/>
  <c r="AE29" i="3"/>
  <c r="AF29" i="3" s="1"/>
  <c r="AE65" i="3"/>
  <c r="AF65" i="3" s="1"/>
  <c r="AE26" i="3"/>
  <c r="AE16" i="3"/>
  <c r="AE24" i="3"/>
  <c r="AE14" i="3"/>
  <c r="AF14" i="3" s="1"/>
  <c r="AE25" i="3"/>
  <c r="AE22" i="3"/>
  <c r="AE13" i="3"/>
  <c r="AE19" i="3"/>
  <c r="AF19" i="3" s="1"/>
  <c r="AE21" i="3"/>
  <c r="AE18" i="3"/>
  <c r="AE17" i="3"/>
  <c r="AF17" i="3" s="1"/>
  <c r="AE12" i="3"/>
  <c r="AF12" i="3" s="1"/>
  <c r="AE11" i="3"/>
  <c r="AF11" i="3" s="1"/>
  <c r="AE9" i="3"/>
  <c r="AE10" i="3"/>
  <c r="AE8" i="3"/>
  <c r="AF8" i="3" s="1"/>
  <c r="AE7" i="3"/>
  <c r="AE6" i="3"/>
  <c r="AE5" i="3"/>
  <c r="AE4" i="3"/>
  <c r="AF4" i="3" s="1"/>
  <c r="AE3" i="3"/>
  <c r="AF3" i="3" s="1"/>
  <c r="Z76" i="3"/>
  <c r="AA76" i="3" s="1"/>
  <c r="Z77" i="3"/>
  <c r="Z75" i="3"/>
  <c r="AA75" i="3" s="1"/>
  <c r="Z74" i="3"/>
  <c r="Z63" i="3"/>
  <c r="AA63" i="3" s="1"/>
  <c r="Z46" i="3"/>
  <c r="AA46" i="3" s="1"/>
  <c r="Z52" i="3"/>
  <c r="AA52" i="3" s="1"/>
  <c r="Z72" i="3"/>
  <c r="Z69" i="3"/>
  <c r="AA69" i="3" s="1"/>
  <c r="Z61" i="3"/>
  <c r="Z71" i="3"/>
  <c r="AA71" i="3" s="1"/>
  <c r="Z42" i="3"/>
  <c r="Z49" i="3"/>
  <c r="AA49" i="3" s="1"/>
  <c r="Z55" i="3"/>
  <c r="Z62" i="3"/>
  <c r="Z67" i="3"/>
  <c r="Z64" i="3"/>
  <c r="AA64" i="3" s="1"/>
  <c r="Z45" i="3"/>
  <c r="Z66" i="3"/>
  <c r="Z73" i="3"/>
  <c r="Z60" i="3"/>
  <c r="AA60" i="3" s="1"/>
  <c r="Z15" i="3"/>
  <c r="AA15" i="3" s="1"/>
  <c r="Z59" i="3"/>
  <c r="AA59" i="3" s="1"/>
  <c r="Z58" i="3"/>
  <c r="Z57" i="3"/>
  <c r="AA57" i="3" s="1"/>
  <c r="Z23" i="3"/>
  <c r="Z53" i="3"/>
  <c r="AA53" i="3" s="1"/>
  <c r="Z54" i="3"/>
  <c r="Z68" i="3"/>
  <c r="AA68" i="3" s="1"/>
  <c r="Z41" i="3"/>
  <c r="Z48" i="3"/>
  <c r="AA48" i="3" s="1"/>
  <c r="Z47" i="3"/>
  <c r="Z51" i="3"/>
  <c r="AA51" i="3" s="1"/>
  <c r="Z50" i="3"/>
  <c r="Z56" i="3"/>
  <c r="AA56" i="3" s="1"/>
  <c r="Z44" i="3"/>
  <c r="Z40" i="3"/>
  <c r="AA40" i="3" s="1"/>
  <c r="Z43" i="3"/>
  <c r="AA43" i="3" s="1"/>
  <c r="Z37" i="3"/>
  <c r="AA37" i="3" s="1"/>
  <c r="Z70" i="3"/>
  <c r="Z39" i="3"/>
  <c r="AA39" i="3" s="1"/>
  <c r="Z36" i="3"/>
  <c r="Z20" i="3"/>
  <c r="Z28" i="3"/>
  <c r="Z38" i="3"/>
  <c r="AA38" i="3" s="1"/>
  <c r="Z35" i="3"/>
  <c r="Z34" i="3"/>
  <c r="Z27" i="3"/>
  <c r="Z33" i="3"/>
  <c r="AA33" i="3" s="1"/>
  <c r="Z31" i="3"/>
  <c r="Z32" i="3"/>
  <c r="Z30" i="3"/>
  <c r="Z29" i="3"/>
  <c r="AA29" i="3" s="1"/>
  <c r="Z65" i="3"/>
  <c r="AA65" i="3" s="1"/>
  <c r="Z26" i="3"/>
  <c r="AA26" i="3" s="1"/>
  <c r="Z16" i="3"/>
  <c r="Z24" i="3"/>
  <c r="AA24" i="3" s="1"/>
  <c r="Z14" i="3"/>
  <c r="Z25" i="3"/>
  <c r="Z22" i="3"/>
  <c r="Z13" i="3"/>
  <c r="AA13" i="3" s="1"/>
  <c r="Z19" i="3"/>
  <c r="Z21" i="3"/>
  <c r="AA21" i="3" s="1"/>
  <c r="Z18" i="3"/>
  <c r="Z17" i="3"/>
  <c r="AA17" i="3" s="1"/>
  <c r="Z12" i="3"/>
  <c r="Z11" i="3"/>
  <c r="AA11" i="3" s="1"/>
  <c r="Z9" i="3"/>
  <c r="Z10" i="3"/>
  <c r="AA10" i="3" s="1"/>
  <c r="Z8" i="3"/>
  <c r="AA8" i="3" s="1"/>
  <c r="Z7" i="3"/>
  <c r="Z6" i="3"/>
  <c r="Z5" i="3"/>
  <c r="AA5" i="3" s="1"/>
  <c r="Z4" i="3"/>
  <c r="Z3" i="3"/>
  <c r="U76" i="3"/>
  <c r="U77" i="3"/>
  <c r="V77" i="3" s="1"/>
  <c r="U75" i="3"/>
  <c r="U74" i="3"/>
  <c r="V74" i="3" s="1"/>
  <c r="U63" i="3"/>
  <c r="U46" i="3"/>
  <c r="V46" i="3" s="1"/>
  <c r="U52" i="3"/>
  <c r="U72" i="3"/>
  <c r="V72" i="3" s="1"/>
  <c r="U69" i="3"/>
  <c r="U61" i="3"/>
  <c r="V61" i="3" s="1"/>
  <c r="U71" i="3"/>
  <c r="U42" i="3"/>
  <c r="V42" i="3" s="1"/>
  <c r="U49" i="3"/>
  <c r="U55" i="3"/>
  <c r="V55" i="3" s="1"/>
  <c r="U62" i="3"/>
  <c r="U67" i="3"/>
  <c r="V67" i="3" s="1"/>
  <c r="U64" i="3"/>
  <c r="U45" i="3"/>
  <c r="V45" i="3" s="1"/>
  <c r="U66" i="3"/>
  <c r="U73" i="3"/>
  <c r="V73" i="3" s="1"/>
  <c r="U60" i="3"/>
  <c r="U15" i="3"/>
  <c r="V15" i="3" s="1"/>
  <c r="U59" i="3"/>
  <c r="U58" i="3"/>
  <c r="V58" i="3" s="1"/>
  <c r="U57" i="3"/>
  <c r="V57" i="3" s="1"/>
  <c r="U23" i="3"/>
  <c r="V23" i="3" s="1"/>
  <c r="U53" i="3"/>
  <c r="U54" i="3"/>
  <c r="V54" i="3" s="1"/>
  <c r="U68" i="3"/>
  <c r="U41" i="3"/>
  <c r="V41" i="3" s="1"/>
  <c r="U48" i="3"/>
  <c r="U47" i="3"/>
  <c r="V47" i="3" s="1"/>
  <c r="U51" i="3"/>
  <c r="U50" i="3"/>
  <c r="V50" i="3" s="1"/>
  <c r="U56" i="3"/>
  <c r="U44" i="3"/>
  <c r="V44" i="3" s="1"/>
  <c r="U40" i="3"/>
  <c r="U43" i="3"/>
  <c r="V43" i="3" s="1"/>
  <c r="U37" i="3"/>
  <c r="U70" i="3"/>
  <c r="V70" i="3" s="1"/>
  <c r="U39" i="3"/>
  <c r="U36" i="3"/>
  <c r="V36" i="3" s="1"/>
  <c r="U20" i="3"/>
  <c r="U28" i="3"/>
  <c r="V28" i="3" s="1"/>
  <c r="U38" i="3"/>
  <c r="V38" i="3" s="1"/>
  <c r="U35" i="3"/>
  <c r="V35" i="3" s="1"/>
  <c r="U34" i="3"/>
  <c r="U27" i="3"/>
  <c r="V27" i="3" s="1"/>
  <c r="U33" i="3"/>
  <c r="U31" i="3"/>
  <c r="V31" i="3" s="1"/>
  <c r="U32" i="3"/>
  <c r="U30" i="3"/>
  <c r="V30" i="3" s="1"/>
  <c r="U29" i="3"/>
  <c r="U65" i="3"/>
  <c r="V65" i="3" s="1"/>
  <c r="U26" i="3"/>
  <c r="U16" i="3"/>
  <c r="V16" i="3" s="1"/>
  <c r="U24" i="3"/>
  <c r="V24" i="3" s="1"/>
  <c r="U14" i="3"/>
  <c r="V14" i="3" s="1"/>
  <c r="U25" i="3"/>
  <c r="V25" i="3" s="1"/>
  <c r="U22" i="3"/>
  <c r="V22" i="3" s="1"/>
  <c r="U13" i="3"/>
  <c r="U19" i="3"/>
  <c r="V19" i="3" s="1"/>
  <c r="U21" i="3"/>
  <c r="U18" i="3"/>
  <c r="V18" i="3" s="1"/>
  <c r="U17" i="3"/>
  <c r="U12" i="3"/>
  <c r="V12" i="3" s="1"/>
  <c r="U11" i="3"/>
  <c r="V11" i="3" s="1"/>
  <c r="U9" i="3"/>
  <c r="V9" i="3" s="1"/>
  <c r="U10" i="3"/>
  <c r="U8" i="3"/>
  <c r="V8" i="3" s="1"/>
  <c r="U7" i="3"/>
  <c r="U6" i="3"/>
  <c r="V6" i="3" s="1"/>
  <c r="U5" i="3"/>
  <c r="V5" i="3" s="1"/>
  <c r="U4" i="3"/>
  <c r="V4" i="3" s="1"/>
  <c r="U3" i="3"/>
  <c r="V3" i="3" s="1"/>
  <c r="P76" i="3"/>
  <c r="P77" i="3"/>
  <c r="Q77" i="3" s="1"/>
  <c r="P75" i="3"/>
  <c r="P74" i="3"/>
  <c r="Q74" i="3" s="1"/>
  <c r="P63" i="3"/>
  <c r="P46" i="3"/>
  <c r="Q46" i="3" s="1"/>
  <c r="P52" i="3"/>
  <c r="P72" i="3"/>
  <c r="Q72" i="3" s="1"/>
  <c r="P69" i="3"/>
  <c r="P61" i="3"/>
  <c r="Q61" i="3" s="1"/>
  <c r="P71" i="3"/>
  <c r="P42" i="3"/>
  <c r="P49" i="3"/>
  <c r="P55" i="3"/>
  <c r="Q55" i="3" s="1"/>
  <c r="P62" i="3"/>
  <c r="Q62" i="3" s="1"/>
  <c r="P67" i="3"/>
  <c r="P64" i="3"/>
  <c r="P45" i="3"/>
  <c r="Q45" i="3" s="1"/>
  <c r="P66" i="3"/>
  <c r="P73" i="3"/>
  <c r="P60" i="3"/>
  <c r="Q60" i="3" s="1"/>
  <c r="P15" i="3"/>
  <c r="Q15" i="3" s="1"/>
  <c r="P59" i="3"/>
  <c r="P58" i="3"/>
  <c r="P57" i="3"/>
  <c r="P23" i="3"/>
  <c r="Q23" i="3" s="1"/>
  <c r="P53" i="3"/>
  <c r="P54" i="3"/>
  <c r="P68" i="3"/>
  <c r="P41" i="3"/>
  <c r="Q41" i="3" s="1"/>
  <c r="P48" i="3"/>
  <c r="P47" i="3"/>
  <c r="P51" i="3"/>
  <c r="P50" i="3"/>
  <c r="Q50" i="3" s="1"/>
  <c r="P56" i="3"/>
  <c r="P44" i="3"/>
  <c r="P40" i="3"/>
  <c r="Q40" i="3" s="1"/>
  <c r="P43" i="3"/>
  <c r="Q43" i="3" s="1"/>
  <c r="P37" i="3"/>
  <c r="P70" i="3"/>
  <c r="Q70" i="3" s="1"/>
  <c r="P39" i="3"/>
  <c r="P36" i="3"/>
  <c r="Q36" i="3" s="1"/>
  <c r="P20" i="3"/>
  <c r="P28" i="3"/>
  <c r="P38" i="3"/>
  <c r="P35" i="3"/>
  <c r="Q35" i="3" s="1"/>
  <c r="P34" i="3"/>
  <c r="P27" i="3"/>
  <c r="P33" i="3"/>
  <c r="P31" i="3"/>
  <c r="Q31" i="3" s="1"/>
  <c r="P32" i="3"/>
  <c r="P30" i="3"/>
  <c r="P29" i="3"/>
  <c r="Q29" i="3" s="1"/>
  <c r="P65" i="3"/>
  <c r="Q65" i="3" s="1"/>
  <c r="P26" i="3"/>
  <c r="P16" i="3"/>
  <c r="P24" i="3"/>
  <c r="P14" i="3"/>
  <c r="Q14" i="3" s="1"/>
  <c r="P25" i="3"/>
  <c r="P22" i="3"/>
  <c r="P13" i="3"/>
  <c r="P19" i="3"/>
  <c r="Q19" i="3" s="1"/>
  <c r="P21" i="3"/>
  <c r="P18" i="3"/>
  <c r="P17" i="3"/>
  <c r="P12" i="3"/>
  <c r="Q12" i="3" s="1"/>
  <c r="P11" i="3"/>
  <c r="P9" i="3"/>
  <c r="P10" i="3"/>
  <c r="P8" i="3"/>
  <c r="Q8" i="3" s="1"/>
  <c r="P7" i="3"/>
  <c r="P6" i="3"/>
  <c r="P5" i="3"/>
  <c r="Q5" i="3" s="1"/>
  <c r="P4" i="3"/>
  <c r="Q4" i="3" s="1"/>
  <c r="P3" i="3"/>
  <c r="K76" i="3"/>
  <c r="K77" i="3"/>
  <c r="K75" i="3"/>
  <c r="K74" i="3"/>
  <c r="K63" i="3"/>
  <c r="L63" i="3" s="1"/>
  <c r="K46" i="3"/>
  <c r="L46" i="3" s="1"/>
  <c r="K52" i="3"/>
  <c r="K72" i="3"/>
  <c r="K69" i="3"/>
  <c r="L69" i="3" s="1"/>
  <c r="K61" i="3"/>
  <c r="K71" i="3"/>
  <c r="K42" i="3"/>
  <c r="K49" i="3"/>
  <c r="L49" i="3" s="1"/>
  <c r="K55" i="3"/>
  <c r="K62" i="3"/>
  <c r="K67" i="3"/>
  <c r="K64" i="3"/>
  <c r="L64" i="3" s="1"/>
  <c r="K45" i="3"/>
  <c r="K66" i="3"/>
  <c r="K73" i="3"/>
  <c r="K60" i="3"/>
  <c r="L60" i="3" s="1"/>
  <c r="K15" i="3"/>
  <c r="K59" i="3"/>
  <c r="K58" i="3"/>
  <c r="K57" i="3"/>
  <c r="L57" i="3" s="1"/>
  <c r="K23" i="3"/>
  <c r="K53" i="3"/>
  <c r="K54" i="3"/>
  <c r="K68" i="3"/>
  <c r="L68" i="3" s="1"/>
  <c r="K41" i="3"/>
  <c r="K48" i="3"/>
  <c r="K47" i="3"/>
  <c r="K51" i="3"/>
  <c r="L51" i="3" s="1"/>
  <c r="K50" i="3"/>
  <c r="K56" i="3"/>
  <c r="K44" i="3"/>
  <c r="K40" i="3"/>
  <c r="L40" i="3" s="1"/>
  <c r="K43" i="3"/>
  <c r="K37" i="3"/>
  <c r="K70" i="3"/>
  <c r="K39" i="3"/>
  <c r="L39" i="3" s="1"/>
  <c r="K36" i="3"/>
  <c r="K20" i="3"/>
  <c r="K28" i="3"/>
  <c r="K38" i="3"/>
  <c r="L38" i="3" s="1"/>
  <c r="K35" i="3"/>
  <c r="K34" i="3"/>
  <c r="K27" i="3"/>
  <c r="K33" i="3"/>
  <c r="L33" i="3" s="1"/>
  <c r="K31" i="3"/>
  <c r="K32" i="3"/>
  <c r="K30" i="3"/>
  <c r="K29" i="3"/>
  <c r="L29" i="3" s="1"/>
  <c r="K65" i="3"/>
  <c r="K26" i="3"/>
  <c r="K16" i="3"/>
  <c r="K24" i="3"/>
  <c r="L24" i="3" s="1"/>
  <c r="K14" i="3"/>
  <c r="K25" i="3"/>
  <c r="K22" i="3"/>
  <c r="K13" i="3"/>
  <c r="L13" i="3" s="1"/>
  <c r="K19" i="3"/>
  <c r="K21" i="3"/>
  <c r="K18" i="3"/>
  <c r="K17" i="3"/>
  <c r="L17" i="3" s="1"/>
  <c r="K12" i="3"/>
  <c r="K11" i="3"/>
  <c r="K9" i="3"/>
  <c r="K10" i="3"/>
  <c r="L10" i="3" s="1"/>
  <c r="K8" i="3"/>
  <c r="K7" i="3"/>
  <c r="K6" i="3"/>
  <c r="K5" i="3"/>
  <c r="L5" i="3" s="1"/>
  <c r="K4" i="3"/>
  <c r="K3" i="3"/>
  <c r="H5" i="3"/>
  <c r="H11" i="3"/>
  <c r="H17" i="3"/>
  <c r="H25" i="3"/>
  <c r="H24" i="3"/>
  <c r="H32" i="3"/>
  <c r="H33" i="3"/>
  <c r="H20" i="3"/>
  <c r="H39" i="3"/>
  <c r="H40" i="3"/>
  <c r="H56" i="3"/>
  <c r="H51" i="3"/>
  <c r="H68" i="3"/>
  <c r="H53" i="3"/>
  <c r="H57" i="3"/>
  <c r="H60" i="3"/>
  <c r="H66" i="3"/>
  <c r="H64" i="3"/>
  <c r="H49" i="3"/>
  <c r="H71" i="3"/>
  <c r="H69" i="3"/>
  <c r="H63" i="3"/>
  <c r="H75" i="3"/>
  <c r="H76" i="3"/>
  <c r="BL86" i="5" l="1"/>
  <c r="BN5" i="5"/>
  <c r="BL5" i="5"/>
  <c r="BL70" i="5"/>
  <c r="BN18" i="5"/>
  <c r="BL18" i="5"/>
  <c r="BL50" i="5"/>
  <c r="BN80" i="5"/>
  <c r="BL80" i="5"/>
  <c r="BL44" i="5"/>
  <c r="BL16" i="5"/>
  <c r="BL35" i="5"/>
  <c r="BL45" i="5"/>
  <c r="BL52" i="5"/>
  <c r="BL87" i="5"/>
  <c r="BL12" i="5"/>
  <c r="BL25" i="5"/>
  <c r="BL58" i="5"/>
  <c r="BL68" i="5"/>
  <c r="BL49" i="5"/>
  <c r="BL7" i="5"/>
  <c r="BL56" i="5"/>
  <c r="BL97" i="5"/>
  <c r="BN97" i="5" s="1"/>
  <c r="BL38" i="5"/>
  <c r="BL84" i="5"/>
  <c r="BL43" i="5"/>
  <c r="BL34" i="5"/>
  <c r="BL93" i="5"/>
  <c r="BN93" i="5" s="1"/>
  <c r="BL24" i="5"/>
  <c r="BL42" i="5"/>
  <c r="BL51" i="5"/>
  <c r="BL71" i="5"/>
  <c r="BL95" i="5"/>
  <c r="BN95" i="5" s="1"/>
  <c r="BL20" i="5"/>
  <c r="BL37" i="5"/>
  <c r="BL63" i="5"/>
  <c r="BL75" i="5"/>
  <c r="BL94" i="5"/>
  <c r="BN94" i="5" s="1"/>
  <c r="BL40" i="5"/>
  <c r="BL30" i="5"/>
  <c r="BL55" i="5"/>
  <c r="BL92" i="5"/>
  <c r="BN92" i="5" s="1"/>
  <c r="BL28" i="5"/>
  <c r="BL79" i="5"/>
  <c r="H7" i="6"/>
  <c r="BL8" i="5"/>
  <c r="BN8" i="5" s="1"/>
  <c r="BN9" i="5"/>
  <c r="BL9" i="5"/>
  <c r="BL91" i="5"/>
  <c r="BN91" i="5" s="1"/>
  <c r="BN22" i="5"/>
  <c r="BP22" i="5" s="1"/>
  <c r="BL22" i="5"/>
  <c r="BL72" i="5"/>
  <c r="BN72" i="5" s="1"/>
  <c r="BN4" i="5"/>
  <c r="BL4" i="5"/>
  <c r="BL26" i="5"/>
  <c r="BN26" i="5" s="1"/>
  <c r="BN89" i="5"/>
  <c r="BL89" i="5"/>
  <c r="BL31" i="5"/>
  <c r="BN31" i="5" s="1"/>
  <c r="BN77" i="5"/>
  <c r="BL77" i="5"/>
  <c r="BL11" i="5"/>
  <c r="BN11" i="5" s="1"/>
  <c r="BN27" i="5"/>
  <c r="BL27" i="5"/>
  <c r="BL39" i="5"/>
  <c r="BN39" i="5" s="1"/>
  <c r="BN59" i="5"/>
  <c r="BL59" i="5"/>
  <c r="BL82" i="5"/>
  <c r="BN88" i="5"/>
  <c r="BL88" i="5"/>
  <c r="BL17" i="5"/>
  <c r="BN17" i="5" s="1"/>
  <c r="BN36" i="5"/>
  <c r="BL36" i="5"/>
  <c r="BL62" i="5"/>
  <c r="BN62" i="5" s="1"/>
  <c r="BN74" i="5"/>
  <c r="BL74" i="5"/>
  <c r="BL83" i="5"/>
  <c r="BN29" i="5"/>
  <c r="BL29" i="5"/>
  <c r="BL98" i="5"/>
  <c r="BN98" i="5" s="1"/>
  <c r="BN46" i="5"/>
  <c r="BL46" i="5"/>
  <c r="BL67" i="5"/>
  <c r="BN67" i="5" s="1"/>
  <c r="BN19" i="5"/>
  <c r="BL19" i="5"/>
  <c r="BL61" i="5"/>
  <c r="BN61" i="5" s="1"/>
  <c r="BN96" i="5"/>
  <c r="BL96" i="5"/>
  <c r="BL21" i="5"/>
  <c r="BN21" i="5" s="1"/>
  <c r="BN54" i="5"/>
  <c r="BL54" i="5"/>
  <c r="BL13" i="5"/>
  <c r="BN13" i="5" s="1"/>
  <c r="BN33" i="5"/>
  <c r="BL33" i="5"/>
  <c r="BL47" i="5"/>
  <c r="BN47" i="5" s="1"/>
  <c r="BN69" i="5"/>
  <c r="BL69" i="5"/>
  <c r="BL90" i="5"/>
  <c r="BN90" i="5" s="1"/>
  <c r="BN15" i="5"/>
  <c r="BL15" i="5"/>
  <c r="BL32" i="5"/>
  <c r="BN32" i="5" s="1"/>
  <c r="BN53" i="5"/>
  <c r="BL53" i="5"/>
  <c r="BL73" i="5"/>
  <c r="BN73" i="5" s="1"/>
  <c r="BN76" i="5"/>
  <c r="BL76" i="5"/>
  <c r="BL10" i="5"/>
  <c r="BN10" i="5" s="1"/>
  <c r="BN65" i="5"/>
  <c r="BL65" i="5"/>
  <c r="BL23" i="5"/>
  <c r="BN23" i="5" s="1"/>
  <c r="BN41" i="5"/>
  <c r="BL41" i="5"/>
  <c r="BL78" i="5"/>
  <c r="BN14" i="5"/>
  <c r="BL14" i="5"/>
  <c r="BL64" i="5"/>
  <c r="BN64" i="5" s="1"/>
  <c r="BN81" i="5"/>
  <c r="BL81" i="5"/>
  <c r="BL66" i="5"/>
  <c r="BN66" i="5" s="1"/>
  <c r="BN60" i="5"/>
  <c r="BL60" i="5"/>
  <c r="BL6" i="5"/>
  <c r="BN6" i="5" s="1"/>
  <c r="BN57" i="5"/>
  <c r="BL57" i="5"/>
  <c r="BL85" i="5"/>
  <c r="BN48" i="5"/>
  <c r="BL48" i="5"/>
  <c r="M6" i="3"/>
  <c r="L6" i="3"/>
  <c r="M9" i="3"/>
  <c r="L9" i="3"/>
  <c r="M18" i="3"/>
  <c r="L18" i="3"/>
  <c r="M22" i="3"/>
  <c r="L22" i="3"/>
  <c r="M16" i="3"/>
  <c r="L16" i="3"/>
  <c r="M30" i="3"/>
  <c r="L30" i="3"/>
  <c r="M27" i="3"/>
  <c r="L27" i="3"/>
  <c r="M28" i="3"/>
  <c r="L28" i="3"/>
  <c r="M70" i="3"/>
  <c r="L70" i="3"/>
  <c r="M44" i="3"/>
  <c r="L44" i="3"/>
  <c r="M47" i="3"/>
  <c r="L47" i="3"/>
  <c r="M54" i="3"/>
  <c r="L54" i="3"/>
  <c r="M58" i="3"/>
  <c r="L58" i="3"/>
  <c r="M73" i="3"/>
  <c r="L73" i="3"/>
  <c r="M67" i="3"/>
  <c r="L67" i="3"/>
  <c r="M42" i="3"/>
  <c r="L42" i="3"/>
  <c r="M72" i="3"/>
  <c r="L72" i="3"/>
  <c r="M74" i="3"/>
  <c r="L74" i="3"/>
  <c r="R3" i="3"/>
  <c r="Q3" i="3"/>
  <c r="R7" i="3"/>
  <c r="Q7" i="3"/>
  <c r="R11" i="3"/>
  <c r="Q11" i="3"/>
  <c r="R21" i="3"/>
  <c r="Q21" i="3"/>
  <c r="R25" i="3"/>
  <c r="Q25" i="3"/>
  <c r="R26" i="3"/>
  <c r="Q26" i="3"/>
  <c r="R32" i="3"/>
  <c r="Q32" i="3"/>
  <c r="R34" i="3"/>
  <c r="Q34" i="3"/>
  <c r="R20" i="3"/>
  <c r="Q20" i="3"/>
  <c r="R37" i="3"/>
  <c r="Q37" i="3"/>
  <c r="R56" i="3"/>
  <c r="Q56" i="3"/>
  <c r="R48" i="3"/>
  <c r="Q48" i="3"/>
  <c r="R53" i="3"/>
  <c r="Q53" i="3"/>
  <c r="R59" i="3"/>
  <c r="Q59" i="3"/>
  <c r="R66" i="3"/>
  <c r="Q66" i="3"/>
  <c r="R71" i="3"/>
  <c r="Q71" i="3"/>
  <c r="R52" i="3"/>
  <c r="Q52" i="3"/>
  <c r="R75" i="3"/>
  <c r="Q75" i="3"/>
  <c r="AG6" i="3"/>
  <c r="AF6" i="3"/>
  <c r="AG9" i="3"/>
  <c r="AF9" i="3"/>
  <c r="AG18" i="3"/>
  <c r="AF18" i="3"/>
  <c r="AG22" i="3"/>
  <c r="AF22" i="3"/>
  <c r="AG16" i="3"/>
  <c r="AF16" i="3"/>
  <c r="AG30" i="3"/>
  <c r="AF30" i="3"/>
  <c r="AG27" i="3"/>
  <c r="AF27" i="3"/>
  <c r="AG28" i="3"/>
  <c r="AF28" i="3"/>
  <c r="AG70" i="3"/>
  <c r="AF70" i="3"/>
  <c r="AG44" i="3"/>
  <c r="AF44" i="3"/>
  <c r="AG47" i="3"/>
  <c r="AF47" i="3"/>
  <c r="AG54" i="3"/>
  <c r="AF54" i="3"/>
  <c r="AG58" i="3"/>
  <c r="AF58" i="3"/>
  <c r="AG73" i="3"/>
  <c r="AF73" i="3"/>
  <c r="AG67" i="3"/>
  <c r="AF67" i="3"/>
  <c r="AG42" i="3"/>
  <c r="AF42" i="3"/>
  <c r="AG72" i="3"/>
  <c r="AF72" i="3"/>
  <c r="AG74" i="3"/>
  <c r="AF74" i="3"/>
  <c r="AL21" i="3"/>
  <c r="AK21" i="3"/>
  <c r="AL26" i="3"/>
  <c r="AK26" i="3"/>
  <c r="AL34" i="3"/>
  <c r="AK34" i="3"/>
  <c r="AL48" i="3"/>
  <c r="AK48" i="3"/>
  <c r="AL59" i="3"/>
  <c r="AK59" i="3"/>
  <c r="AL62" i="3"/>
  <c r="AK62" i="3"/>
  <c r="AL71" i="3"/>
  <c r="AK71" i="3"/>
  <c r="AL52" i="3"/>
  <c r="AK52" i="3"/>
  <c r="AQ4" i="3"/>
  <c r="AP4" i="3"/>
  <c r="AQ12" i="3"/>
  <c r="AP12" i="3"/>
  <c r="AQ45" i="3"/>
  <c r="AP45" i="3"/>
  <c r="AV10" i="3"/>
  <c r="AU10" i="3"/>
  <c r="AV13" i="3"/>
  <c r="AU13" i="3"/>
  <c r="AV38" i="3"/>
  <c r="AU38" i="3"/>
  <c r="AV57" i="3"/>
  <c r="AU57" i="3"/>
  <c r="AV64" i="3"/>
  <c r="AU64" i="3"/>
  <c r="AV69" i="3"/>
  <c r="AU69" i="3"/>
  <c r="BA6" i="3"/>
  <c r="AZ6" i="3"/>
  <c r="BA9" i="3"/>
  <c r="AZ9" i="3"/>
  <c r="BA18" i="3"/>
  <c r="AZ18" i="3"/>
  <c r="BA22" i="3"/>
  <c r="AZ22" i="3"/>
  <c r="BA16" i="3"/>
  <c r="AZ16" i="3"/>
  <c r="BA30" i="3"/>
  <c r="AZ30" i="3"/>
  <c r="BA27" i="3"/>
  <c r="AZ27" i="3"/>
  <c r="BA28" i="3"/>
  <c r="AZ28" i="3"/>
  <c r="BA70" i="3"/>
  <c r="AZ70" i="3"/>
  <c r="BA44" i="3"/>
  <c r="AZ44" i="3"/>
  <c r="BA47" i="3"/>
  <c r="AZ47" i="3"/>
  <c r="BA54" i="3"/>
  <c r="AZ54" i="3"/>
  <c r="BA58" i="3"/>
  <c r="AZ58" i="3"/>
  <c r="BA73" i="3"/>
  <c r="AZ73" i="3"/>
  <c r="BA67" i="3"/>
  <c r="AZ67" i="3"/>
  <c r="BA42" i="3"/>
  <c r="AZ42" i="3"/>
  <c r="BA72" i="3"/>
  <c r="AZ72" i="3"/>
  <c r="BA74" i="3"/>
  <c r="AZ74" i="3"/>
  <c r="M76" i="3"/>
  <c r="L76" i="3"/>
  <c r="R18" i="3"/>
  <c r="Q18" i="3"/>
  <c r="R16" i="3"/>
  <c r="Q16" i="3"/>
  <c r="R47" i="3"/>
  <c r="Q47" i="3"/>
  <c r="R73" i="3"/>
  <c r="Q73" i="3"/>
  <c r="R42" i="3"/>
  <c r="Q42" i="3"/>
  <c r="W21" i="3"/>
  <c r="V21" i="3"/>
  <c r="W26" i="3"/>
  <c r="V26" i="3"/>
  <c r="W20" i="3"/>
  <c r="V20" i="3"/>
  <c r="W56" i="3"/>
  <c r="V56" i="3"/>
  <c r="W53" i="3"/>
  <c r="V53" i="3"/>
  <c r="W66" i="3"/>
  <c r="V66" i="3"/>
  <c r="W71" i="3"/>
  <c r="V71" i="3"/>
  <c r="W75" i="3"/>
  <c r="V75" i="3"/>
  <c r="AB4" i="3"/>
  <c r="AA4" i="3"/>
  <c r="AB12" i="3"/>
  <c r="AA12" i="3"/>
  <c r="AB55" i="3"/>
  <c r="AA55" i="3"/>
  <c r="AB61" i="3"/>
  <c r="AA61" i="3"/>
  <c r="AB77" i="3"/>
  <c r="AA77" i="3"/>
  <c r="AG24" i="3"/>
  <c r="AF24" i="3"/>
  <c r="AG39" i="3"/>
  <c r="AF39" i="3"/>
  <c r="AL9" i="3"/>
  <c r="AK9" i="3"/>
  <c r="AL22" i="3"/>
  <c r="AK22" i="3"/>
  <c r="AL27" i="3"/>
  <c r="AK27" i="3"/>
  <c r="AL70" i="3"/>
  <c r="AK70" i="3"/>
  <c r="AL47" i="3"/>
  <c r="AK47" i="3"/>
  <c r="AL73" i="3"/>
  <c r="AK73" i="3"/>
  <c r="AL42" i="3"/>
  <c r="AK42" i="3"/>
  <c r="AQ20" i="3"/>
  <c r="AP20" i="3"/>
  <c r="AQ59" i="3"/>
  <c r="AP59" i="3"/>
  <c r="AQ62" i="3"/>
  <c r="AP62" i="3"/>
  <c r="BA76" i="3"/>
  <c r="AZ76" i="3"/>
  <c r="M3" i="3"/>
  <c r="L3" i="3"/>
  <c r="M7" i="3"/>
  <c r="L7" i="3"/>
  <c r="M11" i="3"/>
  <c r="L11" i="3"/>
  <c r="M21" i="3"/>
  <c r="L21" i="3"/>
  <c r="M25" i="3"/>
  <c r="L25" i="3"/>
  <c r="M26" i="3"/>
  <c r="L26" i="3"/>
  <c r="M32" i="3"/>
  <c r="L32" i="3"/>
  <c r="M34" i="3"/>
  <c r="L34" i="3"/>
  <c r="M20" i="3"/>
  <c r="L20" i="3"/>
  <c r="M37" i="3"/>
  <c r="L37" i="3"/>
  <c r="M56" i="3"/>
  <c r="L56" i="3"/>
  <c r="M48" i="3"/>
  <c r="L48" i="3"/>
  <c r="M53" i="3"/>
  <c r="L53" i="3"/>
  <c r="M59" i="3"/>
  <c r="L59" i="3"/>
  <c r="M66" i="3"/>
  <c r="L66" i="3"/>
  <c r="M62" i="3"/>
  <c r="L62" i="3"/>
  <c r="M71" i="3"/>
  <c r="L71" i="3"/>
  <c r="M52" i="3"/>
  <c r="L52" i="3"/>
  <c r="M75" i="3"/>
  <c r="L75" i="3"/>
  <c r="W10" i="3"/>
  <c r="V10" i="3"/>
  <c r="W17" i="3"/>
  <c r="V17" i="3"/>
  <c r="W13" i="3"/>
  <c r="V13" i="3"/>
  <c r="W29" i="3"/>
  <c r="V29" i="3"/>
  <c r="W33" i="3"/>
  <c r="V33" i="3"/>
  <c r="W39" i="3"/>
  <c r="V39" i="3"/>
  <c r="W40" i="3"/>
  <c r="V40" i="3"/>
  <c r="W51" i="3"/>
  <c r="V51" i="3"/>
  <c r="W68" i="3"/>
  <c r="V68" i="3"/>
  <c r="W60" i="3"/>
  <c r="V60" i="3"/>
  <c r="W64" i="3"/>
  <c r="V64" i="3"/>
  <c r="W49" i="3"/>
  <c r="V49" i="3"/>
  <c r="W69" i="3"/>
  <c r="V69" i="3"/>
  <c r="W63" i="3"/>
  <c r="V63" i="3"/>
  <c r="W76" i="3"/>
  <c r="V76" i="3"/>
  <c r="AB6" i="3"/>
  <c r="AA6" i="3"/>
  <c r="AB9" i="3"/>
  <c r="AA9" i="3"/>
  <c r="AB18" i="3"/>
  <c r="AA18" i="3"/>
  <c r="AB22" i="3"/>
  <c r="AA22" i="3"/>
  <c r="AB16" i="3"/>
  <c r="AA16" i="3"/>
  <c r="AB30" i="3"/>
  <c r="AA30" i="3"/>
  <c r="AB27" i="3"/>
  <c r="AA27" i="3"/>
  <c r="AB28" i="3"/>
  <c r="AA28" i="3"/>
  <c r="AB70" i="3"/>
  <c r="AA70" i="3"/>
  <c r="AB44" i="3"/>
  <c r="AA44" i="3"/>
  <c r="AB47" i="3"/>
  <c r="AA47" i="3"/>
  <c r="AB54" i="3"/>
  <c r="AA54" i="3"/>
  <c r="AB58" i="3"/>
  <c r="AA58" i="3"/>
  <c r="AB73" i="3"/>
  <c r="AA73" i="3"/>
  <c r="AB67" i="3"/>
  <c r="AA67" i="3"/>
  <c r="AB42" i="3"/>
  <c r="AA42" i="3"/>
  <c r="AB72" i="3"/>
  <c r="AA72" i="3"/>
  <c r="AB74" i="3"/>
  <c r="AA74" i="3"/>
  <c r="AG7" i="3"/>
  <c r="AF7" i="3"/>
  <c r="AG21" i="3"/>
  <c r="AF21" i="3"/>
  <c r="AG25" i="3"/>
  <c r="AF25" i="3"/>
  <c r="AG26" i="3"/>
  <c r="AF26" i="3"/>
  <c r="AG53" i="3"/>
  <c r="AF53" i="3"/>
  <c r="AG59" i="3"/>
  <c r="AF59" i="3"/>
  <c r="AG66" i="3"/>
  <c r="AF66" i="3"/>
  <c r="AG62" i="3"/>
  <c r="AF62" i="3"/>
  <c r="AG71" i="3"/>
  <c r="AF71" i="3"/>
  <c r="AV6" i="3"/>
  <c r="AU6" i="3"/>
  <c r="AV9" i="3"/>
  <c r="AU9" i="3"/>
  <c r="AV18" i="3"/>
  <c r="AU18" i="3"/>
  <c r="AV22" i="3"/>
  <c r="AU22" i="3"/>
  <c r="AV16" i="3"/>
  <c r="AU16" i="3"/>
  <c r="AV30" i="3"/>
  <c r="AU30" i="3"/>
  <c r="AV27" i="3"/>
  <c r="AU27" i="3"/>
  <c r="AV28" i="3"/>
  <c r="AU28" i="3"/>
  <c r="AV70" i="3"/>
  <c r="AU70" i="3"/>
  <c r="AV44" i="3"/>
  <c r="AU44" i="3"/>
  <c r="AV47" i="3"/>
  <c r="AU47" i="3"/>
  <c r="AV54" i="3"/>
  <c r="AU54" i="3"/>
  <c r="AV58" i="3"/>
  <c r="AU58" i="3"/>
  <c r="AV73" i="3"/>
  <c r="AU73" i="3"/>
  <c r="AV67" i="3"/>
  <c r="AU67" i="3"/>
  <c r="AV42" i="3"/>
  <c r="AU42" i="3"/>
  <c r="AV72" i="3"/>
  <c r="AU72" i="3"/>
  <c r="AV74" i="3"/>
  <c r="AU74" i="3"/>
  <c r="BA3" i="3"/>
  <c r="AZ3" i="3"/>
  <c r="BA11" i="3"/>
  <c r="AZ11" i="3"/>
  <c r="R6" i="3"/>
  <c r="Q6" i="3"/>
  <c r="R9" i="3"/>
  <c r="Q9" i="3"/>
  <c r="R22" i="3"/>
  <c r="Q22" i="3"/>
  <c r="R30" i="3"/>
  <c r="Q30" i="3"/>
  <c r="R27" i="3"/>
  <c r="Q27" i="3"/>
  <c r="R28" i="3"/>
  <c r="Q28" i="3"/>
  <c r="R44" i="3"/>
  <c r="Q44" i="3"/>
  <c r="R54" i="3"/>
  <c r="Q54" i="3"/>
  <c r="R58" i="3"/>
  <c r="Q58" i="3"/>
  <c r="R67" i="3"/>
  <c r="Q67" i="3"/>
  <c r="W7" i="3"/>
  <c r="V7" i="3"/>
  <c r="W32" i="3"/>
  <c r="V32" i="3"/>
  <c r="W34" i="3"/>
  <c r="V34" i="3"/>
  <c r="W37" i="3"/>
  <c r="V37" i="3"/>
  <c r="W48" i="3"/>
  <c r="V48" i="3"/>
  <c r="W59" i="3"/>
  <c r="V59" i="3"/>
  <c r="W62" i="3"/>
  <c r="V62" i="3"/>
  <c r="W52" i="3"/>
  <c r="V52" i="3"/>
  <c r="AB19" i="3"/>
  <c r="AA19" i="3"/>
  <c r="AB14" i="3"/>
  <c r="AA14" i="3"/>
  <c r="AB31" i="3"/>
  <c r="AA31" i="3"/>
  <c r="AB35" i="3"/>
  <c r="AA35" i="3"/>
  <c r="AB36" i="3"/>
  <c r="AA36" i="3"/>
  <c r="AB50" i="3"/>
  <c r="AA50" i="3"/>
  <c r="AB41" i="3"/>
  <c r="AA41" i="3"/>
  <c r="AB23" i="3"/>
  <c r="AA23" i="3"/>
  <c r="AB45" i="3"/>
  <c r="AA45" i="3"/>
  <c r="AG5" i="3"/>
  <c r="AF5" i="3"/>
  <c r="AG10" i="3"/>
  <c r="AF10" i="3"/>
  <c r="AG13" i="3"/>
  <c r="AF13" i="3"/>
  <c r="AG69" i="3"/>
  <c r="AF69" i="3"/>
  <c r="AG63" i="3"/>
  <c r="AF63" i="3"/>
  <c r="AL6" i="3"/>
  <c r="AK6" i="3"/>
  <c r="AL18" i="3"/>
  <c r="AK18" i="3"/>
  <c r="AL16" i="3"/>
  <c r="AK16" i="3"/>
  <c r="AL30" i="3"/>
  <c r="AK30" i="3"/>
  <c r="AL28" i="3"/>
  <c r="AK28" i="3"/>
  <c r="AL44" i="3"/>
  <c r="AK44" i="3"/>
  <c r="AL54" i="3"/>
  <c r="AK54" i="3"/>
  <c r="AL58" i="3"/>
  <c r="AK58" i="3"/>
  <c r="AL67" i="3"/>
  <c r="AK67" i="3"/>
  <c r="AL72" i="3"/>
  <c r="AK72" i="3"/>
  <c r="AL74" i="3"/>
  <c r="AK74" i="3"/>
  <c r="AQ11" i="3"/>
  <c r="AP11" i="3"/>
  <c r="AQ21" i="3"/>
  <c r="AP21" i="3"/>
  <c r="AQ26" i="3"/>
  <c r="AP26" i="3"/>
  <c r="AQ56" i="3"/>
  <c r="AP56" i="3"/>
  <c r="AQ48" i="3"/>
  <c r="AP48" i="3"/>
  <c r="AQ52" i="3"/>
  <c r="AP52" i="3"/>
  <c r="M4" i="3"/>
  <c r="L4" i="3"/>
  <c r="M8" i="3"/>
  <c r="L8" i="3"/>
  <c r="M12" i="3"/>
  <c r="L12" i="3"/>
  <c r="M19" i="3"/>
  <c r="L19" i="3"/>
  <c r="M14" i="3"/>
  <c r="L14" i="3"/>
  <c r="M65" i="3"/>
  <c r="L65" i="3"/>
  <c r="M31" i="3"/>
  <c r="L31" i="3"/>
  <c r="M35" i="3"/>
  <c r="L35" i="3"/>
  <c r="M36" i="3"/>
  <c r="L36" i="3"/>
  <c r="M43" i="3"/>
  <c r="L43" i="3"/>
  <c r="M50" i="3"/>
  <c r="L50" i="3"/>
  <c r="M41" i="3"/>
  <c r="L41" i="3"/>
  <c r="M23" i="3"/>
  <c r="L23" i="3"/>
  <c r="M15" i="3"/>
  <c r="L15" i="3"/>
  <c r="M45" i="3"/>
  <c r="L45" i="3"/>
  <c r="M55" i="3"/>
  <c r="L55" i="3"/>
  <c r="M61" i="3"/>
  <c r="L61" i="3"/>
  <c r="M77" i="3"/>
  <c r="L77" i="3"/>
  <c r="R10" i="3"/>
  <c r="Q10" i="3"/>
  <c r="R17" i="3"/>
  <c r="Q17" i="3"/>
  <c r="R13" i="3"/>
  <c r="Q13" i="3"/>
  <c r="R24" i="3"/>
  <c r="Q24" i="3"/>
  <c r="R33" i="3"/>
  <c r="Q33" i="3"/>
  <c r="R38" i="3"/>
  <c r="Q38" i="3"/>
  <c r="R39" i="3"/>
  <c r="Q39" i="3"/>
  <c r="R51" i="3"/>
  <c r="Q51" i="3"/>
  <c r="R68" i="3"/>
  <c r="Q68" i="3"/>
  <c r="R57" i="3"/>
  <c r="Q57" i="3"/>
  <c r="R64" i="3"/>
  <c r="Q64" i="3"/>
  <c r="R49" i="3"/>
  <c r="Q49" i="3"/>
  <c r="R69" i="3"/>
  <c r="Q69" i="3"/>
  <c r="R63" i="3"/>
  <c r="Q63" i="3"/>
  <c r="R76" i="3"/>
  <c r="Q76" i="3"/>
  <c r="AB3" i="3"/>
  <c r="AA3" i="3"/>
  <c r="AB7" i="3"/>
  <c r="AA7" i="3"/>
  <c r="AB25" i="3"/>
  <c r="AA25" i="3"/>
  <c r="AB32" i="3"/>
  <c r="AA32" i="3"/>
  <c r="AB34" i="3"/>
  <c r="AA34" i="3"/>
  <c r="AB20" i="3"/>
  <c r="AA20" i="3"/>
  <c r="AB66" i="3"/>
  <c r="AA66" i="3"/>
  <c r="AB62" i="3"/>
  <c r="AA62" i="3"/>
  <c r="AL13" i="3"/>
  <c r="AK13" i="3"/>
  <c r="AL29" i="3"/>
  <c r="AK29" i="3"/>
  <c r="AL38" i="3"/>
  <c r="AK38" i="3"/>
  <c r="AL68" i="3"/>
  <c r="AK68" i="3"/>
  <c r="AL60" i="3"/>
  <c r="AK60" i="3"/>
  <c r="AL63" i="3"/>
  <c r="AK63" i="3"/>
  <c r="AQ6" i="3"/>
  <c r="AP6" i="3"/>
  <c r="AQ9" i="3"/>
  <c r="AP9" i="3"/>
  <c r="AQ18" i="3"/>
  <c r="AP18" i="3"/>
  <c r="AQ22" i="3"/>
  <c r="AP22" i="3"/>
  <c r="AQ16" i="3"/>
  <c r="AP16" i="3"/>
  <c r="AQ30" i="3"/>
  <c r="AP30" i="3"/>
  <c r="AQ27" i="3"/>
  <c r="AP27" i="3"/>
  <c r="AQ28" i="3"/>
  <c r="AP28" i="3"/>
  <c r="AQ70" i="3"/>
  <c r="AP70" i="3"/>
  <c r="AQ44" i="3"/>
  <c r="AP44" i="3"/>
  <c r="AQ47" i="3"/>
  <c r="AP47" i="3"/>
  <c r="AQ54" i="3"/>
  <c r="AP54" i="3"/>
  <c r="AQ58" i="3"/>
  <c r="AP58" i="3"/>
  <c r="AQ73" i="3"/>
  <c r="AP73" i="3"/>
  <c r="AQ67" i="3"/>
  <c r="AP67" i="3"/>
  <c r="AQ42" i="3"/>
  <c r="AP42" i="3"/>
  <c r="AQ72" i="3"/>
  <c r="AP72" i="3"/>
  <c r="AQ74" i="3"/>
  <c r="AP74" i="3"/>
  <c r="AV7" i="3"/>
  <c r="AU7" i="3"/>
  <c r="AV21" i="3"/>
  <c r="AU21" i="3"/>
  <c r="AV34" i="3"/>
  <c r="AU34" i="3"/>
  <c r="AV48" i="3"/>
  <c r="AU48" i="3"/>
  <c r="AV53" i="3"/>
  <c r="AU53" i="3"/>
  <c r="AV62" i="3"/>
  <c r="AU62" i="3"/>
  <c r="AV71" i="3"/>
  <c r="AU71" i="3"/>
  <c r="BA12" i="3"/>
  <c r="AZ12" i="3"/>
  <c r="BA14" i="3"/>
  <c r="AZ14" i="3"/>
  <c r="BA65" i="3"/>
  <c r="AZ65" i="3"/>
  <c r="BA31" i="3"/>
  <c r="AZ31" i="3"/>
  <c r="BA35" i="3"/>
  <c r="AZ35" i="3"/>
  <c r="BA36" i="3"/>
  <c r="AZ36" i="3"/>
  <c r="BA50" i="3"/>
  <c r="AZ50" i="3"/>
  <c r="BA41" i="3"/>
  <c r="AZ41" i="3"/>
  <c r="BP18" i="5"/>
  <c r="BP80" i="5"/>
  <c r="BP3" i="5"/>
  <c r="BP89" i="5"/>
  <c r="BP77" i="5"/>
  <c r="BP27" i="5"/>
  <c r="BP5" i="5"/>
  <c r="BP9" i="5"/>
  <c r="BP4" i="5"/>
  <c r="BP59" i="5"/>
  <c r="BP88" i="5"/>
  <c r="BP36" i="5"/>
  <c r="BP74" i="5"/>
  <c r="BP29" i="5"/>
  <c r="BP46" i="5"/>
  <c r="BP19" i="5"/>
  <c r="BP96" i="5"/>
  <c r="BP54" i="5"/>
  <c r="BP33" i="5"/>
  <c r="BP69" i="5"/>
  <c r="BP15" i="5"/>
  <c r="BP53" i="5"/>
  <c r="BP76" i="5"/>
  <c r="BP65" i="5"/>
  <c r="BP41" i="5"/>
  <c r="BP14" i="5"/>
  <c r="BP81" i="5"/>
  <c r="BP60" i="5"/>
  <c r="BP57" i="5"/>
  <c r="BP48" i="5"/>
  <c r="H40" i="4"/>
  <c r="H17" i="4"/>
  <c r="H42" i="4"/>
  <c r="H29" i="4"/>
  <c r="H57" i="4"/>
  <c r="H72" i="4"/>
  <c r="H51" i="4"/>
  <c r="BB51" i="4" s="1"/>
  <c r="BD51" i="4" s="1"/>
  <c r="BF51" i="4" s="1"/>
  <c r="BA19" i="3"/>
  <c r="H19" i="4"/>
  <c r="H50" i="4"/>
  <c r="H9" i="4"/>
  <c r="H22" i="4"/>
  <c r="H44" i="4"/>
  <c r="H66" i="4"/>
  <c r="BB66" i="4" s="1"/>
  <c r="BD66" i="4" s="1"/>
  <c r="BF66" i="4" s="1"/>
  <c r="W44" i="3"/>
  <c r="H4" i="4"/>
  <c r="H36" i="4"/>
  <c r="H59" i="4"/>
  <c r="M69" i="3"/>
  <c r="AB49" i="3"/>
  <c r="W42" i="3"/>
  <c r="AQ10" i="3"/>
  <c r="H50" i="3"/>
  <c r="AQ77" i="3"/>
  <c r="AV35" i="3"/>
  <c r="BA8" i="3"/>
  <c r="BA43" i="3"/>
  <c r="W11" i="3"/>
  <c r="AB68" i="3"/>
  <c r="AB65" i="3"/>
  <c r="AV66" i="3"/>
  <c r="BA45" i="3"/>
  <c r="H31" i="3"/>
  <c r="R19" i="3"/>
  <c r="W74" i="3"/>
  <c r="AB13" i="3"/>
  <c r="AB38" i="3"/>
  <c r="AB15" i="3"/>
  <c r="AG8" i="3"/>
  <c r="AG46" i="3"/>
  <c r="AL35" i="3"/>
  <c r="AQ23" i="3"/>
  <c r="AV19" i="3"/>
  <c r="AV37" i="3"/>
  <c r="H77" i="3"/>
  <c r="H12" i="3"/>
  <c r="M49" i="3"/>
  <c r="W30" i="3"/>
  <c r="AQ8" i="3"/>
  <c r="H45" i="3"/>
  <c r="R74" i="3"/>
  <c r="W73" i="3"/>
  <c r="AQ60" i="3"/>
  <c r="AV52" i="3"/>
  <c r="H31" i="4"/>
  <c r="H43" i="4"/>
  <c r="H65" i="4"/>
  <c r="H74" i="4"/>
  <c r="H11" i="4"/>
  <c r="H21" i="4"/>
  <c r="H60" i="4"/>
  <c r="BB60" i="4" s="1"/>
  <c r="BD60" i="4" s="1"/>
  <c r="BF60" i="4" s="1"/>
  <c r="H26" i="4"/>
  <c r="H37" i="4"/>
  <c r="H53" i="4"/>
  <c r="BB53" i="4" s="1"/>
  <c r="BD53" i="4" s="1"/>
  <c r="BF53" i="4" s="1"/>
  <c r="H67" i="4"/>
  <c r="H7" i="4"/>
  <c r="H28" i="4"/>
  <c r="H6" i="4"/>
  <c r="H38" i="4"/>
  <c r="H61" i="4"/>
  <c r="H58" i="4"/>
  <c r="H71" i="4"/>
  <c r="BB71" i="4" s="1"/>
  <c r="BD71" i="4" s="1"/>
  <c r="BF71" i="4" s="1"/>
  <c r="H15" i="4"/>
  <c r="H35" i="4"/>
  <c r="H52" i="4"/>
  <c r="H73" i="4"/>
  <c r="H52" i="3"/>
  <c r="H48" i="3"/>
  <c r="H37" i="3"/>
  <c r="M46" i="3"/>
  <c r="R60" i="3"/>
  <c r="W3" i="3"/>
  <c r="H38" i="3"/>
  <c r="H29" i="3"/>
  <c r="H13" i="3"/>
  <c r="H10" i="3"/>
  <c r="R40" i="3"/>
  <c r="W5" i="3"/>
  <c r="W25" i="3"/>
  <c r="W38" i="3"/>
  <c r="AB69" i="3"/>
  <c r="AG19" i="3"/>
  <c r="AG34" i="3"/>
  <c r="AG75" i="3"/>
  <c r="AL37" i="3"/>
  <c r="AQ13" i="3"/>
  <c r="AQ29" i="3"/>
  <c r="AQ38" i="3"/>
  <c r="AQ40" i="3"/>
  <c r="AV26" i="3"/>
  <c r="AV56" i="3"/>
  <c r="AV59" i="3"/>
  <c r="AV76" i="3"/>
  <c r="H46" i="3"/>
  <c r="H61" i="3"/>
  <c r="H15" i="3"/>
  <c r="H23" i="3"/>
  <c r="H43" i="3"/>
  <c r="H36" i="3"/>
  <c r="H65" i="3"/>
  <c r="H14" i="3"/>
  <c r="H19" i="3"/>
  <c r="H41" i="3"/>
  <c r="R70" i="3"/>
  <c r="W27" i="3"/>
  <c r="AB43" i="3"/>
  <c r="AG3" i="3"/>
  <c r="AG31" i="3"/>
  <c r="AG56" i="3"/>
  <c r="AL10" i="3"/>
  <c r="H34" i="3"/>
  <c r="AV8" i="3"/>
  <c r="AV75" i="3"/>
  <c r="H62" i="3"/>
  <c r="H59" i="3"/>
  <c r="H26" i="3"/>
  <c r="H21" i="3"/>
  <c r="H7" i="3"/>
  <c r="W24" i="3"/>
  <c r="W67" i="3"/>
  <c r="AB8" i="3"/>
  <c r="AB39" i="3"/>
  <c r="AG29" i="3"/>
  <c r="AG38" i="3"/>
  <c r="AL65" i="3"/>
  <c r="AL40" i="3"/>
  <c r="AQ61" i="3"/>
  <c r="AV29" i="3"/>
  <c r="AV51" i="3"/>
  <c r="BA4" i="3"/>
  <c r="BA55" i="3"/>
  <c r="H55" i="3"/>
  <c r="H35" i="3"/>
  <c r="R5" i="3"/>
  <c r="R29" i="3"/>
  <c r="W57" i="3"/>
  <c r="AB5" i="3"/>
  <c r="AB46" i="3"/>
  <c r="AG51" i="3"/>
  <c r="AL7" i="3"/>
  <c r="AL15" i="3"/>
  <c r="AQ14" i="3"/>
  <c r="AQ31" i="3"/>
  <c r="AQ36" i="3"/>
  <c r="AQ50" i="3"/>
  <c r="AQ49" i="3"/>
  <c r="BA63" i="3"/>
  <c r="H8" i="3"/>
  <c r="H4" i="3"/>
  <c r="AL19" i="3"/>
  <c r="AL41" i="3"/>
  <c r="BA23" i="3"/>
  <c r="BA61" i="3"/>
  <c r="M63" i="3"/>
  <c r="R12" i="3"/>
  <c r="R62" i="3"/>
  <c r="R72" i="3"/>
  <c r="W47" i="3"/>
  <c r="W72" i="3"/>
  <c r="AB24" i="3"/>
  <c r="AB57" i="3"/>
  <c r="AG35" i="3"/>
  <c r="AG50" i="3"/>
  <c r="AL8" i="3"/>
  <c r="AL43" i="3"/>
  <c r="AQ19" i="3"/>
  <c r="AQ65" i="3"/>
  <c r="AQ35" i="3"/>
  <c r="AQ43" i="3"/>
  <c r="AQ68" i="3"/>
  <c r="AQ63" i="3"/>
  <c r="AV65" i="3"/>
  <c r="BA15" i="3"/>
  <c r="BA46" i="3"/>
  <c r="AG11" i="3"/>
  <c r="AG23" i="3"/>
  <c r="AG45" i="3"/>
  <c r="AL36" i="3"/>
  <c r="AL51" i="3"/>
  <c r="AV31" i="3"/>
  <c r="R8" i="3"/>
  <c r="R65" i="3"/>
  <c r="W6" i="3"/>
  <c r="W9" i="3"/>
  <c r="W18" i="3"/>
  <c r="W22" i="3"/>
  <c r="W16" i="3"/>
  <c r="W70" i="3"/>
  <c r="W58" i="3"/>
  <c r="AB17" i="3"/>
  <c r="AB33" i="3"/>
  <c r="AB51" i="3"/>
  <c r="AB64" i="3"/>
  <c r="AB76" i="3"/>
  <c r="AG4" i="3"/>
  <c r="AG65" i="3"/>
  <c r="AG32" i="3"/>
  <c r="AG20" i="3"/>
  <c r="AG48" i="3"/>
  <c r="AG57" i="3"/>
  <c r="AG64" i="3"/>
  <c r="AG52" i="3"/>
  <c r="AL5" i="3"/>
  <c r="AL25" i="3"/>
  <c r="AL31" i="3"/>
  <c r="AL39" i="3"/>
  <c r="AL53" i="3"/>
  <c r="AL45" i="3"/>
  <c r="AL75" i="3"/>
  <c r="AQ69" i="3"/>
  <c r="AQ46" i="3"/>
  <c r="AQ76" i="3"/>
  <c r="AV11" i="3"/>
  <c r="AV14" i="3"/>
  <c r="AV33" i="3"/>
  <c r="AV43" i="3"/>
  <c r="AV45" i="3"/>
  <c r="AV49" i="3"/>
  <c r="BA7" i="3"/>
  <c r="H12" i="4"/>
  <c r="H13" i="4"/>
  <c r="H16" i="4"/>
  <c r="H23" i="4"/>
  <c r="H27" i="4"/>
  <c r="H33" i="4"/>
  <c r="H25" i="4"/>
  <c r="H41" i="4"/>
  <c r="H47" i="4"/>
  <c r="H46" i="4"/>
  <c r="H49" i="4"/>
  <c r="H55" i="4"/>
  <c r="H63" i="4"/>
  <c r="H56" i="4"/>
  <c r="H75" i="4"/>
  <c r="AL4" i="3"/>
  <c r="AL17" i="3"/>
  <c r="AL32" i="3"/>
  <c r="AL66" i="3"/>
  <c r="AQ5" i="3"/>
  <c r="AV25" i="3"/>
  <c r="AV39" i="3"/>
  <c r="AV23" i="3"/>
  <c r="BA32" i="3"/>
  <c r="BA56" i="3"/>
  <c r="BA71" i="3"/>
  <c r="H3" i="3"/>
  <c r="H74" i="3"/>
  <c r="H72" i="3"/>
  <c r="H42" i="3"/>
  <c r="H67" i="3"/>
  <c r="H73" i="3"/>
  <c r="H58" i="3"/>
  <c r="BB58" i="3" s="1"/>
  <c r="BD58" i="3" s="1"/>
  <c r="H54" i="3"/>
  <c r="H47" i="3"/>
  <c r="H44" i="3"/>
  <c r="H70" i="3"/>
  <c r="H28" i="3"/>
  <c r="H27" i="3"/>
  <c r="H30" i="3"/>
  <c r="H16" i="3"/>
  <c r="H22" i="3"/>
  <c r="H18" i="3"/>
  <c r="H9" i="3"/>
  <c r="H6" i="3"/>
  <c r="R4" i="3"/>
  <c r="R14" i="3"/>
  <c r="W28" i="3"/>
  <c r="W54" i="3"/>
  <c r="BB54" i="3" s="1"/>
  <c r="BD54" i="3" s="1"/>
  <c r="AB10" i="3"/>
  <c r="AB29" i="3"/>
  <c r="AB40" i="3"/>
  <c r="AB60" i="3"/>
  <c r="AB63" i="3"/>
  <c r="AG12" i="3"/>
  <c r="AG14" i="3"/>
  <c r="AG37" i="3"/>
  <c r="AG41" i="3"/>
  <c r="AG15" i="3"/>
  <c r="AG55" i="3"/>
  <c r="AG76" i="3"/>
  <c r="AL11" i="3"/>
  <c r="AL14" i="3"/>
  <c r="AL33" i="3"/>
  <c r="AL56" i="3"/>
  <c r="AL23" i="3"/>
  <c r="AL64" i="3"/>
  <c r="AL55" i="3"/>
  <c r="AQ51" i="3"/>
  <c r="AQ41" i="3"/>
  <c r="AQ57" i="3"/>
  <c r="AQ15" i="3"/>
  <c r="AQ64" i="3"/>
  <c r="AQ55" i="3"/>
  <c r="AV3" i="3"/>
  <c r="AV12" i="3"/>
  <c r="AV24" i="3"/>
  <c r="AV20" i="3"/>
  <c r="AV40" i="3"/>
  <c r="AV61" i="3"/>
  <c r="AV63" i="3"/>
  <c r="BA21" i="3"/>
  <c r="BA26" i="3"/>
  <c r="BA34" i="3"/>
  <c r="BA37" i="3"/>
  <c r="BA48" i="3"/>
  <c r="BA66" i="3"/>
  <c r="AG33" i="3"/>
  <c r="AG40" i="3"/>
  <c r="AL69" i="3"/>
  <c r="AV5" i="3"/>
  <c r="AV60" i="3"/>
  <c r="BA25" i="3"/>
  <c r="BA20" i="3"/>
  <c r="BA53" i="3"/>
  <c r="M5" i="3"/>
  <c r="M10" i="3"/>
  <c r="M17" i="3"/>
  <c r="M13" i="3"/>
  <c r="M24" i="3"/>
  <c r="M29" i="3"/>
  <c r="M33" i="3"/>
  <c r="M38" i="3"/>
  <c r="M39" i="3"/>
  <c r="M40" i="3"/>
  <c r="M51" i="3"/>
  <c r="M68" i="3"/>
  <c r="M57" i="3"/>
  <c r="M60" i="3"/>
  <c r="M64" i="3"/>
  <c r="AG17" i="3"/>
  <c r="AG43" i="3"/>
  <c r="AG68" i="3"/>
  <c r="AG60" i="3"/>
  <c r="AG49" i="3"/>
  <c r="AL3" i="3"/>
  <c r="AL12" i="3"/>
  <c r="AL24" i="3"/>
  <c r="AL20" i="3"/>
  <c r="AL50" i="3"/>
  <c r="AL57" i="3"/>
  <c r="AL49" i="3"/>
  <c r="AL61" i="3"/>
  <c r="AL76" i="3"/>
  <c r="AQ17" i="3"/>
  <c r="AQ24" i="3"/>
  <c r="AQ33" i="3"/>
  <c r="AQ39" i="3"/>
  <c r="AV4" i="3"/>
  <c r="AV17" i="3"/>
  <c r="AV32" i="3"/>
  <c r="AV36" i="3"/>
  <c r="AV50" i="3"/>
  <c r="AV68" i="3"/>
  <c r="BA5" i="3"/>
  <c r="AV41" i="3"/>
  <c r="AV55" i="3"/>
  <c r="BA10" i="3"/>
  <c r="BA59" i="3"/>
  <c r="BA52" i="3"/>
  <c r="AV15" i="3"/>
  <c r="AV46" i="3"/>
  <c r="BA62" i="3"/>
  <c r="BA75" i="3"/>
  <c r="BA17" i="3"/>
  <c r="BA13" i="3"/>
  <c r="BA24" i="3"/>
  <c r="BA29" i="3"/>
  <c r="BA33" i="3"/>
  <c r="BA38" i="3"/>
  <c r="BA39" i="3"/>
  <c r="BA40" i="3"/>
  <c r="BA51" i="3"/>
  <c r="BA68" i="3"/>
  <c r="BA57" i="3"/>
  <c r="BA60" i="3"/>
  <c r="BA64" i="3"/>
  <c r="BA49" i="3"/>
  <c r="BA69" i="3"/>
  <c r="BA77" i="3"/>
  <c r="AU37" i="4"/>
  <c r="AV43" i="4"/>
  <c r="AU67" i="4"/>
  <c r="BA65" i="4"/>
  <c r="AZ67" i="4"/>
  <c r="BA44" i="4"/>
  <c r="BB62" i="4"/>
  <c r="BD62" i="4" s="1"/>
  <c r="BF62" i="4" s="1"/>
  <c r="BB3" i="4"/>
  <c r="BD3" i="4" s="1"/>
  <c r="BA19" i="4"/>
  <c r="AZ21" i="4"/>
  <c r="BB39" i="4"/>
  <c r="BD39" i="4" s="1"/>
  <c r="BF39" i="4" s="1"/>
  <c r="BA73" i="4"/>
  <c r="BB42" i="4"/>
  <c r="BD42" i="4" s="1"/>
  <c r="BF42" i="4" s="1"/>
  <c r="BB68" i="4"/>
  <c r="BD68" i="4" s="1"/>
  <c r="BF68" i="4" s="1"/>
  <c r="AZ3" i="4"/>
  <c r="BA54" i="4"/>
  <c r="AZ53" i="4"/>
  <c r="BA11" i="4"/>
  <c r="BA36" i="4"/>
  <c r="AZ6" i="4"/>
  <c r="BA7" i="4"/>
  <c r="BA28" i="4"/>
  <c r="AZ26" i="4"/>
  <c r="BA40" i="4"/>
  <c r="BB40" i="4" s="1"/>
  <c r="BD40" i="4" s="1"/>
  <c r="BF40" i="4" s="1"/>
  <c r="BA50" i="4"/>
  <c r="AZ52" i="4"/>
  <c r="BA74" i="4"/>
  <c r="BA15" i="4"/>
  <c r="BA31" i="4"/>
  <c r="BA38" i="4"/>
  <c r="BA57" i="4"/>
  <c r="BA72" i="4"/>
  <c r="BA10" i="4"/>
  <c r="AZ17" i="4"/>
  <c r="BA34" i="4"/>
  <c r="AZ32" i="4"/>
  <c r="BA43" i="4"/>
  <c r="AZ48" i="4"/>
  <c r="BA59" i="4"/>
  <c r="AZ58" i="4"/>
  <c r="BA4" i="4"/>
  <c r="BA20" i="4"/>
  <c r="BA35" i="4"/>
  <c r="BA61" i="4"/>
  <c r="BA69" i="4"/>
  <c r="AZ27" i="4"/>
  <c r="AZ33" i="4"/>
  <c r="AZ25" i="4"/>
  <c r="AZ41" i="4"/>
  <c r="AZ47" i="4"/>
  <c r="AZ49" i="4"/>
  <c r="AZ63" i="4"/>
  <c r="AZ56" i="4"/>
  <c r="BA13" i="4"/>
  <c r="AZ18" i="4"/>
  <c r="BA16" i="4"/>
  <c r="AZ22" i="4"/>
  <c r="BA23" i="4"/>
  <c r="AZ37" i="4"/>
  <c r="AZ8" i="4"/>
  <c r="AZ12" i="4"/>
  <c r="AZ46" i="4"/>
  <c r="AZ55" i="4"/>
  <c r="AZ64" i="4"/>
  <c r="AZ70" i="4"/>
  <c r="AZ75" i="4"/>
  <c r="AZ5" i="4"/>
  <c r="AZ9" i="4"/>
  <c r="AZ14" i="4"/>
  <c r="AZ24" i="4"/>
  <c r="AZ29" i="4"/>
  <c r="AZ30" i="4"/>
  <c r="AZ39" i="4"/>
  <c r="AZ42" i="4"/>
  <c r="AZ45" i="4"/>
  <c r="AZ51" i="4"/>
  <c r="AZ60" i="4"/>
  <c r="AZ62" i="4"/>
  <c r="AZ66" i="4"/>
  <c r="AZ68" i="4"/>
  <c r="AZ71" i="4"/>
  <c r="AU6" i="4"/>
  <c r="AV61" i="4"/>
  <c r="AU52" i="4"/>
  <c r="AU62" i="4"/>
  <c r="AU74" i="4"/>
  <c r="AU5" i="4"/>
  <c r="AV10" i="4"/>
  <c r="AU29" i="4"/>
  <c r="AU3" i="4"/>
  <c r="AV20" i="4"/>
  <c r="AU26" i="4"/>
  <c r="AV59" i="4"/>
  <c r="AV4" i="4"/>
  <c r="AU21" i="4"/>
  <c r="AU22" i="4"/>
  <c r="AV35" i="4"/>
  <c r="AU53" i="4"/>
  <c r="AU51" i="4"/>
  <c r="AU73" i="4"/>
  <c r="AU11" i="4"/>
  <c r="AU14" i="4"/>
  <c r="AV34" i="4"/>
  <c r="AU44" i="4"/>
  <c r="AU42" i="4"/>
  <c r="AU7" i="4"/>
  <c r="AU9" i="4"/>
  <c r="AV19" i="4"/>
  <c r="AU31" i="4"/>
  <c r="AU24" i="4"/>
  <c r="AV36" i="4"/>
  <c r="AU40" i="4"/>
  <c r="AU39" i="4"/>
  <c r="AV54" i="4"/>
  <c r="AU57" i="4"/>
  <c r="AU60" i="4"/>
  <c r="AV65" i="4"/>
  <c r="AV69" i="4"/>
  <c r="AV72" i="4"/>
  <c r="AV15" i="4"/>
  <c r="AU17" i="4"/>
  <c r="AU18" i="4"/>
  <c r="AV28" i="4"/>
  <c r="AU32" i="4"/>
  <c r="AU30" i="4"/>
  <c r="AV38" i="4"/>
  <c r="AU48" i="4"/>
  <c r="AU45" i="4"/>
  <c r="AV50" i="4"/>
  <c r="AU58" i="4"/>
  <c r="AU66" i="4"/>
  <c r="AU68" i="4"/>
  <c r="AU71" i="4"/>
  <c r="AU8" i="4"/>
  <c r="AU12" i="4"/>
  <c r="AU13" i="4"/>
  <c r="AU16" i="4"/>
  <c r="AU23" i="4"/>
  <c r="AU27" i="4"/>
  <c r="AU33" i="4"/>
  <c r="AU25" i="4"/>
  <c r="AU41" i="4"/>
  <c r="AU47" i="4"/>
  <c r="AU46" i="4"/>
  <c r="AU49" i="4"/>
  <c r="AU55" i="4"/>
  <c r="AU63" i="4"/>
  <c r="AU56" i="4"/>
  <c r="AU64" i="4"/>
  <c r="AU70" i="4"/>
  <c r="AU75" i="4"/>
  <c r="AQ15" i="4"/>
  <c r="AP7" i="4"/>
  <c r="AP9" i="4"/>
  <c r="AP31" i="4"/>
  <c r="AP24" i="4"/>
  <c r="AQ59" i="4"/>
  <c r="AP58" i="4"/>
  <c r="AQ72" i="4"/>
  <c r="AP73" i="4"/>
  <c r="AQ28" i="4"/>
  <c r="AQ69" i="4"/>
  <c r="AP74" i="4"/>
  <c r="AP17" i="4"/>
  <c r="AP18" i="4"/>
  <c r="AQ36" i="4"/>
  <c r="AQ19" i="4"/>
  <c r="AP32" i="4"/>
  <c r="AP30" i="4"/>
  <c r="AQ61" i="4"/>
  <c r="AL72" i="4"/>
  <c r="AK73" i="4"/>
  <c r="AP3" i="4"/>
  <c r="AP5" i="4"/>
  <c r="AQ10" i="4"/>
  <c r="AP21" i="4"/>
  <c r="AP22" i="4"/>
  <c r="AQ34" i="4"/>
  <c r="AP6" i="4"/>
  <c r="AQ38" i="4"/>
  <c r="AP44" i="4"/>
  <c r="AQ54" i="4"/>
  <c r="AP53" i="4"/>
  <c r="AQ50" i="4"/>
  <c r="AP52" i="4"/>
  <c r="AQ65" i="4"/>
  <c r="AP67" i="4"/>
  <c r="AQ4" i="4"/>
  <c r="AP11" i="4"/>
  <c r="AP14" i="4"/>
  <c r="AQ20" i="4"/>
  <c r="AP26" i="4"/>
  <c r="AP29" i="4"/>
  <c r="AQ35" i="4"/>
  <c r="AP40" i="4"/>
  <c r="AQ43" i="4"/>
  <c r="AP48" i="4"/>
  <c r="AP57" i="4"/>
  <c r="AP8" i="4"/>
  <c r="AP12" i="4"/>
  <c r="AP13" i="4"/>
  <c r="AP16" i="4"/>
  <c r="AP23" i="4"/>
  <c r="AP27" i="4"/>
  <c r="AP33" i="4"/>
  <c r="AP25" i="4"/>
  <c r="AP41" i="4"/>
  <c r="AP47" i="4"/>
  <c r="AP46" i="4"/>
  <c r="AP49" i="4"/>
  <c r="AP55" i="4"/>
  <c r="AP63" i="4"/>
  <c r="AP56" i="4"/>
  <c r="AP64" i="4"/>
  <c r="AP70" i="4"/>
  <c r="AP75" i="4"/>
  <c r="AP37" i="4"/>
  <c r="AP39" i="4"/>
  <c r="AP42" i="4"/>
  <c r="AP45" i="4"/>
  <c r="AP51" i="4"/>
  <c r="AP60" i="4"/>
  <c r="AP62" i="4"/>
  <c r="AP66" i="4"/>
  <c r="AP68" i="4"/>
  <c r="AP71" i="4"/>
  <c r="AL43" i="4"/>
  <c r="AL48" i="4"/>
  <c r="AL20" i="4"/>
  <c r="AK31" i="4"/>
  <c r="AL10" i="4"/>
  <c r="AK17" i="4"/>
  <c r="AL26" i="4"/>
  <c r="AL52" i="4"/>
  <c r="AL69" i="4"/>
  <c r="AL11" i="4"/>
  <c r="AL34" i="4"/>
  <c r="AK32" i="4"/>
  <c r="AL44" i="4"/>
  <c r="AL59" i="4"/>
  <c r="AK58" i="4"/>
  <c r="AL4" i="4"/>
  <c r="AK7" i="4"/>
  <c r="AL35" i="4"/>
  <c r="AK40" i="4"/>
  <c r="AK74" i="4"/>
  <c r="AL61" i="4"/>
  <c r="AK57" i="4"/>
  <c r="AG61" i="4"/>
  <c r="AF57" i="4"/>
  <c r="AK3" i="4"/>
  <c r="AL19" i="4"/>
  <c r="AK21" i="4"/>
  <c r="AL36" i="4"/>
  <c r="AK6" i="4"/>
  <c r="AL54" i="4"/>
  <c r="AK53" i="4"/>
  <c r="AL65" i="4"/>
  <c r="AK67" i="4"/>
  <c r="AL15" i="4"/>
  <c r="AL28" i="4"/>
  <c r="AL38" i="4"/>
  <c r="AL50" i="4"/>
  <c r="AK27" i="4"/>
  <c r="AK33" i="4"/>
  <c r="AK25" i="4"/>
  <c r="AK46" i="4"/>
  <c r="AK49" i="4"/>
  <c r="AK55" i="4"/>
  <c r="AK56" i="4"/>
  <c r="AK5" i="4"/>
  <c r="AL8" i="4"/>
  <c r="AK9" i="4"/>
  <c r="AL12" i="4"/>
  <c r="AK14" i="4"/>
  <c r="AL13" i="4"/>
  <c r="AK18" i="4"/>
  <c r="AL16" i="4"/>
  <c r="AK22" i="4"/>
  <c r="AL23" i="4"/>
  <c r="AK24" i="4"/>
  <c r="AK29" i="4"/>
  <c r="AK30" i="4"/>
  <c r="AK37" i="4"/>
  <c r="AL41" i="4"/>
  <c r="AK39" i="4"/>
  <c r="AL47" i="4"/>
  <c r="AK42" i="4"/>
  <c r="AK45" i="4"/>
  <c r="AK51" i="4"/>
  <c r="AK60" i="4"/>
  <c r="AL63" i="4"/>
  <c r="AK62" i="4"/>
  <c r="AK66" i="4"/>
  <c r="AL64" i="4"/>
  <c r="AK68" i="4"/>
  <c r="AL70" i="4"/>
  <c r="AK71" i="4"/>
  <c r="AL75" i="4"/>
  <c r="AG11" i="4"/>
  <c r="AG72" i="4"/>
  <c r="AF73" i="4"/>
  <c r="AG20" i="4"/>
  <c r="AF31" i="4"/>
  <c r="AG44" i="4"/>
  <c r="AG15" i="4"/>
  <c r="AG32" i="4"/>
  <c r="AG38" i="4"/>
  <c r="AG4" i="4"/>
  <c r="AF7" i="4"/>
  <c r="AG17" i="4"/>
  <c r="AG28" i="4"/>
  <c r="AF26" i="4"/>
  <c r="AG35" i="4"/>
  <c r="AF40" i="4"/>
  <c r="AG48" i="4"/>
  <c r="AG50" i="4"/>
  <c r="AF52" i="4"/>
  <c r="AG74" i="4"/>
  <c r="AG69" i="4"/>
  <c r="AB61" i="4"/>
  <c r="AA57" i="4"/>
  <c r="AF3" i="4"/>
  <c r="AG19" i="4"/>
  <c r="AF21" i="4"/>
  <c r="AG36" i="4"/>
  <c r="AF6" i="4"/>
  <c r="AG54" i="4"/>
  <c r="AF53" i="4"/>
  <c r="AG65" i="4"/>
  <c r="AF67" i="4"/>
  <c r="AG10" i="4"/>
  <c r="AG34" i="4"/>
  <c r="AG43" i="4"/>
  <c r="AG59" i="4"/>
  <c r="AF58" i="4"/>
  <c r="AB26" i="4"/>
  <c r="AF12" i="4"/>
  <c r="AF13" i="4"/>
  <c r="AF16" i="4"/>
  <c r="AF33" i="4"/>
  <c r="AF25" i="4"/>
  <c r="AF41" i="4"/>
  <c r="AF47" i="4"/>
  <c r="AF46" i="4"/>
  <c r="AF55" i="4"/>
  <c r="AF63" i="4"/>
  <c r="AF70" i="4"/>
  <c r="AF5" i="4"/>
  <c r="AG8" i="4"/>
  <c r="AF9" i="4"/>
  <c r="AF14" i="4"/>
  <c r="AF18" i="4"/>
  <c r="AF22" i="4"/>
  <c r="AG23" i="4"/>
  <c r="AF24" i="4"/>
  <c r="AG27" i="4"/>
  <c r="AF29" i="4"/>
  <c r="AF30" i="4"/>
  <c r="AF37" i="4"/>
  <c r="AF39" i="4"/>
  <c r="AF42" i="4"/>
  <c r="AF45" i="4"/>
  <c r="AG49" i="4"/>
  <c r="AF51" i="4"/>
  <c r="AF60" i="4"/>
  <c r="AF62" i="4"/>
  <c r="AG56" i="4"/>
  <c r="AF66" i="4"/>
  <c r="AG64" i="4"/>
  <c r="AF68" i="4"/>
  <c r="AF71" i="4"/>
  <c r="AG75" i="4"/>
  <c r="AB44" i="4"/>
  <c r="AA73" i="4"/>
  <c r="AB72" i="4"/>
  <c r="AB32" i="4"/>
  <c r="AB11" i="4"/>
  <c r="AB38" i="4"/>
  <c r="AB7" i="4"/>
  <c r="AB31" i="4"/>
  <c r="AB35" i="4"/>
  <c r="AA40" i="4"/>
  <c r="AB48" i="4"/>
  <c r="AB50" i="4"/>
  <c r="AA52" i="4"/>
  <c r="AB74" i="4"/>
  <c r="AB4" i="4"/>
  <c r="AB20" i="4"/>
  <c r="AB69" i="4"/>
  <c r="W74" i="4"/>
  <c r="AA3" i="4"/>
  <c r="AB19" i="4"/>
  <c r="AA21" i="4"/>
  <c r="AB36" i="4"/>
  <c r="AA6" i="4"/>
  <c r="AB54" i="4"/>
  <c r="AA53" i="4"/>
  <c r="AB65" i="4"/>
  <c r="AA67" i="4"/>
  <c r="W36" i="4"/>
  <c r="V6" i="4"/>
  <c r="V60" i="4"/>
  <c r="AB10" i="4"/>
  <c r="AA17" i="4"/>
  <c r="AB34" i="4"/>
  <c r="AB43" i="4"/>
  <c r="AB59" i="4"/>
  <c r="AA58" i="4"/>
  <c r="V57" i="4"/>
  <c r="AB15" i="4"/>
  <c r="AB28" i="4"/>
  <c r="AB46" i="4"/>
  <c r="AA46" i="4"/>
  <c r="AB56" i="4"/>
  <c r="AA56" i="4"/>
  <c r="AB5" i="4"/>
  <c r="BB5" i="4" s="1"/>
  <c r="BD5" i="4" s="1"/>
  <c r="BF5" i="4" s="1"/>
  <c r="AA5" i="4"/>
  <c r="AB9" i="4"/>
  <c r="AA9" i="4"/>
  <c r="AB14" i="4"/>
  <c r="AA14" i="4"/>
  <c r="AB18" i="4"/>
  <c r="BB18" i="4" s="1"/>
  <c r="BD18" i="4" s="1"/>
  <c r="BF18" i="4" s="1"/>
  <c r="AA18" i="4"/>
  <c r="AB22" i="4"/>
  <c r="AA22" i="4"/>
  <c r="AB24" i="4"/>
  <c r="BB24" i="4" s="1"/>
  <c r="BD24" i="4" s="1"/>
  <c r="BF24" i="4" s="1"/>
  <c r="AA24" i="4"/>
  <c r="AB29" i="4"/>
  <c r="AA29" i="4"/>
  <c r="AB30" i="4"/>
  <c r="BB30" i="4" s="1"/>
  <c r="BD30" i="4" s="1"/>
  <c r="BF30" i="4" s="1"/>
  <c r="AA30" i="4"/>
  <c r="AB37" i="4"/>
  <c r="AA37" i="4"/>
  <c r="AB47" i="4"/>
  <c r="AA47" i="4"/>
  <c r="AB63" i="4"/>
  <c r="AA63" i="4"/>
  <c r="AB75" i="4"/>
  <c r="AA75" i="4"/>
  <c r="AB41" i="4"/>
  <c r="AA41" i="4"/>
  <c r="AB55" i="4"/>
  <c r="AA55" i="4"/>
  <c r="AB70" i="4"/>
  <c r="AA70" i="4"/>
  <c r="AA8" i="4"/>
  <c r="AA12" i="4"/>
  <c r="AA13" i="4"/>
  <c r="AA16" i="4"/>
  <c r="AA23" i="4"/>
  <c r="AA27" i="4"/>
  <c r="AA33" i="4"/>
  <c r="AA25" i="4"/>
  <c r="AB49" i="4"/>
  <c r="AA49" i="4"/>
  <c r="AB64" i="4"/>
  <c r="AA64" i="4"/>
  <c r="AA39" i="4"/>
  <c r="AA42" i="4"/>
  <c r="AA45" i="4"/>
  <c r="AA51" i="4"/>
  <c r="AA60" i="4"/>
  <c r="AA62" i="4"/>
  <c r="AA66" i="4"/>
  <c r="AA68" i="4"/>
  <c r="AA71" i="4"/>
  <c r="V18" i="4"/>
  <c r="W34" i="4"/>
  <c r="V37" i="4"/>
  <c r="V71" i="4"/>
  <c r="V5" i="4"/>
  <c r="W15" i="4"/>
  <c r="W52" i="4"/>
  <c r="W73" i="4"/>
  <c r="W10" i="4"/>
  <c r="V17" i="4"/>
  <c r="V51" i="4"/>
  <c r="V22" i="4"/>
  <c r="W28" i="4"/>
  <c r="V40" i="4"/>
  <c r="W54" i="4"/>
  <c r="V53" i="4"/>
  <c r="V58" i="4"/>
  <c r="V66" i="4"/>
  <c r="W67" i="4"/>
  <c r="V3" i="4"/>
  <c r="V39" i="4"/>
  <c r="W43" i="4"/>
  <c r="V68" i="4"/>
  <c r="V21" i="4"/>
  <c r="V62" i="4"/>
  <c r="W4" i="4"/>
  <c r="V11" i="4"/>
  <c r="V14" i="4"/>
  <c r="W20" i="4"/>
  <c r="V26" i="4"/>
  <c r="V29" i="4"/>
  <c r="V32" i="4"/>
  <c r="V30" i="4"/>
  <c r="W38" i="4"/>
  <c r="V48" i="4"/>
  <c r="V45" i="4"/>
  <c r="V7" i="4"/>
  <c r="V9" i="4"/>
  <c r="W19" i="4"/>
  <c r="V31" i="4"/>
  <c r="V24" i="4"/>
  <c r="W35" i="4"/>
  <c r="V44" i="4"/>
  <c r="V42" i="4"/>
  <c r="W61" i="4"/>
  <c r="W50" i="4"/>
  <c r="W59" i="4"/>
  <c r="W65" i="4"/>
  <c r="W69" i="4"/>
  <c r="W72" i="4"/>
  <c r="V8" i="4"/>
  <c r="V12" i="4"/>
  <c r="V13" i="4"/>
  <c r="V16" i="4"/>
  <c r="V23" i="4"/>
  <c r="V27" i="4"/>
  <c r="V33" i="4"/>
  <c r="V25" i="4"/>
  <c r="V41" i="4"/>
  <c r="V47" i="4"/>
  <c r="V46" i="4"/>
  <c r="V49" i="4"/>
  <c r="V55" i="4"/>
  <c r="V63" i="4"/>
  <c r="V56" i="4"/>
  <c r="V64" i="4"/>
  <c r="V70" i="4"/>
  <c r="V75" i="4"/>
  <c r="R26" i="4"/>
  <c r="R57" i="4"/>
  <c r="R28" i="4"/>
  <c r="Q11" i="4"/>
  <c r="R72" i="4"/>
  <c r="R31" i="4"/>
  <c r="R50" i="4"/>
  <c r="Q52" i="4"/>
  <c r="R15" i="4"/>
  <c r="Q73" i="4"/>
  <c r="R38" i="4"/>
  <c r="Q44" i="4"/>
  <c r="R4" i="4"/>
  <c r="Q7" i="4"/>
  <c r="R35" i="4"/>
  <c r="Q40" i="4"/>
  <c r="R69" i="4"/>
  <c r="Q74" i="4"/>
  <c r="R20" i="4"/>
  <c r="R61" i="4"/>
  <c r="M44" i="4"/>
  <c r="Q3" i="4"/>
  <c r="R19" i="4"/>
  <c r="R36" i="4"/>
  <c r="R54" i="4"/>
  <c r="Q53" i="4"/>
  <c r="Q67" i="4"/>
  <c r="R10" i="4"/>
  <c r="Q17" i="4"/>
  <c r="R21" i="4"/>
  <c r="R34" i="4"/>
  <c r="Q32" i="4"/>
  <c r="R6" i="4"/>
  <c r="R43" i="4"/>
  <c r="Q48" i="4"/>
  <c r="R59" i="4"/>
  <c r="Q58" i="4"/>
  <c r="R65" i="4"/>
  <c r="Q8" i="4"/>
  <c r="Q12" i="4"/>
  <c r="Q16" i="4"/>
  <c r="Q13" i="4"/>
  <c r="Q23" i="4"/>
  <c r="Q27" i="4"/>
  <c r="Q33" i="4"/>
  <c r="Q25" i="4"/>
  <c r="Q41" i="4"/>
  <c r="Q47" i="4"/>
  <c r="Q46" i="4"/>
  <c r="Q49" i="4"/>
  <c r="Q55" i="4"/>
  <c r="Q63" i="4"/>
  <c r="Q56" i="4"/>
  <c r="Q70" i="4"/>
  <c r="Q75" i="4"/>
  <c r="Q5" i="4"/>
  <c r="Q9" i="4"/>
  <c r="Q14" i="4"/>
  <c r="Q18" i="4"/>
  <c r="Q22" i="4"/>
  <c r="Q24" i="4"/>
  <c r="Q29" i="4"/>
  <c r="Q30" i="4"/>
  <c r="Q37" i="4"/>
  <c r="Q39" i="4"/>
  <c r="Q42" i="4"/>
  <c r="Q45" i="4"/>
  <c r="Q51" i="4"/>
  <c r="Q60" i="4"/>
  <c r="Q62" i="4"/>
  <c r="Q66" i="4"/>
  <c r="R64" i="4"/>
  <c r="Q68" i="4"/>
  <c r="Q71" i="4"/>
  <c r="M58" i="4"/>
  <c r="M17" i="4"/>
  <c r="M73" i="4"/>
  <c r="M20" i="4"/>
  <c r="L31" i="4"/>
  <c r="M61" i="4"/>
  <c r="L57" i="4"/>
  <c r="M10" i="4"/>
  <c r="M26" i="4"/>
  <c r="M4" i="4"/>
  <c r="L7" i="4"/>
  <c r="M35" i="4"/>
  <c r="L40" i="4"/>
  <c r="M43" i="4"/>
  <c r="L48" i="4"/>
  <c r="M52" i="4"/>
  <c r="M11" i="4"/>
  <c r="M34" i="4"/>
  <c r="L32" i="4"/>
  <c r="M69" i="4"/>
  <c r="L74" i="4"/>
  <c r="H70" i="4"/>
  <c r="M59" i="4"/>
  <c r="L3" i="4"/>
  <c r="M19" i="4"/>
  <c r="L21" i="4"/>
  <c r="M36" i="4"/>
  <c r="L6" i="4"/>
  <c r="M54" i="4"/>
  <c r="L53" i="4"/>
  <c r="M65" i="4"/>
  <c r="L67" i="4"/>
  <c r="M15" i="4"/>
  <c r="M28" i="4"/>
  <c r="M38" i="4"/>
  <c r="M50" i="4"/>
  <c r="M72" i="4"/>
  <c r="L47" i="4"/>
  <c r="L46" i="4"/>
  <c r="L49" i="4"/>
  <c r="L75" i="4"/>
  <c r="L5" i="4"/>
  <c r="M8" i="4"/>
  <c r="L9" i="4"/>
  <c r="M12" i="4"/>
  <c r="L14" i="4"/>
  <c r="M13" i="4"/>
  <c r="L18" i="4"/>
  <c r="M16" i="4"/>
  <c r="L22" i="4"/>
  <c r="M23" i="4"/>
  <c r="L24" i="4"/>
  <c r="M27" i="4"/>
  <c r="L29" i="4"/>
  <c r="M33" i="4"/>
  <c r="L30" i="4"/>
  <c r="M25" i="4"/>
  <c r="L37" i="4"/>
  <c r="M41" i="4"/>
  <c r="L39" i="4"/>
  <c r="L42" i="4"/>
  <c r="L45" i="4"/>
  <c r="L51" i="4"/>
  <c r="M55" i="4"/>
  <c r="L60" i="4"/>
  <c r="M63" i="4"/>
  <c r="L62" i="4"/>
  <c r="M56" i="4"/>
  <c r="L66" i="4"/>
  <c r="M64" i="4"/>
  <c r="L68" i="4"/>
  <c r="M70" i="4"/>
  <c r="L71" i="4"/>
  <c r="H45" i="4"/>
  <c r="BB45" i="4" s="1"/>
  <c r="BD45" i="4" s="1"/>
  <c r="BF45" i="4" s="1"/>
  <c r="H8" i="4"/>
  <c r="H14" i="4"/>
  <c r="H64" i="4"/>
  <c r="AV77" i="3"/>
  <c r="AQ3" i="3"/>
  <c r="AQ7" i="3"/>
  <c r="AQ25" i="3"/>
  <c r="AQ32" i="3"/>
  <c r="AQ34" i="3"/>
  <c r="AQ37" i="3"/>
  <c r="AQ53" i="3"/>
  <c r="AQ66" i="3"/>
  <c r="AQ71" i="3"/>
  <c r="AQ75" i="3"/>
  <c r="AL46" i="3"/>
  <c r="AL77" i="3"/>
  <c r="AG36" i="3"/>
  <c r="AG61" i="3"/>
  <c r="AG77" i="3"/>
  <c r="AB11" i="3"/>
  <c r="AB21" i="3"/>
  <c r="AB26" i="3"/>
  <c r="AB37" i="3"/>
  <c r="AB56" i="3"/>
  <c r="AB48" i="3"/>
  <c r="AB53" i="3"/>
  <c r="AB59" i="3"/>
  <c r="AB71" i="3"/>
  <c r="AB52" i="3"/>
  <c r="AB75" i="3"/>
  <c r="W4" i="3"/>
  <c r="W8" i="3"/>
  <c r="W12" i="3"/>
  <c r="W19" i="3"/>
  <c r="W14" i="3"/>
  <c r="W65" i="3"/>
  <c r="W31" i="3"/>
  <c r="W35" i="3"/>
  <c r="W36" i="3"/>
  <c r="W43" i="3"/>
  <c r="W50" i="3"/>
  <c r="W41" i="3"/>
  <c r="W23" i="3"/>
  <c r="W15" i="3"/>
  <c r="W45" i="3"/>
  <c r="W55" i="3"/>
  <c r="W61" i="3"/>
  <c r="W46" i="3"/>
  <c r="W77" i="3"/>
  <c r="R31" i="3"/>
  <c r="R35" i="3"/>
  <c r="R36" i="3"/>
  <c r="R43" i="3"/>
  <c r="R50" i="3"/>
  <c r="R41" i="3"/>
  <c r="R23" i="3"/>
  <c r="R15" i="3"/>
  <c r="R45" i="3"/>
  <c r="R55" i="3"/>
  <c r="R61" i="3"/>
  <c r="R46" i="3"/>
  <c r="R77" i="3"/>
  <c r="BC7" i="1"/>
  <c r="BC11" i="1"/>
  <c r="BC15" i="1"/>
  <c r="BC14" i="1"/>
  <c r="BC25" i="1"/>
  <c r="BC17" i="1"/>
  <c r="BC21" i="1"/>
  <c r="BC27" i="1"/>
  <c r="BC31" i="1"/>
  <c r="BC28" i="1"/>
  <c r="BC34" i="1"/>
  <c r="BC33" i="1"/>
  <c r="BC38" i="1"/>
  <c r="BC47" i="1"/>
  <c r="BC56" i="1"/>
  <c r="BC59" i="1"/>
  <c r="BC58" i="1"/>
  <c r="BC51" i="1"/>
  <c r="BC60" i="1"/>
  <c r="BC57" i="1"/>
  <c r="BC49" i="1"/>
  <c r="BC65" i="1"/>
  <c r="BC54" i="1"/>
  <c r="BC69" i="1"/>
  <c r="BC52" i="1"/>
  <c r="BC70" i="1"/>
  <c r="BC68" i="1"/>
  <c r="BC73" i="1"/>
  <c r="BC66" i="1"/>
  <c r="BC71" i="1"/>
  <c r="BC74" i="1"/>
  <c r="BC80" i="1"/>
  <c r="BC78" i="1"/>
  <c r="BC83" i="1"/>
  <c r="BC75" i="1"/>
  <c r="BC84" i="1"/>
  <c r="BC4" i="1"/>
  <c r="BC12" i="1"/>
  <c r="BC13" i="1"/>
  <c r="BC18" i="1"/>
  <c r="BC22" i="1"/>
  <c r="BC23" i="1"/>
  <c r="BC26" i="1"/>
  <c r="BC19" i="1"/>
  <c r="BC35" i="1"/>
  <c r="BC30" i="1"/>
  <c r="BC32" i="1"/>
  <c r="BC36" i="1"/>
  <c r="BC39" i="1"/>
  <c r="BC40" i="1"/>
  <c r="BC43" i="1"/>
  <c r="BC42" i="1"/>
  <c r="BC37" i="1"/>
  <c r="BC41" i="1"/>
  <c r="BC44" i="1"/>
  <c r="BC48" i="1"/>
  <c r="BC46" i="1"/>
  <c r="BC53" i="1"/>
  <c r="BC63" i="1"/>
  <c r="BC61" i="1"/>
  <c r="BC67" i="1"/>
  <c r="BC62" i="1"/>
  <c r="BC64" i="1"/>
  <c r="BC55" i="1"/>
  <c r="BC72" i="1"/>
  <c r="BC76" i="1"/>
  <c r="BC81" i="1"/>
  <c r="BC79" i="1"/>
  <c r="BC82" i="1"/>
  <c r="BC85" i="1"/>
  <c r="BC86" i="1"/>
  <c r="BC87" i="1"/>
  <c r="BC3" i="1"/>
  <c r="BC5" i="1"/>
  <c r="BC8" i="1"/>
  <c r="BC9" i="1"/>
  <c r="BC10" i="1"/>
  <c r="BC16" i="1"/>
  <c r="BC20" i="1"/>
  <c r="BC29" i="1"/>
  <c r="BC24" i="1"/>
  <c r="BC45" i="1"/>
  <c r="BC50" i="1"/>
  <c r="BC77" i="1"/>
  <c r="BC6" i="1"/>
  <c r="AY77" i="1"/>
  <c r="AY50" i="1"/>
  <c r="AY45" i="1"/>
  <c r="BA45" i="1" s="1"/>
  <c r="AY24" i="1"/>
  <c r="BA24" i="1" s="1"/>
  <c r="AY29" i="1"/>
  <c r="AY20" i="1"/>
  <c r="AZ20" i="1" s="1"/>
  <c r="AY16" i="1"/>
  <c r="AZ16" i="1" s="1"/>
  <c r="AY10" i="1"/>
  <c r="BA10" i="1" s="1"/>
  <c r="AY9" i="1"/>
  <c r="AY8" i="1"/>
  <c r="AZ8" i="1" s="1"/>
  <c r="AY5" i="1"/>
  <c r="BA5" i="1" s="1"/>
  <c r="AY3" i="1"/>
  <c r="BA3" i="1" s="1"/>
  <c r="AY87" i="1"/>
  <c r="AY86" i="1"/>
  <c r="AZ86" i="1" s="1"/>
  <c r="AY85" i="1"/>
  <c r="AY82" i="1"/>
  <c r="BA82" i="1" s="1"/>
  <c r="AY79" i="1"/>
  <c r="AY81" i="1"/>
  <c r="AZ81" i="1" s="1"/>
  <c r="AY76" i="1"/>
  <c r="AY72" i="1"/>
  <c r="BA72" i="1" s="1"/>
  <c r="AY55" i="1"/>
  <c r="BA55" i="1" s="1"/>
  <c r="AY64" i="1"/>
  <c r="AY62" i="1"/>
  <c r="BA62" i="1" s="1"/>
  <c r="AY67" i="1"/>
  <c r="BA67" i="1" s="1"/>
  <c r="AY61" i="1"/>
  <c r="AY63" i="1"/>
  <c r="AY53" i="1"/>
  <c r="BA53" i="1" s="1"/>
  <c r="AY46" i="1"/>
  <c r="BA46" i="1" s="1"/>
  <c r="AY48" i="1"/>
  <c r="BA48" i="1" s="1"/>
  <c r="AY44" i="1"/>
  <c r="AZ44" i="1" s="1"/>
  <c r="AY41" i="1"/>
  <c r="BA41" i="1" s="1"/>
  <c r="AY37" i="1"/>
  <c r="BA37" i="1" s="1"/>
  <c r="AY42" i="1"/>
  <c r="AY43" i="1"/>
  <c r="AZ43" i="1" s="1"/>
  <c r="AY40" i="1"/>
  <c r="AY39" i="1"/>
  <c r="BA39" i="1" s="1"/>
  <c r="AY36" i="1"/>
  <c r="BA36" i="1" s="1"/>
  <c r="AY32" i="1"/>
  <c r="AZ32" i="1" s="1"/>
  <c r="AY30" i="1"/>
  <c r="BA30" i="1" s="1"/>
  <c r="AY35" i="1"/>
  <c r="BA35" i="1" s="1"/>
  <c r="AY19" i="1"/>
  <c r="BA19" i="1" s="1"/>
  <c r="AY26" i="1"/>
  <c r="AY23" i="1"/>
  <c r="BA23" i="1" s="1"/>
  <c r="AY22" i="1"/>
  <c r="BA22" i="1" s="1"/>
  <c r="AY18" i="1"/>
  <c r="AY13" i="1"/>
  <c r="AZ13" i="1" s="1"/>
  <c r="AY12" i="1"/>
  <c r="BA12" i="1" s="1"/>
  <c r="AY4" i="1"/>
  <c r="BA4" i="1" s="1"/>
  <c r="AY84" i="1"/>
  <c r="AY75" i="1"/>
  <c r="AZ75" i="1" s="1"/>
  <c r="AY83" i="1"/>
  <c r="AY78" i="1"/>
  <c r="BA78" i="1" s="1"/>
  <c r="AY80" i="1"/>
  <c r="BA80" i="1" s="1"/>
  <c r="AY74" i="1"/>
  <c r="AY71" i="1"/>
  <c r="BA71" i="1" s="1"/>
  <c r="AY66" i="1"/>
  <c r="BA66" i="1" s="1"/>
  <c r="AY73" i="1"/>
  <c r="AY68" i="1"/>
  <c r="AY70" i="1"/>
  <c r="BA70" i="1" s="1"/>
  <c r="AY52" i="1"/>
  <c r="BA52" i="1" s="1"/>
  <c r="AY69" i="1"/>
  <c r="BA69" i="1" s="1"/>
  <c r="AY54" i="1"/>
  <c r="AZ54" i="1" s="1"/>
  <c r="AY65" i="1"/>
  <c r="BA65" i="1" s="1"/>
  <c r="AY49" i="1"/>
  <c r="BA49" i="1" s="1"/>
  <c r="AY57" i="1"/>
  <c r="AY60" i="1"/>
  <c r="AZ60" i="1" s="1"/>
  <c r="AY51" i="1"/>
  <c r="AY58" i="1"/>
  <c r="BA58" i="1" s="1"/>
  <c r="AY59" i="1"/>
  <c r="BA59" i="1" s="1"/>
  <c r="AY56" i="1"/>
  <c r="AZ56" i="1" s="1"/>
  <c r="AY47" i="1"/>
  <c r="BA47" i="1" s="1"/>
  <c r="AY38" i="1"/>
  <c r="BA38" i="1" s="1"/>
  <c r="AY33" i="1"/>
  <c r="BA33" i="1" s="1"/>
  <c r="AY34" i="1"/>
  <c r="AY28" i="1"/>
  <c r="BA28" i="1" s="1"/>
  <c r="AY31" i="1"/>
  <c r="BA31" i="1" s="1"/>
  <c r="AY27" i="1"/>
  <c r="AY21" i="1"/>
  <c r="AZ21" i="1" s="1"/>
  <c r="AY17" i="1"/>
  <c r="BA17" i="1" s="1"/>
  <c r="AY25" i="1"/>
  <c r="BA25" i="1" s="1"/>
  <c r="AY14" i="1"/>
  <c r="AY15" i="1"/>
  <c r="AZ15" i="1" s="1"/>
  <c r="AY11" i="1"/>
  <c r="AY7" i="1"/>
  <c r="BA7" i="1" s="1"/>
  <c r="AY6" i="1"/>
  <c r="BA6" i="1" s="1"/>
  <c r="AT77" i="1"/>
  <c r="AV77" i="1" s="1"/>
  <c r="AT50" i="1"/>
  <c r="AU50" i="1" s="1"/>
  <c r="AT45" i="1"/>
  <c r="AT24" i="1"/>
  <c r="AU24" i="1" s="1"/>
  <c r="AT29" i="1"/>
  <c r="AV29" i="1" s="1"/>
  <c r="AT20" i="1"/>
  <c r="AT16" i="1"/>
  <c r="AT10" i="1"/>
  <c r="AV10" i="1" s="1"/>
  <c r="AT9" i="1"/>
  <c r="AV9" i="1" s="1"/>
  <c r="AT8" i="1"/>
  <c r="AT5" i="1"/>
  <c r="AV5" i="1" s="1"/>
  <c r="AT3" i="1"/>
  <c r="AU3" i="1" s="1"/>
  <c r="AT87" i="1"/>
  <c r="AV87" i="1" s="1"/>
  <c r="AT86" i="1"/>
  <c r="AU86" i="1" s="1"/>
  <c r="AT85" i="1"/>
  <c r="AV85" i="1" s="1"/>
  <c r="AT82" i="1"/>
  <c r="AU82" i="1" s="1"/>
  <c r="AT79" i="1"/>
  <c r="AV79" i="1" s="1"/>
  <c r="AT81" i="1"/>
  <c r="AU81" i="1" s="1"/>
  <c r="AT76" i="1"/>
  <c r="AU76" i="1" s="1"/>
  <c r="AT72" i="1"/>
  <c r="AU72" i="1" s="1"/>
  <c r="AT55" i="1"/>
  <c r="AV55" i="1" s="1"/>
  <c r="AT64" i="1"/>
  <c r="AU64" i="1" s="1"/>
  <c r="AT62" i="1"/>
  <c r="AT67" i="1"/>
  <c r="AU67" i="1" s="1"/>
  <c r="AT61" i="1"/>
  <c r="AV61" i="1" s="1"/>
  <c r="AT63" i="1"/>
  <c r="AT53" i="1"/>
  <c r="AV53" i="1" s="1"/>
  <c r="AT46" i="1"/>
  <c r="AU46" i="1" s="1"/>
  <c r="AT48" i="1"/>
  <c r="AV48" i="1" s="1"/>
  <c r="AT44" i="1"/>
  <c r="AU44" i="1" s="1"/>
  <c r="AT41" i="1"/>
  <c r="AV41" i="1" s="1"/>
  <c r="AT37" i="1"/>
  <c r="AV37" i="1" s="1"/>
  <c r="AT42" i="1"/>
  <c r="AV42" i="1" s="1"/>
  <c r="AT43" i="1"/>
  <c r="AU43" i="1" s="1"/>
  <c r="AT40" i="1"/>
  <c r="AT39" i="1"/>
  <c r="AV39" i="1" s="1"/>
  <c r="AT36" i="1"/>
  <c r="AV36" i="1" s="1"/>
  <c r="AT32" i="1"/>
  <c r="AT30" i="1"/>
  <c r="AT35" i="1"/>
  <c r="AV35" i="1" s="1"/>
  <c r="AT19" i="1"/>
  <c r="AV19" i="1" s="1"/>
  <c r="AT26" i="1"/>
  <c r="AT23" i="1"/>
  <c r="AV23" i="1" s="1"/>
  <c r="AT22" i="1"/>
  <c r="AU22" i="1" s="1"/>
  <c r="AT18" i="1"/>
  <c r="AV18" i="1" s="1"/>
  <c r="AT13" i="1"/>
  <c r="AU13" i="1" s="1"/>
  <c r="AT12" i="1"/>
  <c r="AV12" i="1" s="1"/>
  <c r="AT4" i="1"/>
  <c r="AU4" i="1" s="1"/>
  <c r="AT84" i="1"/>
  <c r="AV84" i="1" s="1"/>
  <c r="AT75" i="1"/>
  <c r="AU75" i="1" s="1"/>
  <c r="AT83" i="1"/>
  <c r="AU83" i="1" s="1"/>
  <c r="AT78" i="1"/>
  <c r="AV78" i="1" s="1"/>
  <c r="AT80" i="1"/>
  <c r="AV80" i="1" s="1"/>
  <c r="AT74" i="1"/>
  <c r="AU74" i="1" s="1"/>
  <c r="AT71" i="1"/>
  <c r="AT66" i="1"/>
  <c r="AV66" i="1" s="1"/>
  <c r="AT73" i="1"/>
  <c r="AV73" i="1" s="1"/>
  <c r="AT68" i="1"/>
  <c r="AT70" i="1"/>
  <c r="AV70" i="1" s="1"/>
  <c r="AT52" i="1"/>
  <c r="AV52" i="1" s="1"/>
  <c r="AT69" i="1"/>
  <c r="AV69" i="1" s="1"/>
  <c r="AT54" i="1"/>
  <c r="AU54" i="1" s="1"/>
  <c r="AT65" i="1"/>
  <c r="AU65" i="1" s="1"/>
  <c r="AT49" i="1"/>
  <c r="AU49" i="1" s="1"/>
  <c r="AT57" i="1"/>
  <c r="AV57" i="1" s="1"/>
  <c r="AT60" i="1"/>
  <c r="AU60" i="1" s="1"/>
  <c r="AT51" i="1"/>
  <c r="AT58" i="1"/>
  <c r="AV58" i="1" s="1"/>
  <c r="AT59" i="1"/>
  <c r="AV59" i="1" s="1"/>
  <c r="AT56" i="1"/>
  <c r="AT47" i="1"/>
  <c r="AT38" i="1"/>
  <c r="AV38" i="1" s="1"/>
  <c r="AT33" i="1"/>
  <c r="AV33" i="1" s="1"/>
  <c r="AT34" i="1"/>
  <c r="AT28" i="1"/>
  <c r="AV28" i="1" s="1"/>
  <c r="AT31" i="1"/>
  <c r="AU31" i="1" s="1"/>
  <c r="AT27" i="1"/>
  <c r="AV27" i="1" s="1"/>
  <c r="AT21" i="1"/>
  <c r="AU21" i="1" s="1"/>
  <c r="AT17" i="1"/>
  <c r="AV17" i="1" s="1"/>
  <c r="AT25" i="1"/>
  <c r="AV25" i="1" s="1"/>
  <c r="AT14" i="1"/>
  <c r="AV14" i="1" s="1"/>
  <c r="AT15" i="1"/>
  <c r="AU15" i="1" s="1"/>
  <c r="AT11" i="1"/>
  <c r="AU11" i="1" s="1"/>
  <c r="AT7" i="1"/>
  <c r="AV7" i="1" s="1"/>
  <c r="AT6" i="1"/>
  <c r="AV6" i="1" s="1"/>
  <c r="AO77" i="1"/>
  <c r="AQ77" i="1" s="1"/>
  <c r="AO50" i="1"/>
  <c r="AP50" i="1" s="1"/>
  <c r="AO45" i="1"/>
  <c r="AP45" i="1" s="1"/>
  <c r="AO24" i="1"/>
  <c r="AQ24" i="1" s="1"/>
  <c r="AO29" i="1"/>
  <c r="AO20" i="1"/>
  <c r="AP20" i="1" s="1"/>
  <c r="AO16" i="1"/>
  <c r="AQ16" i="1" s="1"/>
  <c r="AO10" i="1"/>
  <c r="AQ10" i="1" s="1"/>
  <c r="AO9" i="1"/>
  <c r="AO8" i="1"/>
  <c r="AP8" i="1" s="1"/>
  <c r="AO5" i="1"/>
  <c r="AQ5" i="1" s="1"/>
  <c r="AO3" i="1"/>
  <c r="AQ3" i="1" s="1"/>
  <c r="AO87" i="1"/>
  <c r="AO86" i="1"/>
  <c r="AP86" i="1" s="1"/>
  <c r="AO85" i="1"/>
  <c r="AO82" i="1"/>
  <c r="AQ82" i="1" s="1"/>
  <c r="AO79" i="1"/>
  <c r="AO81" i="1"/>
  <c r="AP81" i="1" s="1"/>
  <c r="AO76" i="1"/>
  <c r="AO72" i="1"/>
  <c r="AQ72" i="1" s="1"/>
  <c r="AO55" i="1"/>
  <c r="AQ55" i="1" s="1"/>
  <c r="AO64" i="1"/>
  <c r="AP64" i="1" s="1"/>
  <c r="AO62" i="1"/>
  <c r="AQ62" i="1" s="1"/>
  <c r="AO67" i="1"/>
  <c r="AQ67" i="1" s="1"/>
  <c r="AO61" i="1"/>
  <c r="AQ61" i="1" s="1"/>
  <c r="AO63" i="1"/>
  <c r="AO53" i="1"/>
  <c r="AQ53" i="1" s="1"/>
  <c r="AO46" i="1"/>
  <c r="AQ46" i="1" s="1"/>
  <c r="AO48" i="1"/>
  <c r="AQ48" i="1" s="1"/>
  <c r="AO44" i="1"/>
  <c r="AO41" i="1"/>
  <c r="AQ41" i="1" s="1"/>
  <c r="AO37" i="1"/>
  <c r="AQ37" i="1" s="1"/>
  <c r="AO42" i="1"/>
  <c r="AO43" i="1"/>
  <c r="AP43" i="1" s="1"/>
  <c r="AO40" i="1"/>
  <c r="AO39" i="1"/>
  <c r="AQ39" i="1" s="1"/>
  <c r="AO36" i="1"/>
  <c r="AQ36" i="1" s="1"/>
  <c r="AO32" i="1"/>
  <c r="AP32" i="1" s="1"/>
  <c r="AO30" i="1"/>
  <c r="AQ30" i="1" s="1"/>
  <c r="AO35" i="1"/>
  <c r="AQ35" i="1" s="1"/>
  <c r="AO19" i="1"/>
  <c r="AQ19" i="1" s="1"/>
  <c r="AO26" i="1"/>
  <c r="AO23" i="1"/>
  <c r="AQ23" i="1" s="1"/>
  <c r="AO22" i="1"/>
  <c r="AQ22" i="1" s="1"/>
  <c r="AO18" i="1"/>
  <c r="AO13" i="1"/>
  <c r="AP13" i="1" s="1"/>
  <c r="AO12" i="1"/>
  <c r="AO4" i="1"/>
  <c r="AQ4" i="1" s="1"/>
  <c r="AO84" i="1"/>
  <c r="AO75" i="1"/>
  <c r="AP75" i="1" s="1"/>
  <c r="AO83" i="1"/>
  <c r="AO78" i="1"/>
  <c r="AQ78" i="1" s="1"/>
  <c r="AO80" i="1"/>
  <c r="AQ80" i="1" s="1"/>
  <c r="AO74" i="1"/>
  <c r="AP74" i="1" s="1"/>
  <c r="AO71" i="1"/>
  <c r="AQ71" i="1" s="1"/>
  <c r="AO66" i="1"/>
  <c r="AQ66" i="1" s="1"/>
  <c r="AO73" i="1"/>
  <c r="AQ73" i="1" s="1"/>
  <c r="AO68" i="1"/>
  <c r="AO70" i="1"/>
  <c r="AQ70" i="1" s="1"/>
  <c r="AO52" i="1"/>
  <c r="AQ52" i="1" s="1"/>
  <c r="AO69" i="1"/>
  <c r="AQ69" i="1" s="1"/>
  <c r="AO54" i="1"/>
  <c r="AO65" i="1"/>
  <c r="AQ65" i="1" s="1"/>
  <c r="AO49" i="1"/>
  <c r="AQ49" i="1" s="1"/>
  <c r="AO57" i="1"/>
  <c r="AO60" i="1"/>
  <c r="AP60" i="1" s="1"/>
  <c r="AO51" i="1"/>
  <c r="AO58" i="1"/>
  <c r="AQ58" i="1" s="1"/>
  <c r="AO59" i="1"/>
  <c r="AQ59" i="1" s="1"/>
  <c r="AO56" i="1"/>
  <c r="AP56" i="1" s="1"/>
  <c r="AO47" i="1"/>
  <c r="AQ47" i="1" s="1"/>
  <c r="AO38" i="1"/>
  <c r="AQ38" i="1" s="1"/>
  <c r="AO33" i="1"/>
  <c r="AQ33" i="1" s="1"/>
  <c r="AO34" i="1"/>
  <c r="AO28" i="1"/>
  <c r="AQ28" i="1" s="1"/>
  <c r="AO31" i="1"/>
  <c r="AQ31" i="1" s="1"/>
  <c r="AO27" i="1"/>
  <c r="AQ27" i="1" s="1"/>
  <c r="AO21" i="1"/>
  <c r="AO17" i="1"/>
  <c r="AQ17" i="1" s="1"/>
  <c r="AO25" i="1"/>
  <c r="AQ25" i="1" s="1"/>
  <c r="AO14" i="1"/>
  <c r="AQ14" i="1" s="1"/>
  <c r="AO15" i="1"/>
  <c r="AP15" i="1" s="1"/>
  <c r="AO11" i="1"/>
  <c r="AQ11" i="1" s="1"/>
  <c r="AO7" i="1"/>
  <c r="AQ7" i="1" s="1"/>
  <c r="AO6" i="1"/>
  <c r="AJ77" i="1"/>
  <c r="AL77" i="1" s="1"/>
  <c r="AJ50" i="1"/>
  <c r="AK50" i="1" s="1"/>
  <c r="AJ45" i="1"/>
  <c r="AJ24" i="1"/>
  <c r="AL24" i="1" s="1"/>
  <c r="AJ29" i="1"/>
  <c r="AL29" i="1" s="1"/>
  <c r="AJ20" i="1"/>
  <c r="AK20" i="1" s="1"/>
  <c r="AJ16" i="1"/>
  <c r="AK16" i="1" s="1"/>
  <c r="AJ10" i="1"/>
  <c r="AL10" i="1" s="1"/>
  <c r="AJ9" i="1"/>
  <c r="AL9" i="1" s="1"/>
  <c r="AJ8" i="1"/>
  <c r="AK8" i="1" s="1"/>
  <c r="AJ5" i="1"/>
  <c r="AJ3" i="1"/>
  <c r="AL3" i="1" s="1"/>
  <c r="AJ87" i="1"/>
  <c r="AL87" i="1" s="1"/>
  <c r="AJ86" i="1"/>
  <c r="AJ85" i="1"/>
  <c r="AJ82" i="1"/>
  <c r="AL82" i="1" s="1"/>
  <c r="AJ79" i="1"/>
  <c r="AL79" i="1" s="1"/>
  <c r="AJ81" i="1"/>
  <c r="AJ76" i="1"/>
  <c r="AK76" i="1" s="1"/>
  <c r="AJ72" i="1"/>
  <c r="AK72" i="1" s="1"/>
  <c r="AJ55" i="1"/>
  <c r="AL55" i="1" s="1"/>
  <c r="AJ64" i="1"/>
  <c r="AK64" i="1" s="1"/>
  <c r="AJ62" i="1"/>
  <c r="AJ67" i="1"/>
  <c r="AK67" i="1" s="1"/>
  <c r="AJ61" i="1"/>
  <c r="AL61" i="1" s="1"/>
  <c r="AJ63" i="1"/>
  <c r="AJ53" i="1"/>
  <c r="AJ46" i="1"/>
  <c r="AL46" i="1" s="1"/>
  <c r="AJ48" i="1"/>
  <c r="AL48" i="1" s="1"/>
  <c r="AJ44" i="1"/>
  <c r="AJ41" i="1"/>
  <c r="AL41" i="1" s="1"/>
  <c r="AJ37" i="1"/>
  <c r="AL37" i="1" s="1"/>
  <c r="AJ42" i="1"/>
  <c r="AL42" i="1" s="1"/>
  <c r="AJ43" i="1"/>
  <c r="AK43" i="1" s="1"/>
  <c r="AJ40" i="1"/>
  <c r="AJ39" i="1"/>
  <c r="AK39" i="1" s="1"/>
  <c r="AJ36" i="1"/>
  <c r="AL36" i="1" s="1"/>
  <c r="AJ32" i="1"/>
  <c r="AK32" i="1" s="1"/>
  <c r="AJ30" i="1"/>
  <c r="AK30" i="1" s="1"/>
  <c r="AJ35" i="1"/>
  <c r="AK35" i="1" s="1"/>
  <c r="AJ19" i="1"/>
  <c r="AL19" i="1" s="1"/>
  <c r="AJ26" i="1"/>
  <c r="AK26" i="1" s="1"/>
  <c r="AJ23" i="1"/>
  <c r="AJ22" i="1"/>
  <c r="AK22" i="1" s="1"/>
  <c r="AJ18" i="1"/>
  <c r="AL18" i="1" s="1"/>
  <c r="AJ13" i="1"/>
  <c r="AJ12" i="1"/>
  <c r="AJ4" i="1"/>
  <c r="AL4" i="1" s="1"/>
  <c r="AJ84" i="1"/>
  <c r="AL84" i="1" s="1"/>
  <c r="AJ75" i="1"/>
  <c r="AJ83" i="1"/>
  <c r="AK83" i="1" s="1"/>
  <c r="AJ78" i="1"/>
  <c r="AK78" i="1" s="1"/>
  <c r="AJ80" i="1"/>
  <c r="AL80" i="1" s="1"/>
  <c r="AJ74" i="1"/>
  <c r="AK74" i="1" s="1"/>
  <c r="AJ71" i="1"/>
  <c r="AJ66" i="1"/>
  <c r="AK66" i="1" s="1"/>
  <c r="AJ73" i="1"/>
  <c r="AL73" i="1" s="1"/>
  <c r="AJ68" i="1"/>
  <c r="AJ70" i="1"/>
  <c r="AJ52" i="1"/>
  <c r="AL52" i="1" s="1"/>
  <c r="AJ69" i="1"/>
  <c r="AL69" i="1" s="1"/>
  <c r="AJ54" i="1"/>
  <c r="AJ65" i="1"/>
  <c r="AL65" i="1" s="1"/>
  <c r="AJ49" i="1"/>
  <c r="AK49" i="1" s="1"/>
  <c r="AJ57" i="1"/>
  <c r="AL57" i="1" s="1"/>
  <c r="AJ60" i="1"/>
  <c r="AK60" i="1" s="1"/>
  <c r="AJ51" i="1"/>
  <c r="AJ58" i="1"/>
  <c r="AL58" i="1" s="1"/>
  <c r="AJ59" i="1"/>
  <c r="AL59" i="1" s="1"/>
  <c r="AJ56" i="1"/>
  <c r="AK56" i="1" s="1"/>
  <c r="AJ47" i="1"/>
  <c r="AK47" i="1" s="1"/>
  <c r="AJ38" i="1"/>
  <c r="AL38" i="1" s="1"/>
  <c r="AJ33" i="1"/>
  <c r="AL33" i="1" s="1"/>
  <c r="AJ34" i="1"/>
  <c r="AK34" i="1" s="1"/>
  <c r="AJ28" i="1"/>
  <c r="AJ31" i="1"/>
  <c r="AK31" i="1" s="1"/>
  <c r="AJ27" i="1"/>
  <c r="AL27" i="1" s="1"/>
  <c r="AJ21" i="1"/>
  <c r="AJ17" i="1"/>
  <c r="AL17" i="1" s="1"/>
  <c r="AJ25" i="1"/>
  <c r="AL25" i="1" s="1"/>
  <c r="AJ14" i="1"/>
  <c r="AL14" i="1" s="1"/>
  <c r="AJ15" i="1"/>
  <c r="AK15" i="1" s="1"/>
  <c r="AJ11" i="1"/>
  <c r="AK11" i="1" s="1"/>
  <c r="AJ7" i="1"/>
  <c r="AK7" i="1" s="1"/>
  <c r="AJ6" i="1"/>
  <c r="AL6" i="1" s="1"/>
  <c r="AE77" i="1"/>
  <c r="AF77" i="1" s="1"/>
  <c r="AE50" i="1"/>
  <c r="AG50" i="1" s="1"/>
  <c r="AE45" i="1"/>
  <c r="AF45" i="1" s="1"/>
  <c r="AE24" i="1"/>
  <c r="AG24" i="1" s="1"/>
  <c r="AE29" i="1"/>
  <c r="AF29" i="1" s="1"/>
  <c r="AE20" i="1"/>
  <c r="AE16" i="1"/>
  <c r="AG16" i="1" s="1"/>
  <c r="AE10" i="1"/>
  <c r="AG10" i="1" s="1"/>
  <c r="AE9" i="1"/>
  <c r="AE8" i="1"/>
  <c r="AG8" i="1" s="1"/>
  <c r="AE5" i="1"/>
  <c r="AF5" i="1" s="1"/>
  <c r="AE3" i="1"/>
  <c r="AG3" i="1" s="1"/>
  <c r="AE87" i="1"/>
  <c r="AF87" i="1" s="1"/>
  <c r="AE86" i="1"/>
  <c r="AF86" i="1" s="1"/>
  <c r="AE85" i="1"/>
  <c r="AG85" i="1" s="1"/>
  <c r="AE82" i="1"/>
  <c r="AG82" i="1" s="1"/>
  <c r="AE79" i="1"/>
  <c r="AF79" i="1" s="1"/>
  <c r="AE81" i="1"/>
  <c r="AG81" i="1" s="1"/>
  <c r="AE76" i="1"/>
  <c r="AG76" i="1" s="1"/>
  <c r="AE72" i="1"/>
  <c r="AG72" i="1" s="1"/>
  <c r="AE55" i="1"/>
  <c r="AF55" i="1" s="1"/>
  <c r="AE64" i="1"/>
  <c r="AE62" i="1"/>
  <c r="AF62" i="1" s="1"/>
  <c r="AE67" i="1"/>
  <c r="AG67" i="1" s="1"/>
  <c r="AE61" i="1"/>
  <c r="AE63" i="1"/>
  <c r="AG63" i="1" s="1"/>
  <c r="AE53" i="1"/>
  <c r="AG53" i="1" s="1"/>
  <c r="AE46" i="1"/>
  <c r="AG46" i="1" s="1"/>
  <c r="AE48" i="1"/>
  <c r="AF48" i="1" s="1"/>
  <c r="AE44" i="1"/>
  <c r="AE41" i="1"/>
  <c r="AF41" i="1" s="1"/>
  <c r="AE37" i="1"/>
  <c r="AG37" i="1" s="1"/>
  <c r="AE42" i="1"/>
  <c r="AF42" i="1" s="1"/>
  <c r="AE43" i="1"/>
  <c r="AF43" i="1" s="1"/>
  <c r="AE40" i="1"/>
  <c r="AF40" i="1" s="1"/>
  <c r="AE39" i="1"/>
  <c r="AG39" i="1" s="1"/>
  <c r="AE36" i="1"/>
  <c r="AF36" i="1" s="1"/>
  <c r="AE32" i="1"/>
  <c r="AE30" i="1"/>
  <c r="AG30" i="1" s="1"/>
  <c r="AE35" i="1"/>
  <c r="AG35" i="1" s="1"/>
  <c r="AE19" i="1"/>
  <c r="AE26" i="1"/>
  <c r="AE23" i="1"/>
  <c r="AF23" i="1" s="1"/>
  <c r="AE22" i="1"/>
  <c r="AG22" i="1" s="1"/>
  <c r="AE18" i="1"/>
  <c r="AE13" i="1"/>
  <c r="AF13" i="1" s="1"/>
  <c r="AE12" i="1"/>
  <c r="AG12" i="1" s="1"/>
  <c r="AE4" i="1"/>
  <c r="AG4" i="1" s="1"/>
  <c r="AE84" i="1"/>
  <c r="AF84" i="1" s="1"/>
  <c r="AE75" i="1"/>
  <c r="AE83" i="1"/>
  <c r="AF83" i="1" s="1"/>
  <c r="AE78" i="1"/>
  <c r="AG78" i="1" s="1"/>
  <c r="AE80" i="1"/>
  <c r="AE74" i="1"/>
  <c r="AE71" i="1"/>
  <c r="AF71" i="1" s="1"/>
  <c r="AE66" i="1"/>
  <c r="AG66" i="1" s="1"/>
  <c r="AE73" i="1"/>
  <c r="AE68" i="1"/>
  <c r="AG68" i="1" s="1"/>
  <c r="AE70" i="1"/>
  <c r="AG70" i="1" s="1"/>
  <c r="AE52" i="1"/>
  <c r="AG52" i="1" s="1"/>
  <c r="AE69" i="1"/>
  <c r="AF69" i="1" s="1"/>
  <c r="AE54" i="1"/>
  <c r="AE65" i="1"/>
  <c r="AF65" i="1" s="1"/>
  <c r="AE49" i="1"/>
  <c r="AG49" i="1" s="1"/>
  <c r="AE57" i="1"/>
  <c r="AF57" i="1" s="1"/>
  <c r="AE60" i="1"/>
  <c r="AF60" i="1" s="1"/>
  <c r="AE51" i="1"/>
  <c r="AG51" i="1" s="1"/>
  <c r="AE58" i="1"/>
  <c r="AG58" i="1" s="1"/>
  <c r="AE59" i="1"/>
  <c r="AF59" i="1" s="1"/>
  <c r="AE56" i="1"/>
  <c r="AE47" i="1"/>
  <c r="AF47" i="1" s="1"/>
  <c r="AE38" i="1"/>
  <c r="AG38" i="1" s="1"/>
  <c r="AE33" i="1"/>
  <c r="AE34" i="1"/>
  <c r="AE28" i="1"/>
  <c r="AF28" i="1" s="1"/>
  <c r="AE31" i="1"/>
  <c r="AG31" i="1" s="1"/>
  <c r="AE27" i="1"/>
  <c r="AE21" i="1"/>
  <c r="AF21" i="1" s="1"/>
  <c r="AE17" i="1"/>
  <c r="AF17" i="1" s="1"/>
  <c r="AE25" i="1"/>
  <c r="AG25" i="1" s="1"/>
  <c r="AE14" i="1"/>
  <c r="AF14" i="1" s="1"/>
  <c r="AE15" i="1"/>
  <c r="AE11" i="1"/>
  <c r="AG11" i="1" s="1"/>
  <c r="AE7" i="1"/>
  <c r="AG7" i="1" s="1"/>
  <c r="AE6" i="1"/>
  <c r="Z77" i="1"/>
  <c r="AB77" i="1" s="1"/>
  <c r="Z50" i="1"/>
  <c r="Z45" i="1"/>
  <c r="Z24" i="1"/>
  <c r="AB24" i="1" s="1"/>
  <c r="Z29" i="1"/>
  <c r="AB29" i="1" s="1"/>
  <c r="Z20" i="1"/>
  <c r="Z16" i="1"/>
  <c r="AA16" i="1" s="1"/>
  <c r="Z10" i="1"/>
  <c r="AB10" i="1" s="1"/>
  <c r="Z9" i="1"/>
  <c r="AB9" i="1" s="1"/>
  <c r="Z8" i="1"/>
  <c r="AA8" i="1" s="1"/>
  <c r="Z5" i="1"/>
  <c r="Z3" i="1"/>
  <c r="AB3" i="1" s="1"/>
  <c r="Z87" i="1"/>
  <c r="AB87" i="1" s="1"/>
  <c r="Z86" i="1"/>
  <c r="Z85" i="1"/>
  <c r="Z82" i="1"/>
  <c r="AB82" i="1" s="1"/>
  <c r="Z79" i="1"/>
  <c r="AB79" i="1" s="1"/>
  <c r="Z81" i="1"/>
  <c r="Z76" i="1"/>
  <c r="AB76" i="1" s="1"/>
  <c r="Z72" i="1"/>
  <c r="AB72" i="1" s="1"/>
  <c r="Z55" i="1"/>
  <c r="AB55" i="1" s="1"/>
  <c r="Z64" i="1"/>
  <c r="AA64" i="1" s="1"/>
  <c r="Z62" i="1"/>
  <c r="Z67" i="1"/>
  <c r="AB67" i="1" s="1"/>
  <c r="Z61" i="1"/>
  <c r="AB61" i="1" s="1"/>
  <c r="Z63" i="1"/>
  <c r="AA63" i="1" s="1"/>
  <c r="Z53" i="1"/>
  <c r="AA53" i="1" s="1"/>
  <c r="Z46" i="1"/>
  <c r="AB46" i="1" s="1"/>
  <c r="Z48" i="1"/>
  <c r="AB48" i="1" s="1"/>
  <c r="Z44" i="1"/>
  <c r="AA44" i="1" s="1"/>
  <c r="Z41" i="1"/>
  <c r="Z37" i="1"/>
  <c r="AB37" i="1" s="1"/>
  <c r="Z42" i="1"/>
  <c r="AB42" i="1" s="1"/>
  <c r="Z43" i="1"/>
  <c r="Z40" i="1"/>
  <c r="Z39" i="1"/>
  <c r="AB39" i="1" s="1"/>
  <c r="Z36" i="1"/>
  <c r="AB36" i="1" s="1"/>
  <c r="Z32" i="1"/>
  <c r="Z30" i="1"/>
  <c r="AA30" i="1" s="1"/>
  <c r="Z35" i="1"/>
  <c r="AB35" i="1" s="1"/>
  <c r="Z19" i="1"/>
  <c r="AB19" i="1" s="1"/>
  <c r="Z26" i="1"/>
  <c r="AA26" i="1" s="1"/>
  <c r="Z23" i="1"/>
  <c r="Z22" i="1"/>
  <c r="AB22" i="1" s="1"/>
  <c r="Z18" i="1"/>
  <c r="AB18" i="1" s="1"/>
  <c r="Z13" i="1"/>
  <c r="Z12" i="1"/>
  <c r="Z4" i="1"/>
  <c r="AB4" i="1" s="1"/>
  <c r="Z84" i="1"/>
  <c r="AB84" i="1" s="1"/>
  <c r="Z75" i="1"/>
  <c r="Z83" i="1"/>
  <c r="AB83" i="1" s="1"/>
  <c r="Z78" i="1"/>
  <c r="AB78" i="1" s="1"/>
  <c r="Z80" i="1"/>
  <c r="AB80" i="1" s="1"/>
  <c r="Z74" i="1"/>
  <c r="AA74" i="1" s="1"/>
  <c r="Z71" i="1"/>
  <c r="Z66" i="1"/>
  <c r="AB66" i="1" s="1"/>
  <c r="Z73" i="1"/>
  <c r="AB73" i="1" s="1"/>
  <c r="Z68" i="1"/>
  <c r="AA68" i="1" s="1"/>
  <c r="Z70" i="1"/>
  <c r="AA70" i="1" s="1"/>
  <c r="Z52" i="1"/>
  <c r="AB52" i="1" s="1"/>
  <c r="Z69" i="1"/>
  <c r="AB69" i="1" s="1"/>
  <c r="Z54" i="1"/>
  <c r="AA54" i="1" s="1"/>
  <c r="Z65" i="1"/>
  <c r="Z49" i="1"/>
  <c r="AB49" i="1" s="1"/>
  <c r="Z57" i="1"/>
  <c r="AB57" i="1" s="1"/>
  <c r="Z60" i="1"/>
  <c r="Z51" i="1"/>
  <c r="Z58" i="1"/>
  <c r="AB58" i="1" s="1"/>
  <c r="Z59" i="1"/>
  <c r="AB59" i="1" s="1"/>
  <c r="Z56" i="1"/>
  <c r="Z47" i="1"/>
  <c r="AA47" i="1" s="1"/>
  <c r="Z38" i="1"/>
  <c r="AB38" i="1" s="1"/>
  <c r="Z33" i="1"/>
  <c r="AB33" i="1" s="1"/>
  <c r="Z34" i="1"/>
  <c r="AA34" i="1" s="1"/>
  <c r="Z28" i="1"/>
  <c r="Z31" i="1"/>
  <c r="AB31" i="1" s="1"/>
  <c r="Z27" i="1"/>
  <c r="AB27" i="1" s="1"/>
  <c r="Z21" i="1"/>
  <c r="Z17" i="1"/>
  <c r="Z25" i="1"/>
  <c r="AB25" i="1" s="1"/>
  <c r="Z14" i="1"/>
  <c r="AB14" i="1" s="1"/>
  <c r="Z15" i="1"/>
  <c r="Z11" i="1"/>
  <c r="AB11" i="1" s="1"/>
  <c r="Z7" i="1"/>
  <c r="AB7" i="1" s="1"/>
  <c r="Z6" i="1"/>
  <c r="AB6" i="1" s="1"/>
  <c r="U77" i="1"/>
  <c r="W77" i="1" s="1"/>
  <c r="U50" i="1"/>
  <c r="U45" i="1"/>
  <c r="U24" i="1"/>
  <c r="V24" i="1" s="1"/>
  <c r="U29" i="1"/>
  <c r="W29" i="1" s="1"/>
  <c r="U20" i="1"/>
  <c r="U16" i="1"/>
  <c r="V16" i="1" s="1"/>
  <c r="U10" i="1"/>
  <c r="V10" i="1" s="1"/>
  <c r="U9" i="1"/>
  <c r="W9" i="1" s="1"/>
  <c r="U8" i="1"/>
  <c r="V8" i="1" s="1"/>
  <c r="U5" i="1"/>
  <c r="U3" i="1"/>
  <c r="V3" i="1" s="1"/>
  <c r="U87" i="1"/>
  <c r="W87" i="1" s="1"/>
  <c r="U86" i="1"/>
  <c r="U85" i="1"/>
  <c r="U82" i="1"/>
  <c r="V82" i="1" s="1"/>
  <c r="U79" i="1"/>
  <c r="W79" i="1" s="1"/>
  <c r="U81" i="1"/>
  <c r="U76" i="1"/>
  <c r="W76" i="1" s="1"/>
  <c r="U72" i="1"/>
  <c r="V72" i="1" s="1"/>
  <c r="U55" i="1"/>
  <c r="W55" i="1" s="1"/>
  <c r="U64" i="1"/>
  <c r="V64" i="1" s="1"/>
  <c r="U62" i="1"/>
  <c r="U67" i="1"/>
  <c r="V67" i="1" s="1"/>
  <c r="U61" i="1"/>
  <c r="W61" i="1" s="1"/>
  <c r="U63" i="1"/>
  <c r="V63" i="1" s="1"/>
  <c r="U53" i="1"/>
  <c r="V53" i="1" s="1"/>
  <c r="U46" i="1"/>
  <c r="V46" i="1" s="1"/>
  <c r="U48" i="1"/>
  <c r="W48" i="1" s="1"/>
  <c r="U44" i="1"/>
  <c r="V44" i="1" s="1"/>
  <c r="U41" i="1"/>
  <c r="U37" i="1"/>
  <c r="V37" i="1" s="1"/>
  <c r="U42" i="1"/>
  <c r="W42" i="1" s="1"/>
  <c r="U43" i="1"/>
  <c r="U40" i="1"/>
  <c r="U39" i="1"/>
  <c r="V39" i="1" s="1"/>
  <c r="U36" i="1"/>
  <c r="W36" i="1" s="1"/>
  <c r="U32" i="1"/>
  <c r="U30" i="1"/>
  <c r="V30" i="1" s="1"/>
  <c r="U35" i="1"/>
  <c r="V35" i="1" s="1"/>
  <c r="U19" i="1"/>
  <c r="W19" i="1" s="1"/>
  <c r="U26" i="1"/>
  <c r="V26" i="1" s="1"/>
  <c r="U23" i="1"/>
  <c r="U22" i="1"/>
  <c r="W22" i="1" s="1"/>
  <c r="U18" i="1"/>
  <c r="W18" i="1" s="1"/>
  <c r="U13" i="1"/>
  <c r="U12" i="1"/>
  <c r="U4" i="1"/>
  <c r="V4" i="1" s="1"/>
  <c r="U84" i="1"/>
  <c r="W84" i="1" s="1"/>
  <c r="U75" i="1"/>
  <c r="U83" i="1"/>
  <c r="W83" i="1" s="1"/>
  <c r="U78" i="1"/>
  <c r="V78" i="1" s="1"/>
  <c r="U80" i="1"/>
  <c r="W80" i="1" s="1"/>
  <c r="U74" i="1"/>
  <c r="V74" i="1" s="1"/>
  <c r="U71" i="1"/>
  <c r="U66" i="1"/>
  <c r="V66" i="1" s="1"/>
  <c r="U73" i="1"/>
  <c r="W73" i="1" s="1"/>
  <c r="U68" i="1"/>
  <c r="V68" i="1" s="1"/>
  <c r="U70" i="1"/>
  <c r="V70" i="1" s="1"/>
  <c r="U52" i="1"/>
  <c r="V52" i="1" s="1"/>
  <c r="U69" i="1"/>
  <c r="W69" i="1" s="1"/>
  <c r="U54" i="1"/>
  <c r="V54" i="1" s="1"/>
  <c r="U65" i="1"/>
  <c r="U49" i="1"/>
  <c r="W49" i="1" s="1"/>
  <c r="U57" i="1"/>
  <c r="W57" i="1" s="1"/>
  <c r="U60" i="1"/>
  <c r="U51" i="1"/>
  <c r="U58" i="1"/>
  <c r="V58" i="1" s="1"/>
  <c r="U59" i="1"/>
  <c r="W59" i="1" s="1"/>
  <c r="U56" i="1"/>
  <c r="U47" i="1"/>
  <c r="V47" i="1" s="1"/>
  <c r="U38" i="1"/>
  <c r="W38" i="1" s="1"/>
  <c r="U33" i="1"/>
  <c r="W33" i="1" s="1"/>
  <c r="U34" i="1"/>
  <c r="V34" i="1" s="1"/>
  <c r="U28" i="1"/>
  <c r="U31" i="1"/>
  <c r="V31" i="1" s="1"/>
  <c r="U27" i="1"/>
  <c r="W27" i="1" s="1"/>
  <c r="U21" i="1"/>
  <c r="U17" i="1"/>
  <c r="U25" i="1"/>
  <c r="V25" i="1" s="1"/>
  <c r="U14" i="1"/>
  <c r="W14" i="1" s="1"/>
  <c r="U15" i="1"/>
  <c r="U11" i="1"/>
  <c r="W11" i="1" s="1"/>
  <c r="U7" i="1"/>
  <c r="V7" i="1" s="1"/>
  <c r="U6" i="1"/>
  <c r="W6" i="1" s="1"/>
  <c r="P77" i="1"/>
  <c r="R77" i="1" s="1"/>
  <c r="P50" i="1"/>
  <c r="Q50" i="1" s="1"/>
  <c r="P45" i="1"/>
  <c r="R45" i="1" s="1"/>
  <c r="P24" i="1"/>
  <c r="R24" i="1" s="1"/>
  <c r="P29" i="1"/>
  <c r="P20" i="1"/>
  <c r="P16" i="1"/>
  <c r="R16" i="1" s="1"/>
  <c r="P10" i="1"/>
  <c r="R10" i="1" s="1"/>
  <c r="P9" i="1"/>
  <c r="P8" i="1"/>
  <c r="P5" i="1"/>
  <c r="R5" i="1" s="1"/>
  <c r="P3" i="1"/>
  <c r="R3" i="1" s="1"/>
  <c r="P87" i="1"/>
  <c r="P86" i="1"/>
  <c r="P85" i="1"/>
  <c r="P82" i="1"/>
  <c r="R82" i="1" s="1"/>
  <c r="P79" i="1"/>
  <c r="R79" i="1" s="1"/>
  <c r="P81" i="1"/>
  <c r="P76" i="1"/>
  <c r="R76" i="1" s="1"/>
  <c r="P72" i="1"/>
  <c r="R72" i="1" s="1"/>
  <c r="P55" i="1"/>
  <c r="P64" i="1"/>
  <c r="P62" i="1"/>
  <c r="P67" i="1"/>
  <c r="R67" i="1" s="1"/>
  <c r="P61" i="1"/>
  <c r="R61" i="1" s="1"/>
  <c r="P63" i="1"/>
  <c r="Q63" i="1" s="1"/>
  <c r="P53" i="1"/>
  <c r="R53" i="1" s="1"/>
  <c r="P46" i="1"/>
  <c r="R46" i="1" s="1"/>
  <c r="P48" i="1"/>
  <c r="P44" i="1"/>
  <c r="P41" i="1"/>
  <c r="P37" i="1"/>
  <c r="R37" i="1" s="1"/>
  <c r="P42" i="1"/>
  <c r="P43" i="1"/>
  <c r="P40" i="1"/>
  <c r="R40" i="1" s="1"/>
  <c r="P39" i="1"/>
  <c r="R39" i="1" s="1"/>
  <c r="P36" i="1"/>
  <c r="R36" i="1" s="1"/>
  <c r="P32" i="1"/>
  <c r="P30" i="1"/>
  <c r="P35" i="1"/>
  <c r="R35" i="1" s="1"/>
  <c r="P19" i="1"/>
  <c r="R19" i="1" s="1"/>
  <c r="P26" i="1"/>
  <c r="P23" i="1"/>
  <c r="R23" i="1" s="1"/>
  <c r="P22" i="1"/>
  <c r="R22" i="1" s="1"/>
  <c r="P18" i="1"/>
  <c r="P13" i="1"/>
  <c r="Q13" i="1" s="1"/>
  <c r="P12" i="1"/>
  <c r="P4" i="1"/>
  <c r="R4" i="1" s="1"/>
  <c r="P84" i="1"/>
  <c r="P75" i="1"/>
  <c r="Q75" i="1" s="1"/>
  <c r="P83" i="1"/>
  <c r="P78" i="1"/>
  <c r="R78" i="1" s="1"/>
  <c r="P80" i="1"/>
  <c r="R80" i="1" s="1"/>
  <c r="P74" i="1"/>
  <c r="P71" i="1"/>
  <c r="R71" i="1" s="1"/>
  <c r="P66" i="1"/>
  <c r="R66" i="1" s="1"/>
  <c r="P73" i="1"/>
  <c r="P68" i="1"/>
  <c r="Q68" i="1" s="1"/>
  <c r="P70" i="1"/>
  <c r="P52" i="1"/>
  <c r="R52" i="1" s="1"/>
  <c r="P69" i="1"/>
  <c r="P54" i="1"/>
  <c r="P65" i="1"/>
  <c r="P49" i="1"/>
  <c r="R49" i="1" s="1"/>
  <c r="P57" i="1"/>
  <c r="P60" i="1"/>
  <c r="Q60" i="1" s="1"/>
  <c r="P51" i="1"/>
  <c r="P58" i="1"/>
  <c r="R58" i="1" s="1"/>
  <c r="P59" i="1"/>
  <c r="R59" i="1" s="1"/>
  <c r="P56" i="1"/>
  <c r="Q56" i="1" s="1"/>
  <c r="P47" i="1"/>
  <c r="R47" i="1" s="1"/>
  <c r="P38" i="1"/>
  <c r="R38" i="1" s="1"/>
  <c r="P33" i="1"/>
  <c r="R33" i="1" s="1"/>
  <c r="P34" i="1"/>
  <c r="P28" i="1"/>
  <c r="R28" i="1" s="1"/>
  <c r="P31" i="1"/>
  <c r="R31" i="1" s="1"/>
  <c r="P27" i="1"/>
  <c r="R27" i="1" s="1"/>
  <c r="P21" i="1"/>
  <c r="Q21" i="1" s="1"/>
  <c r="P17" i="1"/>
  <c r="R17" i="1" s="1"/>
  <c r="P25" i="1"/>
  <c r="R25" i="1" s="1"/>
  <c r="P14" i="1"/>
  <c r="P15" i="1"/>
  <c r="Q15" i="1" s="1"/>
  <c r="P11" i="1"/>
  <c r="P7" i="1"/>
  <c r="R7" i="1" s="1"/>
  <c r="P6" i="1"/>
  <c r="R6" i="1" s="1"/>
  <c r="K77" i="1"/>
  <c r="K50" i="1"/>
  <c r="L50" i="1" s="1"/>
  <c r="K45" i="1"/>
  <c r="K24" i="1"/>
  <c r="M24" i="1" s="1"/>
  <c r="K29" i="1"/>
  <c r="K20" i="1"/>
  <c r="K16" i="1"/>
  <c r="K10" i="1"/>
  <c r="M10" i="1" s="1"/>
  <c r="K9" i="1"/>
  <c r="K8" i="1"/>
  <c r="K5" i="1"/>
  <c r="M5" i="1" s="1"/>
  <c r="K3" i="1"/>
  <c r="M3" i="1" s="1"/>
  <c r="K87" i="1"/>
  <c r="K86" i="1"/>
  <c r="L86" i="1" s="1"/>
  <c r="K85" i="1"/>
  <c r="L85" i="1" s="1"/>
  <c r="K82" i="1"/>
  <c r="M82" i="1" s="1"/>
  <c r="K79" i="1"/>
  <c r="K81" i="1"/>
  <c r="L81" i="1" s="1"/>
  <c r="K76" i="1"/>
  <c r="K72" i="1"/>
  <c r="M72" i="1" s="1"/>
  <c r="K55" i="1"/>
  <c r="K64" i="1"/>
  <c r="K62" i="1"/>
  <c r="K67" i="1"/>
  <c r="M67" i="1" s="1"/>
  <c r="K61" i="1"/>
  <c r="K63" i="1"/>
  <c r="K53" i="1"/>
  <c r="M53" i="1" s="1"/>
  <c r="K46" i="1"/>
  <c r="M46" i="1" s="1"/>
  <c r="K48" i="1"/>
  <c r="K44" i="1"/>
  <c r="L44" i="1" s="1"/>
  <c r="K41" i="1"/>
  <c r="L41" i="1" s="1"/>
  <c r="K37" i="1"/>
  <c r="M37" i="1" s="1"/>
  <c r="K42" i="1"/>
  <c r="K43" i="1"/>
  <c r="L43" i="1" s="1"/>
  <c r="K40" i="1"/>
  <c r="K39" i="1"/>
  <c r="M39" i="1" s="1"/>
  <c r="K36" i="1"/>
  <c r="K32" i="1"/>
  <c r="K30" i="1"/>
  <c r="K35" i="1"/>
  <c r="M35" i="1" s="1"/>
  <c r="K19" i="1"/>
  <c r="K26" i="1"/>
  <c r="K23" i="1"/>
  <c r="M23" i="1" s="1"/>
  <c r="K22" i="1"/>
  <c r="M22" i="1" s="1"/>
  <c r="K18" i="1"/>
  <c r="K13" i="1"/>
  <c r="L13" i="1" s="1"/>
  <c r="K12" i="1"/>
  <c r="L12" i="1" s="1"/>
  <c r="K4" i="1"/>
  <c r="M4" i="1" s="1"/>
  <c r="K84" i="1"/>
  <c r="K75" i="1"/>
  <c r="L75" i="1" s="1"/>
  <c r="K83" i="1"/>
  <c r="K78" i="1"/>
  <c r="M78" i="1" s="1"/>
  <c r="K80" i="1"/>
  <c r="K74" i="1"/>
  <c r="K71" i="1"/>
  <c r="K66" i="1"/>
  <c r="M66" i="1" s="1"/>
  <c r="K73" i="1"/>
  <c r="K68" i="1"/>
  <c r="L68" i="1" s="1"/>
  <c r="K70" i="1"/>
  <c r="K52" i="1"/>
  <c r="M52" i="1" s="1"/>
  <c r="K69" i="1"/>
  <c r="K54" i="1"/>
  <c r="K65" i="1"/>
  <c r="L65" i="1" s="1"/>
  <c r="K49" i="1"/>
  <c r="M49" i="1" s="1"/>
  <c r="K57" i="1"/>
  <c r="K60" i="1"/>
  <c r="L60" i="1" s="1"/>
  <c r="K51" i="1"/>
  <c r="K58" i="1"/>
  <c r="M58" i="1" s="1"/>
  <c r="K59" i="1"/>
  <c r="K56" i="1"/>
  <c r="K47" i="1"/>
  <c r="M47" i="1" s="1"/>
  <c r="K38" i="1"/>
  <c r="M38" i="1" s="1"/>
  <c r="K33" i="1"/>
  <c r="K34" i="1"/>
  <c r="L34" i="1" s="1"/>
  <c r="K28" i="1"/>
  <c r="K31" i="1"/>
  <c r="M31" i="1" s="1"/>
  <c r="K27" i="1"/>
  <c r="K21" i="1"/>
  <c r="K17" i="1"/>
  <c r="L17" i="1" s="1"/>
  <c r="K25" i="1"/>
  <c r="M25" i="1" s="1"/>
  <c r="K14" i="1"/>
  <c r="K15" i="1"/>
  <c r="L15" i="1" s="1"/>
  <c r="K11" i="1"/>
  <c r="L11" i="1" s="1"/>
  <c r="K7" i="1"/>
  <c r="M7" i="1" s="1"/>
  <c r="K6" i="1"/>
  <c r="M6" i="1" s="1"/>
  <c r="F7" i="1"/>
  <c r="F11" i="1"/>
  <c r="F15" i="1"/>
  <c r="H15" i="1" s="1"/>
  <c r="F14" i="1"/>
  <c r="H14" i="1" s="1"/>
  <c r="F25" i="1"/>
  <c r="G25" i="1" s="1"/>
  <c r="F17" i="1"/>
  <c r="F21" i="1"/>
  <c r="H21" i="1" s="1"/>
  <c r="F27" i="1"/>
  <c r="G27" i="1" s="1"/>
  <c r="F31" i="1"/>
  <c r="G31" i="1" s="1"/>
  <c r="F28" i="1"/>
  <c r="F34" i="1"/>
  <c r="H34" i="1" s="1"/>
  <c r="F33" i="1"/>
  <c r="H33" i="1" s="1"/>
  <c r="F38" i="1"/>
  <c r="G38" i="1" s="1"/>
  <c r="F47" i="1"/>
  <c r="F56" i="1"/>
  <c r="H56" i="1" s="1"/>
  <c r="F59" i="1"/>
  <c r="G59" i="1" s="1"/>
  <c r="F58" i="1"/>
  <c r="G58" i="1" s="1"/>
  <c r="F51" i="1"/>
  <c r="F60" i="1"/>
  <c r="H60" i="1" s="1"/>
  <c r="F57" i="1"/>
  <c r="H57" i="1" s="1"/>
  <c r="F49" i="1"/>
  <c r="G49" i="1" s="1"/>
  <c r="F65" i="1"/>
  <c r="F54" i="1"/>
  <c r="H54" i="1" s="1"/>
  <c r="F69" i="1"/>
  <c r="H69" i="1" s="1"/>
  <c r="F52" i="1"/>
  <c r="G52" i="1" s="1"/>
  <c r="F70" i="1"/>
  <c r="F68" i="1"/>
  <c r="H68" i="1" s="1"/>
  <c r="F73" i="1"/>
  <c r="G73" i="1" s="1"/>
  <c r="F66" i="1"/>
  <c r="G66" i="1" s="1"/>
  <c r="F71" i="1"/>
  <c r="F74" i="1"/>
  <c r="H74" i="1" s="1"/>
  <c r="F80" i="1"/>
  <c r="G80" i="1" s="1"/>
  <c r="F78" i="1"/>
  <c r="G78" i="1" s="1"/>
  <c r="F83" i="1"/>
  <c r="F75" i="1"/>
  <c r="H75" i="1" s="1"/>
  <c r="F84" i="1"/>
  <c r="H84" i="1" s="1"/>
  <c r="F4" i="1"/>
  <c r="G4" i="1" s="1"/>
  <c r="F12" i="1"/>
  <c r="F13" i="1"/>
  <c r="H13" i="1" s="1"/>
  <c r="F18" i="1"/>
  <c r="G18" i="1" s="1"/>
  <c r="F22" i="1"/>
  <c r="G22" i="1" s="1"/>
  <c r="F23" i="1"/>
  <c r="F26" i="1"/>
  <c r="H26" i="1" s="1"/>
  <c r="F19" i="1"/>
  <c r="H19" i="1" s="1"/>
  <c r="F35" i="1"/>
  <c r="G35" i="1" s="1"/>
  <c r="F30" i="1"/>
  <c r="F32" i="1"/>
  <c r="H32" i="1" s="1"/>
  <c r="F36" i="1"/>
  <c r="G36" i="1" s="1"/>
  <c r="F39" i="1"/>
  <c r="G39" i="1" s="1"/>
  <c r="F40" i="1"/>
  <c r="F43" i="1"/>
  <c r="H43" i="1" s="1"/>
  <c r="F42" i="1"/>
  <c r="H42" i="1" s="1"/>
  <c r="F37" i="1"/>
  <c r="G37" i="1" s="1"/>
  <c r="F41" i="1"/>
  <c r="F44" i="1"/>
  <c r="H44" i="1" s="1"/>
  <c r="F48" i="1"/>
  <c r="H48" i="1" s="1"/>
  <c r="F46" i="1"/>
  <c r="G46" i="1" s="1"/>
  <c r="F53" i="1"/>
  <c r="F63" i="1"/>
  <c r="H63" i="1" s="1"/>
  <c r="F61" i="1"/>
  <c r="G61" i="1" s="1"/>
  <c r="F67" i="1"/>
  <c r="G67" i="1" s="1"/>
  <c r="F62" i="1"/>
  <c r="F64" i="1"/>
  <c r="H64" i="1" s="1"/>
  <c r="F55" i="1"/>
  <c r="G55" i="1" s="1"/>
  <c r="F72" i="1"/>
  <c r="G72" i="1" s="1"/>
  <c r="F76" i="1"/>
  <c r="F81" i="1"/>
  <c r="H81" i="1" s="1"/>
  <c r="F79" i="1"/>
  <c r="H79" i="1" s="1"/>
  <c r="F82" i="1"/>
  <c r="G82" i="1" s="1"/>
  <c r="F85" i="1"/>
  <c r="F86" i="1"/>
  <c r="H86" i="1" s="1"/>
  <c r="F87" i="1"/>
  <c r="G87" i="1" s="1"/>
  <c r="F3" i="1"/>
  <c r="G3" i="1" s="1"/>
  <c r="F5" i="1"/>
  <c r="F8" i="1"/>
  <c r="H8" i="1" s="1"/>
  <c r="F9" i="1"/>
  <c r="H9" i="1" s="1"/>
  <c r="F10" i="1"/>
  <c r="G10" i="1" s="1"/>
  <c r="F16" i="1"/>
  <c r="F20" i="1"/>
  <c r="H20" i="1" s="1"/>
  <c r="F29" i="1"/>
  <c r="G29" i="1" s="1"/>
  <c r="F24" i="1"/>
  <c r="G24" i="1" s="1"/>
  <c r="F45" i="1"/>
  <c r="F50" i="1"/>
  <c r="H50" i="1" s="1"/>
  <c r="F77" i="1"/>
  <c r="H77" i="1" s="1"/>
  <c r="F6" i="1"/>
  <c r="G6" i="1" s="1"/>
  <c r="BP6" i="5" l="1"/>
  <c r="BP23" i="5"/>
  <c r="BP90" i="5"/>
  <c r="BP61" i="5"/>
  <c r="BP62" i="5"/>
  <c r="BP11" i="5"/>
  <c r="BP91" i="5"/>
  <c r="BP32" i="5"/>
  <c r="BP21" i="5"/>
  <c r="BP39" i="5"/>
  <c r="BP72" i="5"/>
  <c r="BP93" i="5"/>
  <c r="BP95" i="5"/>
  <c r="BP64" i="5"/>
  <c r="BP73" i="5"/>
  <c r="BP13" i="5"/>
  <c r="BP98" i="5"/>
  <c r="BP26" i="5"/>
  <c r="BP97" i="5"/>
  <c r="BP66" i="5"/>
  <c r="BP10" i="5"/>
  <c r="BP47" i="5"/>
  <c r="BP67" i="5"/>
  <c r="BP17" i="5"/>
  <c r="BP31" i="5"/>
  <c r="BP8" i="5"/>
  <c r="BP92" i="5"/>
  <c r="BP94" i="5"/>
  <c r="BN85" i="5"/>
  <c r="BN78" i="5"/>
  <c r="BN83" i="5"/>
  <c r="BN82" i="5"/>
  <c r="BN28" i="5"/>
  <c r="BN55" i="5"/>
  <c r="BN40" i="5"/>
  <c r="BN75" i="5"/>
  <c r="BN37" i="5"/>
  <c r="BN51" i="5"/>
  <c r="BN24" i="5"/>
  <c r="BN34" i="5"/>
  <c r="BN84" i="5"/>
  <c r="BN7" i="5"/>
  <c r="BQ69" i="5" s="1"/>
  <c r="BN68" i="5"/>
  <c r="BN25" i="5"/>
  <c r="BN87" i="5"/>
  <c r="BN45" i="5"/>
  <c r="BN16" i="5"/>
  <c r="BN79" i="5"/>
  <c r="BN30" i="5"/>
  <c r="BN63" i="5"/>
  <c r="BN20" i="5"/>
  <c r="BN71" i="5"/>
  <c r="BN42" i="5"/>
  <c r="BN43" i="5"/>
  <c r="BN38" i="5"/>
  <c r="BN56" i="5"/>
  <c r="BN49" i="5"/>
  <c r="BN58" i="5"/>
  <c r="BN12" i="5"/>
  <c r="BN52" i="5"/>
  <c r="BN35" i="5"/>
  <c r="BN44" i="5"/>
  <c r="BN50" i="5"/>
  <c r="BN70" i="5"/>
  <c r="BN86" i="5"/>
  <c r="BF3" i="4"/>
  <c r="BB22" i="3"/>
  <c r="BD22" i="3" s="1"/>
  <c r="BB42" i="3"/>
  <c r="BD42" i="3" s="1"/>
  <c r="BB6" i="4"/>
  <c r="BD6" i="4" s="1"/>
  <c r="BF6" i="4" s="1"/>
  <c r="BB9" i="4"/>
  <c r="BD9" i="4" s="1"/>
  <c r="BF9" i="4" s="1"/>
  <c r="BB29" i="4"/>
  <c r="BD29" i="4" s="1"/>
  <c r="BF29" i="4" s="1"/>
  <c r="BB47" i="3"/>
  <c r="BD47" i="3" s="1"/>
  <c r="BB44" i="3"/>
  <c r="BD44" i="3" s="1"/>
  <c r="BB21" i="4"/>
  <c r="BD21" i="4" s="1"/>
  <c r="BF21" i="4" s="1"/>
  <c r="BB22" i="4"/>
  <c r="BD22" i="4" s="1"/>
  <c r="BF22" i="4" s="1"/>
  <c r="BB74" i="3"/>
  <c r="BD74" i="3" s="1"/>
  <c r="BB70" i="3"/>
  <c r="BD70" i="3" s="1"/>
  <c r="BB18" i="3"/>
  <c r="BD18" i="3" s="1"/>
  <c r="BB14" i="3"/>
  <c r="BD14" i="3" s="1"/>
  <c r="BB40" i="3"/>
  <c r="BD40" i="3" s="1"/>
  <c r="BB29" i="3"/>
  <c r="BD29" i="3" s="1"/>
  <c r="BB4" i="3"/>
  <c r="BD4" i="3" s="1"/>
  <c r="BB34" i="3"/>
  <c r="BD34" i="3" s="1"/>
  <c r="AL15" i="1"/>
  <c r="BB73" i="3"/>
  <c r="BD73" i="3" s="1"/>
  <c r="BB9" i="3"/>
  <c r="BD9" i="3" s="1"/>
  <c r="BB72" i="3"/>
  <c r="BD72" i="3" s="1"/>
  <c r="BB63" i="3"/>
  <c r="BD63" i="3" s="1"/>
  <c r="AK17" i="1"/>
  <c r="BB67" i="3"/>
  <c r="BD67" i="3" s="1"/>
  <c r="BB19" i="3"/>
  <c r="BD19" i="3" s="1"/>
  <c r="BB27" i="3"/>
  <c r="BD27" i="3" s="1"/>
  <c r="BB30" i="3"/>
  <c r="BD30" i="3" s="1"/>
  <c r="BB41" i="3"/>
  <c r="BD41" i="3" s="1"/>
  <c r="Q45" i="1"/>
  <c r="BB15" i="3"/>
  <c r="BD15" i="3" s="1"/>
  <c r="BB45" i="3"/>
  <c r="BD45" i="3" s="1"/>
  <c r="BB36" i="3"/>
  <c r="BD36" i="3" s="1"/>
  <c r="BB3" i="3"/>
  <c r="BD3" i="3" s="1"/>
  <c r="BF3" i="3" s="1"/>
  <c r="BB48" i="3"/>
  <c r="BD48" i="3" s="1"/>
  <c r="BB21" i="3"/>
  <c r="BD21" i="3" s="1"/>
  <c r="BB61" i="3"/>
  <c r="BD61" i="3" s="1"/>
  <c r="BB28" i="3"/>
  <c r="BD28" i="3" s="1"/>
  <c r="BB55" i="3"/>
  <c r="BD55" i="3" s="1"/>
  <c r="H27" i="1"/>
  <c r="BB35" i="3"/>
  <c r="BD35" i="3" s="1"/>
  <c r="BB8" i="3"/>
  <c r="BD8" i="3" s="1"/>
  <c r="BB76" i="3"/>
  <c r="BD76" i="3" s="1"/>
  <c r="BB37" i="4"/>
  <c r="BD37" i="4" s="1"/>
  <c r="BF37" i="4" s="1"/>
  <c r="BB41" i="4"/>
  <c r="BD41" i="4" s="1"/>
  <c r="BF41" i="4" s="1"/>
  <c r="BB25" i="4"/>
  <c r="BD25" i="4" s="1"/>
  <c r="BF25" i="4" s="1"/>
  <c r="BB67" i="4"/>
  <c r="BD67" i="4" s="1"/>
  <c r="BF67" i="4" s="1"/>
  <c r="BB58" i="4"/>
  <c r="BD58" i="4" s="1"/>
  <c r="BF58" i="4" s="1"/>
  <c r="BB46" i="4"/>
  <c r="BD46" i="4" s="1"/>
  <c r="BF46" i="4" s="1"/>
  <c r="BB33" i="4"/>
  <c r="BD33" i="4" s="1"/>
  <c r="BF33" i="4" s="1"/>
  <c r="BB46" i="3"/>
  <c r="BD46" i="3" s="1"/>
  <c r="G69" i="1"/>
  <c r="Q53" i="1"/>
  <c r="AL16" i="1"/>
  <c r="AQ64" i="1"/>
  <c r="AQ45" i="1"/>
  <c r="AV43" i="1"/>
  <c r="AU41" i="1"/>
  <c r="BA43" i="1"/>
  <c r="AZ41" i="1"/>
  <c r="BB65" i="3"/>
  <c r="BD65" i="3" s="1"/>
  <c r="BB5" i="3"/>
  <c r="BD5" i="3" s="1"/>
  <c r="BB12" i="3"/>
  <c r="BD12" i="3" s="1"/>
  <c r="H87" i="1"/>
  <c r="BB49" i="3"/>
  <c r="BD49" i="3" s="1"/>
  <c r="BB68" i="3"/>
  <c r="BD68" i="3" s="1"/>
  <c r="BB38" i="3"/>
  <c r="BD38" i="3" s="1"/>
  <c r="BB13" i="3"/>
  <c r="BD13" i="3" s="1"/>
  <c r="BB10" i="3"/>
  <c r="BD10" i="3" s="1"/>
  <c r="BB23" i="3"/>
  <c r="BD23" i="3" s="1"/>
  <c r="H80" i="1"/>
  <c r="AP28" i="1"/>
  <c r="AV65" i="1"/>
  <c r="AZ23" i="1"/>
  <c r="BB62" i="3"/>
  <c r="BD62" i="3" s="1"/>
  <c r="BB50" i="3"/>
  <c r="BD50" i="3" s="1"/>
  <c r="BB43" i="3"/>
  <c r="BD43" i="3" s="1"/>
  <c r="BB16" i="3"/>
  <c r="BD16" i="3" s="1"/>
  <c r="BB6" i="3"/>
  <c r="BD6" i="3" s="1"/>
  <c r="BB31" i="3"/>
  <c r="BD31" i="3" s="1"/>
  <c r="BF36" i="3"/>
  <c r="BF54" i="3"/>
  <c r="BF22" i="3"/>
  <c r="BF58" i="3"/>
  <c r="G14" i="1"/>
  <c r="H59" i="1"/>
  <c r="AV50" i="1"/>
  <c r="BA16" i="1"/>
  <c r="BB64" i="3"/>
  <c r="BD64" i="3" s="1"/>
  <c r="BB51" i="3"/>
  <c r="BD51" i="3" s="1"/>
  <c r="BB33" i="3"/>
  <c r="BD33" i="3" s="1"/>
  <c r="BB17" i="3"/>
  <c r="BD17" i="3" s="1"/>
  <c r="BB53" i="3"/>
  <c r="BD53" i="3" s="1"/>
  <c r="BB25" i="3"/>
  <c r="BD25" i="3" s="1"/>
  <c r="BB66" i="3"/>
  <c r="BD66" i="3" s="1"/>
  <c r="BB71" i="3"/>
  <c r="BD71" i="3" s="1"/>
  <c r="BB56" i="3"/>
  <c r="BD56" i="3" s="1"/>
  <c r="BB77" i="3"/>
  <c r="BD77" i="3" s="1"/>
  <c r="BB60" i="3"/>
  <c r="BD60" i="3" s="1"/>
  <c r="BB37" i="3"/>
  <c r="BD37" i="3" s="1"/>
  <c r="BB26" i="3"/>
  <c r="BD26" i="3" s="1"/>
  <c r="G79" i="1"/>
  <c r="H18" i="1"/>
  <c r="Q17" i="1"/>
  <c r="Q61" i="1"/>
  <c r="AP59" i="1"/>
  <c r="AQ74" i="1"/>
  <c r="AV60" i="1"/>
  <c r="BB69" i="3"/>
  <c r="BD69" i="3" s="1"/>
  <c r="BB57" i="3"/>
  <c r="BD57" i="3" s="1"/>
  <c r="BB39" i="3"/>
  <c r="BD39" i="3" s="1"/>
  <c r="BB24" i="3"/>
  <c r="BD24" i="3" s="1"/>
  <c r="BB75" i="3"/>
  <c r="BD75" i="3" s="1"/>
  <c r="BB52" i="3"/>
  <c r="BD52" i="3" s="1"/>
  <c r="BB59" i="3"/>
  <c r="BD59" i="3" s="1"/>
  <c r="BF70" i="3"/>
  <c r="BB20" i="3"/>
  <c r="BD20" i="3" s="1"/>
  <c r="BB32" i="3"/>
  <c r="BB7" i="3"/>
  <c r="BD7" i="3" s="1"/>
  <c r="BB11" i="3"/>
  <c r="BD11" i="3" s="1"/>
  <c r="BB27" i="4"/>
  <c r="BD27" i="4" s="1"/>
  <c r="BF27" i="4" s="1"/>
  <c r="BB63" i="4"/>
  <c r="BD63" i="4" s="1"/>
  <c r="BF63" i="4" s="1"/>
  <c r="BB8" i="4"/>
  <c r="BD8" i="4" s="1"/>
  <c r="BF8" i="4" s="1"/>
  <c r="BB70" i="4"/>
  <c r="BD70" i="4" s="1"/>
  <c r="BF70" i="4" s="1"/>
  <c r="BB55" i="4"/>
  <c r="BD55" i="4" s="1"/>
  <c r="BF55" i="4" s="1"/>
  <c r="BB32" i="4"/>
  <c r="BD32" i="4" s="1"/>
  <c r="BF32" i="4" s="1"/>
  <c r="BB57" i="4"/>
  <c r="BD57" i="4" s="1"/>
  <c r="BF57" i="4" s="1"/>
  <c r="BB73" i="4"/>
  <c r="BD73" i="4" s="1"/>
  <c r="BF73" i="4" s="1"/>
  <c r="BB49" i="4"/>
  <c r="BD49" i="4" s="1"/>
  <c r="BF49" i="4" s="1"/>
  <c r="BB12" i="4"/>
  <c r="BD12" i="4" s="1"/>
  <c r="BF12" i="4" s="1"/>
  <c r="BB52" i="4"/>
  <c r="BD52" i="4" s="1"/>
  <c r="BF52" i="4" s="1"/>
  <c r="BB54" i="4"/>
  <c r="BD54" i="4" s="1"/>
  <c r="BF54" i="4" s="1"/>
  <c r="BB11" i="4"/>
  <c r="BD11" i="4" s="1"/>
  <c r="BF11" i="4" s="1"/>
  <c r="BB48" i="4"/>
  <c r="BD48" i="4" s="1"/>
  <c r="BF48" i="4" s="1"/>
  <c r="BB19" i="4"/>
  <c r="BD19" i="4" s="1"/>
  <c r="BF19" i="4" s="1"/>
  <c r="BB56" i="4"/>
  <c r="BD56" i="4" s="1"/>
  <c r="BF56" i="4" s="1"/>
  <c r="BB17" i="4"/>
  <c r="BD17" i="4" s="1"/>
  <c r="BF17" i="4" s="1"/>
  <c r="BB75" i="4"/>
  <c r="BD75" i="4" s="1"/>
  <c r="BF75" i="4" s="1"/>
  <c r="BB64" i="4"/>
  <c r="BD64" i="4" s="1"/>
  <c r="BF64" i="4" s="1"/>
  <c r="BB47" i="4"/>
  <c r="BD47" i="4" s="1"/>
  <c r="BF47" i="4" s="1"/>
  <c r="BB44" i="4"/>
  <c r="BD44" i="4" s="1"/>
  <c r="BF44" i="4" s="1"/>
  <c r="BB36" i="4"/>
  <c r="BD36" i="4" s="1"/>
  <c r="BF36" i="4" s="1"/>
  <c r="BB35" i="4"/>
  <c r="BD35" i="4" s="1"/>
  <c r="BF35" i="4" s="1"/>
  <c r="BB14" i="4"/>
  <c r="BD14" i="4" s="1"/>
  <c r="BF14" i="4" s="1"/>
  <c r="BB26" i="4"/>
  <c r="BD26" i="4" s="1"/>
  <c r="BF26" i="4" s="1"/>
  <c r="BB65" i="4"/>
  <c r="BD65" i="4" s="1"/>
  <c r="BF65" i="4" s="1"/>
  <c r="BB59" i="4"/>
  <c r="BD59" i="4" s="1"/>
  <c r="BF59" i="4" s="1"/>
  <c r="BB74" i="4"/>
  <c r="BD74" i="4" s="1"/>
  <c r="BF74" i="4" s="1"/>
  <c r="BB23" i="4"/>
  <c r="BD23" i="4" s="1"/>
  <c r="BF23" i="4" s="1"/>
  <c r="BB13" i="4"/>
  <c r="BD13" i="4" s="1"/>
  <c r="BF13" i="4" s="1"/>
  <c r="BB20" i="4"/>
  <c r="BD20" i="4" s="1"/>
  <c r="BF20" i="4" s="1"/>
  <c r="BB38" i="4"/>
  <c r="BD38" i="4" s="1"/>
  <c r="BF38" i="4" s="1"/>
  <c r="BB28" i="4"/>
  <c r="BD28" i="4" s="1"/>
  <c r="BF28" i="4" s="1"/>
  <c r="BB69" i="4"/>
  <c r="BD69" i="4" s="1"/>
  <c r="BF69" i="4" s="1"/>
  <c r="BB4" i="4"/>
  <c r="BD4" i="4" s="1"/>
  <c r="BF4" i="4" s="1"/>
  <c r="BB43" i="4"/>
  <c r="BD43" i="4" s="1"/>
  <c r="BF43" i="4" s="1"/>
  <c r="BB10" i="4"/>
  <c r="BD10" i="4" s="1"/>
  <c r="BF10" i="4" s="1"/>
  <c r="BB31" i="4"/>
  <c r="BD31" i="4" s="1"/>
  <c r="BF31" i="4" s="1"/>
  <c r="BB50" i="4"/>
  <c r="BD50" i="4" s="1"/>
  <c r="BF50" i="4" s="1"/>
  <c r="BB7" i="4"/>
  <c r="BD7" i="4" s="1"/>
  <c r="BF7" i="4" s="1"/>
  <c r="BB34" i="4"/>
  <c r="BD34" i="4" s="1"/>
  <c r="BF34" i="4" s="1"/>
  <c r="BB16" i="4"/>
  <c r="BD16" i="4" s="1"/>
  <c r="BF16" i="4" s="1"/>
  <c r="BB61" i="4"/>
  <c r="BD61" i="4" s="1"/>
  <c r="BF61" i="4" s="1"/>
  <c r="BB72" i="4"/>
  <c r="BD72" i="4" s="1"/>
  <c r="BF72" i="4" s="1"/>
  <c r="BB15" i="4"/>
  <c r="BD15" i="4" s="1"/>
  <c r="BF15" i="4" s="1"/>
  <c r="G48" i="1"/>
  <c r="G56" i="1"/>
  <c r="H55" i="1"/>
  <c r="H31" i="1"/>
  <c r="AB70" i="1"/>
  <c r="AG48" i="1"/>
  <c r="AF63" i="1"/>
  <c r="AG29" i="1"/>
  <c r="AF50" i="1"/>
  <c r="AP14" i="1"/>
  <c r="AP47" i="1"/>
  <c r="AP36" i="1"/>
  <c r="AZ28" i="1"/>
  <c r="BA86" i="1"/>
  <c r="AZ5" i="1"/>
  <c r="BA20" i="1"/>
  <c r="AZ45" i="1"/>
  <c r="G32" i="1"/>
  <c r="M11" i="1"/>
  <c r="R68" i="1"/>
  <c r="Q71" i="1"/>
  <c r="R63" i="1"/>
  <c r="W70" i="1"/>
  <c r="AB53" i="1"/>
  <c r="AG60" i="1"/>
  <c r="AL47" i="1"/>
  <c r="AP11" i="1"/>
  <c r="AP69" i="1"/>
  <c r="AP30" i="1"/>
  <c r="AP48" i="1"/>
  <c r="AP16" i="1"/>
  <c r="AV11" i="1"/>
  <c r="AV83" i="1"/>
  <c r="AV76" i="1"/>
  <c r="G20" i="1"/>
  <c r="G84" i="1"/>
  <c r="H29" i="1"/>
  <c r="H36" i="1"/>
  <c r="H58" i="1"/>
  <c r="Q40" i="1"/>
  <c r="Q5" i="1"/>
  <c r="W53" i="1"/>
  <c r="AB16" i="1"/>
  <c r="AG43" i="1"/>
  <c r="AG86" i="1"/>
  <c r="AL30" i="1"/>
  <c r="AP65" i="1"/>
  <c r="BA60" i="1"/>
  <c r="AZ65" i="1"/>
  <c r="AZ53" i="1"/>
  <c r="AB28" i="1"/>
  <c r="AA28" i="1"/>
  <c r="AP44" i="1"/>
  <c r="AQ44" i="1"/>
  <c r="AZ74" i="1"/>
  <c r="BA74" i="1"/>
  <c r="G7" i="1"/>
  <c r="H7" i="1"/>
  <c r="G9" i="1"/>
  <c r="G44" i="1"/>
  <c r="G19" i="1"/>
  <c r="G54" i="1"/>
  <c r="G33" i="1"/>
  <c r="H6" i="1"/>
  <c r="H10" i="1"/>
  <c r="H82" i="1"/>
  <c r="H67" i="1"/>
  <c r="H37" i="1"/>
  <c r="H35" i="1"/>
  <c r="H4" i="1"/>
  <c r="H66" i="1"/>
  <c r="H49" i="1"/>
  <c r="H38" i="1"/>
  <c r="H25" i="1"/>
  <c r="R42" i="1"/>
  <c r="Q42" i="1"/>
  <c r="W28" i="1"/>
  <c r="V28" i="1"/>
  <c r="W51" i="1"/>
  <c r="V51" i="1"/>
  <c r="AA21" i="1"/>
  <c r="AB21" i="1"/>
  <c r="AA56" i="1"/>
  <c r="AB56" i="1"/>
  <c r="AA71" i="1"/>
  <c r="AB71" i="1"/>
  <c r="AB23" i="1"/>
  <c r="AA23" i="1"/>
  <c r="AB40" i="1"/>
  <c r="AA40" i="1"/>
  <c r="AG15" i="1"/>
  <c r="AF15" i="1"/>
  <c r="AG34" i="1"/>
  <c r="AF34" i="1"/>
  <c r="AQ12" i="1"/>
  <c r="AP12" i="1"/>
  <c r="AQ85" i="1"/>
  <c r="AP85" i="1"/>
  <c r="BA73" i="1"/>
  <c r="AZ73" i="1"/>
  <c r="BA18" i="1"/>
  <c r="AZ18" i="1"/>
  <c r="BA61" i="1"/>
  <c r="AZ61" i="1"/>
  <c r="R84" i="1"/>
  <c r="Q84" i="1"/>
  <c r="V20" i="1"/>
  <c r="W20" i="1"/>
  <c r="AB51" i="1"/>
  <c r="AA51" i="1"/>
  <c r="AA20" i="1"/>
  <c r="AB20" i="1"/>
  <c r="AK81" i="1"/>
  <c r="AL81" i="1"/>
  <c r="G77" i="1"/>
  <c r="G64" i="1"/>
  <c r="G42" i="1"/>
  <c r="G74" i="1"/>
  <c r="G57" i="1"/>
  <c r="H61" i="1"/>
  <c r="H73" i="1"/>
  <c r="M51" i="1"/>
  <c r="L51" i="1"/>
  <c r="M83" i="1"/>
  <c r="L83" i="1"/>
  <c r="M40" i="1"/>
  <c r="L40" i="1"/>
  <c r="M76" i="1"/>
  <c r="L76" i="1"/>
  <c r="M45" i="1"/>
  <c r="L45" i="1"/>
  <c r="R83" i="1"/>
  <c r="Q83" i="1"/>
  <c r="V21" i="1"/>
  <c r="W21" i="1"/>
  <c r="V56" i="1"/>
  <c r="W56" i="1"/>
  <c r="V71" i="1"/>
  <c r="W71" i="1"/>
  <c r="W23" i="1"/>
  <c r="V23" i="1"/>
  <c r="W40" i="1"/>
  <c r="V40" i="1"/>
  <c r="AA13" i="1"/>
  <c r="AB13" i="1"/>
  <c r="AA32" i="1"/>
  <c r="AB32" i="1"/>
  <c r="AA62" i="1"/>
  <c r="AB62" i="1"/>
  <c r="AB5" i="1"/>
  <c r="AA5" i="1"/>
  <c r="AF6" i="1"/>
  <c r="AG6" i="1"/>
  <c r="AF27" i="1"/>
  <c r="AG27" i="1"/>
  <c r="AF54" i="1"/>
  <c r="AG54" i="1"/>
  <c r="AG75" i="1"/>
  <c r="AF75" i="1"/>
  <c r="AG26" i="1"/>
  <c r="AF26" i="1"/>
  <c r="AK51" i="1"/>
  <c r="AL51" i="1"/>
  <c r="AL71" i="1"/>
  <c r="AK71" i="1"/>
  <c r="AL12" i="1"/>
  <c r="AK12" i="1"/>
  <c r="AV51" i="1"/>
  <c r="AU51" i="1"/>
  <c r="AV40" i="1"/>
  <c r="AU40" i="1"/>
  <c r="AV45" i="1"/>
  <c r="AU45" i="1"/>
  <c r="BA27" i="1"/>
  <c r="AZ27" i="1"/>
  <c r="AZ50" i="1"/>
  <c r="BA50" i="1"/>
  <c r="V86" i="1"/>
  <c r="W86" i="1"/>
  <c r="AK63" i="1"/>
  <c r="AL63" i="1"/>
  <c r="AK45" i="1"/>
  <c r="AL45" i="1"/>
  <c r="AP54" i="1"/>
  <c r="AQ54" i="1"/>
  <c r="AZ64" i="1"/>
  <c r="BA64" i="1"/>
  <c r="G86" i="1"/>
  <c r="G13" i="1"/>
  <c r="G21" i="1"/>
  <c r="H24" i="1"/>
  <c r="H3" i="1"/>
  <c r="H72" i="1"/>
  <c r="H46" i="1"/>
  <c r="H39" i="1"/>
  <c r="H22" i="1"/>
  <c r="H78" i="1"/>
  <c r="H52" i="1"/>
  <c r="L56" i="1"/>
  <c r="M56" i="1"/>
  <c r="L74" i="1"/>
  <c r="M74" i="1"/>
  <c r="L32" i="1"/>
  <c r="M32" i="1"/>
  <c r="L64" i="1"/>
  <c r="M64" i="1"/>
  <c r="L20" i="1"/>
  <c r="M20" i="1"/>
  <c r="Q26" i="1"/>
  <c r="R26" i="1"/>
  <c r="Q81" i="1"/>
  <c r="R81" i="1"/>
  <c r="V13" i="1"/>
  <c r="W13" i="1"/>
  <c r="V32" i="1"/>
  <c r="W32" i="1"/>
  <c r="V62" i="1"/>
  <c r="W62" i="1"/>
  <c r="W5" i="1"/>
  <c r="V5" i="1"/>
  <c r="W45" i="1"/>
  <c r="V45" i="1"/>
  <c r="AA86" i="1"/>
  <c r="AB86" i="1"/>
  <c r="AB45" i="1"/>
  <c r="AA45" i="1"/>
  <c r="AF80" i="1"/>
  <c r="AG80" i="1"/>
  <c r="AF18" i="1"/>
  <c r="AG18" i="1"/>
  <c r="AF44" i="1"/>
  <c r="AG44" i="1"/>
  <c r="AK68" i="1"/>
  <c r="AL68" i="1"/>
  <c r="AK75" i="1"/>
  <c r="AL75" i="1"/>
  <c r="AK40" i="1"/>
  <c r="AL40" i="1"/>
  <c r="AL62" i="1"/>
  <c r="AK62" i="1"/>
  <c r="AL85" i="1"/>
  <c r="AK85" i="1"/>
  <c r="AQ18" i="1"/>
  <c r="AP18" i="1"/>
  <c r="AU56" i="1"/>
  <c r="AV56" i="1"/>
  <c r="AU32" i="1"/>
  <c r="AV32" i="1"/>
  <c r="AU20" i="1"/>
  <c r="AV20" i="1"/>
  <c r="BA85" i="1"/>
  <c r="AZ85" i="1"/>
  <c r="AG55" i="1"/>
  <c r="AF81" i="1"/>
  <c r="AG87" i="1"/>
  <c r="AF8" i="1"/>
  <c r="AL11" i="1"/>
  <c r="AQ15" i="1"/>
  <c r="AQ56" i="1"/>
  <c r="AP71" i="1"/>
  <c r="AP80" i="1"/>
  <c r="AQ32" i="1"/>
  <c r="AP62" i="1"/>
  <c r="AP55" i="1"/>
  <c r="AV15" i="1"/>
  <c r="AU17" i="1"/>
  <c r="AV75" i="1"/>
  <c r="AU12" i="1"/>
  <c r="AV81" i="1"/>
  <c r="AU85" i="1"/>
  <c r="BA15" i="1"/>
  <c r="AZ17" i="1"/>
  <c r="AZ70" i="1"/>
  <c r="BA75" i="1"/>
  <c r="AZ12" i="1"/>
  <c r="M17" i="1"/>
  <c r="M65" i="1"/>
  <c r="M12" i="1"/>
  <c r="M41" i="1"/>
  <c r="M85" i="1"/>
  <c r="Q27" i="1"/>
  <c r="R56" i="1"/>
  <c r="R75" i="1"/>
  <c r="Q36" i="1"/>
  <c r="Q76" i="1"/>
  <c r="Q79" i="1"/>
  <c r="Q16" i="1"/>
  <c r="Q77" i="1"/>
  <c r="V11" i="1"/>
  <c r="W47" i="1"/>
  <c r="W54" i="1"/>
  <c r="W74" i="1"/>
  <c r="V83" i="1"/>
  <c r="W30" i="1"/>
  <c r="W44" i="1"/>
  <c r="W64" i="1"/>
  <c r="V76" i="1"/>
  <c r="W16" i="1"/>
  <c r="AA11" i="1"/>
  <c r="AB47" i="1"/>
  <c r="AB54" i="1"/>
  <c r="AB74" i="1"/>
  <c r="AA83" i="1"/>
  <c r="AB30" i="1"/>
  <c r="AB44" i="1"/>
  <c r="AB64" i="1"/>
  <c r="AA76" i="1"/>
  <c r="AG21" i="1"/>
  <c r="AG59" i="1"/>
  <c r="AG69" i="1"/>
  <c r="AF68" i="1"/>
  <c r="AG13" i="1"/>
  <c r="AG36" i="1"/>
  <c r="AL34" i="1"/>
  <c r="AL60" i="1"/>
  <c r="AK65" i="1"/>
  <c r="AL83" i="1"/>
  <c r="AL26" i="1"/>
  <c r="AL43" i="1"/>
  <c r="AK41" i="1"/>
  <c r="AL76" i="1"/>
  <c r="AL8" i="1"/>
  <c r="AL50" i="1"/>
  <c r="AQ13" i="1"/>
  <c r="AP41" i="1"/>
  <c r="AQ86" i="1"/>
  <c r="AP5" i="1"/>
  <c r="AQ20" i="1"/>
  <c r="AP77" i="1"/>
  <c r="AV74" i="1"/>
  <c r="AV64" i="1"/>
  <c r="AZ33" i="1"/>
  <c r="BA56" i="1"/>
  <c r="AZ69" i="1"/>
  <c r="AZ19" i="1"/>
  <c r="BA32" i="1"/>
  <c r="AZ48" i="1"/>
  <c r="BA8" i="1"/>
  <c r="R14" i="1"/>
  <c r="Q14" i="1"/>
  <c r="V50" i="1"/>
  <c r="W50" i="1"/>
  <c r="AA60" i="1"/>
  <c r="AB60" i="1"/>
  <c r="AA43" i="1"/>
  <c r="AB43" i="1"/>
  <c r="AA50" i="1"/>
  <c r="AB50" i="1"/>
  <c r="AF33" i="1"/>
  <c r="AG33" i="1"/>
  <c r="AF19" i="1"/>
  <c r="AG19" i="1"/>
  <c r="AG20" i="1"/>
  <c r="AF20" i="1"/>
  <c r="AK21" i="1"/>
  <c r="AL21" i="1"/>
  <c r="AK13" i="1"/>
  <c r="AL13" i="1"/>
  <c r="AK86" i="1"/>
  <c r="AL86" i="1"/>
  <c r="AQ51" i="1"/>
  <c r="AP51" i="1"/>
  <c r="AP68" i="1"/>
  <c r="AQ68" i="1"/>
  <c r="AQ84" i="1"/>
  <c r="AP84" i="1"/>
  <c r="AQ40" i="1"/>
  <c r="AP40" i="1"/>
  <c r="AP63" i="1"/>
  <c r="AQ63" i="1"/>
  <c r="AQ79" i="1"/>
  <c r="AP79" i="1"/>
  <c r="L21" i="1"/>
  <c r="M21" i="1"/>
  <c r="R73" i="1"/>
  <c r="Q73" i="1"/>
  <c r="L47" i="1"/>
  <c r="R51" i="1"/>
  <c r="Q51" i="1"/>
  <c r="Q86" i="1"/>
  <c r="R86" i="1"/>
  <c r="G50" i="1"/>
  <c r="G8" i="1"/>
  <c r="G81" i="1"/>
  <c r="G63" i="1"/>
  <c r="G43" i="1"/>
  <c r="G26" i="1"/>
  <c r="G75" i="1"/>
  <c r="G68" i="1"/>
  <c r="G60" i="1"/>
  <c r="G34" i="1"/>
  <c r="G15" i="1"/>
  <c r="L54" i="1"/>
  <c r="M54" i="1"/>
  <c r="M71" i="1"/>
  <c r="L71" i="1"/>
  <c r="M30" i="1"/>
  <c r="L30" i="1"/>
  <c r="M62" i="1"/>
  <c r="L62" i="1"/>
  <c r="M16" i="1"/>
  <c r="L16" i="1"/>
  <c r="R11" i="1"/>
  <c r="Q11" i="1"/>
  <c r="Q54" i="1"/>
  <c r="R54" i="1"/>
  <c r="R12" i="1"/>
  <c r="Q12" i="1"/>
  <c r="Q43" i="1"/>
  <c r="R43" i="1"/>
  <c r="M34" i="1"/>
  <c r="M70" i="1"/>
  <c r="L70" i="1"/>
  <c r="Q34" i="1"/>
  <c r="R34" i="1"/>
  <c r="R70" i="1"/>
  <c r="Q70" i="1"/>
  <c r="R62" i="1"/>
  <c r="Q62" i="1"/>
  <c r="V60" i="1"/>
  <c r="W60" i="1"/>
  <c r="V43" i="1"/>
  <c r="W43" i="1"/>
  <c r="H45" i="1"/>
  <c r="G45" i="1"/>
  <c r="H16" i="1"/>
  <c r="G16" i="1"/>
  <c r="H5" i="1"/>
  <c r="G5" i="1"/>
  <c r="H85" i="1"/>
  <c r="G85" i="1"/>
  <c r="H76" i="1"/>
  <c r="G76" i="1"/>
  <c r="H62" i="1"/>
  <c r="G62" i="1"/>
  <c r="H53" i="1"/>
  <c r="G53" i="1"/>
  <c r="H41" i="1"/>
  <c r="G41" i="1"/>
  <c r="H40" i="1"/>
  <c r="G40" i="1"/>
  <c r="H30" i="1"/>
  <c r="G30" i="1"/>
  <c r="H23" i="1"/>
  <c r="G23" i="1"/>
  <c r="H12" i="1"/>
  <c r="G12" i="1"/>
  <c r="H83" i="1"/>
  <c r="G83" i="1"/>
  <c r="H71" i="1"/>
  <c r="G71" i="1"/>
  <c r="H70" i="1"/>
  <c r="G70" i="1"/>
  <c r="H65" i="1"/>
  <c r="G65" i="1"/>
  <c r="H51" i="1"/>
  <c r="G51" i="1"/>
  <c r="H47" i="1"/>
  <c r="G47" i="1"/>
  <c r="H28" i="1"/>
  <c r="G28" i="1"/>
  <c r="H17" i="1"/>
  <c r="G17" i="1"/>
  <c r="H11" i="1"/>
  <c r="G11" i="1"/>
  <c r="M28" i="1"/>
  <c r="L28" i="1"/>
  <c r="M68" i="1"/>
  <c r="L26" i="1"/>
  <c r="M26" i="1"/>
  <c r="L63" i="1"/>
  <c r="M63" i="1"/>
  <c r="L8" i="1"/>
  <c r="M8" i="1"/>
  <c r="R57" i="1"/>
  <c r="Q57" i="1"/>
  <c r="R30" i="1"/>
  <c r="Q30" i="1"/>
  <c r="W85" i="1"/>
  <c r="V85" i="1"/>
  <c r="AB17" i="1"/>
  <c r="AA17" i="1"/>
  <c r="AB12" i="1"/>
  <c r="AA12" i="1"/>
  <c r="AB85" i="1"/>
  <c r="AA85" i="1"/>
  <c r="AG74" i="1"/>
  <c r="AF74" i="1"/>
  <c r="AF9" i="1"/>
  <c r="AG9" i="1"/>
  <c r="AL70" i="1"/>
  <c r="AK70" i="1"/>
  <c r="AL53" i="1"/>
  <c r="AK53" i="1"/>
  <c r="AP21" i="1"/>
  <c r="AQ21" i="1"/>
  <c r="Q74" i="1"/>
  <c r="R74" i="1"/>
  <c r="R41" i="1"/>
  <c r="Q41" i="1"/>
  <c r="Q64" i="1"/>
  <c r="R64" i="1"/>
  <c r="R87" i="1"/>
  <c r="Q87" i="1"/>
  <c r="Q8" i="1"/>
  <c r="R8" i="1"/>
  <c r="W17" i="1"/>
  <c r="V17" i="1"/>
  <c r="W12" i="1"/>
  <c r="V12" i="1"/>
  <c r="M13" i="1"/>
  <c r="L23" i="1"/>
  <c r="M44" i="1"/>
  <c r="L53" i="1"/>
  <c r="M86" i="1"/>
  <c r="L5" i="1"/>
  <c r="Q6" i="1"/>
  <c r="R21" i="1"/>
  <c r="Q47" i="1"/>
  <c r="Q59" i="1"/>
  <c r="R69" i="1"/>
  <c r="Q69" i="1"/>
  <c r="R13" i="1"/>
  <c r="Q23" i="1"/>
  <c r="Q19" i="1"/>
  <c r="Q32" i="1"/>
  <c r="R32" i="1"/>
  <c r="Q44" i="1"/>
  <c r="R44" i="1"/>
  <c r="R55" i="1"/>
  <c r="Q55" i="1"/>
  <c r="R9" i="1"/>
  <c r="Q9" i="1"/>
  <c r="Q20" i="1"/>
  <c r="R20" i="1"/>
  <c r="V15" i="1"/>
  <c r="W15" i="1"/>
  <c r="V75" i="1"/>
  <c r="W75" i="1"/>
  <c r="V81" i="1"/>
  <c r="W81" i="1"/>
  <c r="AA15" i="1"/>
  <c r="AB15" i="1"/>
  <c r="AA75" i="1"/>
  <c r="AB75" i="1"/>
  <c r="AA81" i="1"/>
  <c r="AB81" i="1"/>
  <c r="AF73" i="1"/>
  <c r="AG73" i="1"/>
  <c r="AG64" i="1"/>
  <c r="AF64" i="1"/>
  <c r="AK54" i="1"/>
  <c r="AL54" i="1"/>
  <c r="AK44" i="1"/>
  <c r="AL44" i="1"/>
  <c r="AP34" i="1"/>
  <c r="AQ34" i="1"/>
  <c r="AQ57" i="1"/>
  <c r="AP57" i="1"/>
  <c r="AQ83" i="1"/>
  <c r="AP83" i="1"/>
  <c r="AP26" i="1"/>
  <c r="AQ26" i="1"/>
  <c r="AQ42" i="1"/>
  <c r="AP42" i="1"/>
  <c r="AQ76" i="1"/>
  <c r="AP76" i="1"/>
  <c r="M15" i="1"/>
  <c r="M60" i="1"/>
  <c r="M75" i="1"/>
  <c r="M43" i="1"/>
  <c r="M81" i="1"/>
  <c r="M50" i="1"/>
  <c r="R15" i="1"/>
  <c r="Q28" i="1"/>
  <c r="Q33" i="1"/>
  <c r="R60" i="1"/>
  <c r="R65" i="1"/>
  <c r="Q65" i="1"/>
  <c r="Q80" i="1"/>
  <c r="R18" i="1"/>
  <c r="Q18" i="1"/>
  <c r="R48" i="1"/>
  <c r="Q48" i="1"/>
  <c r="R85" i="1"/>
  <c r="Q85" i="1"/>
  <c r="R29" i="1"/>
  <c r="Q29" i="1"/>
  <c r="W65" i="1"/>
  <c r="V65" i="1"/>
  <c r="W41" i="1"/>
  <c r="V41" i="1"/>
  <c r="AB65" i="1"/>
  <c r="AA65" i="1"/>
  <c r="AB41" i="1"/>
  <c r="AA41" i="1"/>
  <c r="AG56" i="1"/>
  <c r="AF56" i="1"/>
  <c r="AG32" i="1"/>
  <c r="AF32" i="1"/>
  <c r="AF61" i="1"/>
  <c r="AG61" i="1"/>
  <c r="AL28" i="1"/>
  <c r="AK28" i="1"/>
  <c r="AL23" i="1"/>
  <c r="AK23" i="1"/>
  <c r="AL5" i="1"/>
  <c r="AK5" i="1"/>
  <c r="AQ6" i="1"/>
  <c r="AP6" i="1"/>
  <c r="AQ9" i="1"/>
  <c r="AP9" i="1"/>
  <c r="AV71" i="1"/>
  <c r="AU71" i="1"/>
  <c r="AV62" i="1"/>
  <c r="AU62" i="1"/>
  <c r="AZ34" i="1"/>
  <c r="BA34" i="1"/>
  <c r="BA57" i="1"/>
  <c r="AZ57" i="1"/>
  <c r="AZ26" i="1"/>
  <c r="BA26" i="1"/>
  <c r="BA42" i="1"/>
  <c r="AZ42" i="1"/>
  <c r="BA87" i="1"/>
  <c r="AZ87" i="1"/>
  <c r="AU68" i="1"/>
  <c r="AV68" i="1"/>
  <c r="AU63" i="1"/>
  <c r="AV63" i="1"/>
  <c r="BA51" i="1"/>
  <c r="AZ51" i="1"/>
  <c r="BA40" i="1"/>
  <c r="AZ40" i="1"/>
  <c r="BA79" i="1"/>
  <c r="AZ79" i="1"/>
  <c r="BA77" i="1"/>
  <c r="AZ77" i="1"/>
  <c r="AV47" i="1"/>
  <c r="AU47" i="1"/>
  <c r="AV30" i="1"/>
  <c r="AU30" i="1"/>
  <c r="AV16" i="1"/>
  <c r="AU16" i="1"/>
  <c r="BA14" i="1"/>
  <c r="AZ14" i="1"/>
  <c r="AZ68" i="1"/>
  <c r="BA68" i="1"/>
  <c r="BA84" i="1"/>
  <c r="AZ84" i="1"/>
  <c r="AZ63" i="1"/>
  <c r="BA63" i="1"/>
  <c r="BA29" i="1"/>
  <c r="AZ29" i="1"/>
  <c r="W34" i="1"/>
  <c r="W68" i="1"/>
  <c r="W26" i="1"/>
  <c r="W63" i="1"/>
  <c r="W8" i="1"/>
  <c r="AB34" i="1"/>
  <c r="AB68" i="1"/>
  <c r="AB26" i="1"/>
  <c r="AB63" i="1"/>
  <c r="AB8" i="1"/>
  <c r="AG14" i="1"/>
  <c r="AG57" i="1"/>
  <c r="AG84" i="1"/>
  <c r="AG42" i="1"/>
  <c r="AG79" i="1"/>
  <c r="AG77" i="1"/>
  <c r="AL56" i="1"/>
  <c r="AL74" i="1"/>
  <c r="AL32" i="1"/>
  <c r="AL64" i="1"/>
  <c r="AL20" i="1"/>
  <c r="AP17" i="1"/>
  <c r="AP27" i="1"/>
  <c r="AP33" i="1"/>
  <c r="AQ60" i="1"/>
  <c r="AP70" i="1"/>
  <c r="AP73" i="1"/>
  <c r="AQ75" i="1"/>
  <c r="AP23" i="1"/>
  <c r="AP19" i="1"/>
  <c r="AQ43" i="1"/>
  <c r="AP53" i="1"/>
  <c r="AP61" i="1"/>
  <c r="AQ81" i="1"/>
  <c r="AQ87" i="1"/>
  <c r="AP87" i="1"/>
  <c r="AQ29" i="1"/>
  <c r="AP29" i="1"/>
  <c r="AU34" i="1"/>
  <c r="AV34" i="1"/>
  <c r="AU26" i="1"/>
  <c r="AV26" i="1"/>
  <c r="AU8" i="1"/>
  <c r="AV8" i="1"/>
  <c r="BA11" i="1"/>
  <c r="AZ11" i="1"/>
  <c r="BB38" i="1"/>
  <c r="BD38" i="1" s="1"/>
  <c r="BA83" i="1"/>
  <c r="AZ83" i="1"/>
  <c r="BA76" i="1"/>
  <c r="AZ76" i="1"/>
  <c r="BA9" i="1"/>
  <c r="AZ9" i="1"/>
  <c r="AV21" i="1"/>
  <c r="AU28" i="1"/>
  <c r="AV54" i="1"/>
  <c r="AU70" i="1"/>
  <c r="AV13" i="1"/>
  <c r="AU23" i="1"/>
  <c r="AV44" i="1"/>
  <c r="AU53" i="1"/>
  <c r="AV86" i="1"/>
  <c r="AU5" i="1"/>
  <c r="AZ6" i="1"/>
  <c r="BA21" i="1"/>
  <c r="AZ47" i="1"/>
  <c r="AZ59" i="1"/>
  <c r="BA54" i="1"/>
  <c r="AZ71" i="1"/>
  <c r="AZ80" i="1"/>
  <c r="BA13" i="1"/>
  <c r="AZ30" i="1"/>
  <c r="AZ36" i="1"/>
  <c r="BA44" i="1"/>
  <c r="AZ62" i="1"/>
  <c r="AZ55" i="1"/>
  <c r="BA81" i="1"/>
  <c r="AZ7" i="1"/>
  <c r="AZ25" i="1"/>
  <c r="AZ31" i="1"/>
  <c r="AZ38" i="1"/>
  <c r="AZ58" i="1"/>
  <c r="AZ49" i="1"/>
  <c r="AZ52" i="1"/>
  <c r="AZ66" i="1"/>
  <c r="AZ78" i="1"/>
  <c r="AZ4" i="1"/>
  <c r="AZ22" i="1"/>
  <c r="AZ35" i="1"/>
  <c r="AZ39" i="1"/>
  <c r="AZ37" i="1"/>
  <c r="AZ46" i="1"/>
  <c r="AZ67" i="1"/>
  <c r="AZ72" i="1"/>
  <c r="AZ82" i="1"/>
  <c r="AZ3" i="1"/>
  <c r="AZ10" i="1"/>
  <c r="AZ24" i="1"/>
  <c r="AU7" i="1"/>
  <c r="AU25" i="1"/>
  <c r="AU38" i="1"/>
  <c r="AU58" i="1"/>
  <c r="AU66" i="1"/>
  <c r="AU78" i="1"/>
  <c r="AU35" i="1"/>
  <c r="AU39" i="1"/>
  <c r="AU27" i="1"/>
  <c r="AV31" i="1"/>
  <c r="AU33" i="1"/>
  <c r="AU59" i="1"/>
  <c r="AU57" i="1"/>
  <c r="AV49" i="1"/>
  <c r="AU80" i="1"/>
  <c r="AU84" i="1"/>
  <c r="AV4" i="1"/>
  <c r="AU18" i="1"/>
  <c r="AV22" i="1"/>
  <c r="AU19" i="1"/>
  <c r="AU42" i="1"/>
  <c r="AU48" i="1"/>
  <c r="AV46" i="1"/>
  <c r="AU61" i="1"/>
  <c r="AV67" i="1"/>
  <c r="AU55" i="1"/>
  <c r="AV72" i="1"/>
  <c r="AU79" i="1"/>
  <c r="AV82" i="1"/>
  <c r="AU87" i="1"/>
  <c r="AV3" i="1"/>
  <c r="AU9" i="1"/>
  <c r="AU29" i="1"/>
  <c r="AV24" i="1"/>
  <c r="AU77" i="1"/>
  <c r="AU52" i="1"/>
  <c r="AU37" i="1"/>
  <c r="AU10" i="1"/>
  <c r="AU6" i="1"/>
  <c r="AU14" i="1"/>
  <c r="AU69" i="1"/>
  <c r="AU73" i="1"/>
  <c r="AU36" i="1"/>
  <c r="AQ8" i="1"/>
  <c r="AQ50" i="1"/>
  <c r="AP7" i="1"/>
  <c r="AP25" i="1"/>
  <c r="AP31" i="1"/>
  <c r="AP38" i="1"/>
  <c r="AP58" i="1"/>
  <c r="AP49" i="1"/>
  <c r="AP52" i="1"/>
  <c r="AP66" i="1"/>
  <c r="AP78" i="1"/>
  <c r="AP4" i="1"/>
  <c r="AP22" i="1"/>
  <c r="AP35" i="1"/>
  <c r="AP39" i="1"/>
  <c r="AP37" i="1"/>
  <c r="AP46" i="1"/>
  <c r="AP67" i="1"/>
  <c r="AP72" i="1"/>
  <c r="AP82" i="1"/>
  <c r="AP3" i="1"/>
  <c r="AP10" i="1"/>
  <c r="AP24" i="1"/>
  <c r="AK25" i="1"/>
  <c r="AK38" i="1"/>
  <c r="AK58" i="1"/>
  <c r="AK52" i="1"/>
  <c r="AK4" i="1"/>
  <c r="AK37" i="1"/>
  <c r="AK46" i="1"/>
  <c r="AK82" i="1"/>
  <c r="AK3" i="1"/>
  <c r="AK10" i="1"/>
  <c r="AK24" i="1"/>
  <c r="AK6" i="1"/>
  <c r="AL7" i="1"/>
  <c r="AK14" i="1"/>
  <c r="AK27" i="1"/>
  <c r="AL31" i="1"/>
  <c r="AK33" i="1"/>
  <c r="AK59" i="1"/>
  <c r="AK57" i="1"/>
  <c r="AL49" i="1"/>
  <c r="AK69" i="1"/>
  <c r="AK73" i="1"/>
  <c r="AL66" i="1"/>
  <c r="AK80" i="1"/>
  <c r="AL78" i="1"/>
  <c r="AK84" i="1"/>
  <c r="AK18" i="1"/>
  <c r="AL22" i="1"/>
  <c r="AK19" i="1"/>
  <c r="AL35" i="1"/>
  <c r="AK36" i="1"/>
  <c r="AL39" i="1"/>
  <c r="AK42" i="1"/>
  <c r="AK48" i="1"/>
  <c r="AK61" i="1"/>
  <c r="AL67" i="1"/>
  <c r="AK55" i="1"/>
  <c r="AL72" i="1"/>
  <c r="AK79" i="1"/>
  <c r="AK87" i="1"/>
  <c r="AK9" i="1"/>
  <c r="AK29" i="1"/>
  <c r="AK77" i="1"/>
  <c r="AF11" i="1"/>
  <c r="AF51" i="1"/>
  <c r="AF70" i="1"/>
  <c r="AF12" i="1"/>
  <c r="AF30" i="1"/>
  <c r="AF53" i="1"/>
  <c r="AF76" i="1"/>
  <c r="AF85" i="1"/>
  <c r="AF16" i="1"/>
  <c r="AF7" i="1"/>
  <c r="AF25" i="1"/>
  <c r="AG17" i="1"/>
  <c r="AF31" i="1"/>
  <c r="AG28" i="1"/>
  <c r="AF38" i="1"/>
  <c r="AG47" i="1"/>
  <c r="AF58" i="1"/>
  <c r="AF49" i="1"/>
  <c r="AG65" i="1"/>
  <c r="AF52" i="1"/>
  <c r="AF66" i="1"/>
  <c r="AG71" i="1"/>
  <c r="AF78" i="1"/>
  <c r="AG83" i="1"/>
  <c r="AF4" i="1"/>
  <c r="AF22" i="1"/>
  <c r="AG23" i="1"/>
  <c r="AF35" i="1"/>
  <c r="AF39" i="1"/>
  <c r="AG40" i="1"/>
  <c r="AF37" i="1"/>
  <c r="AG41" i="1"/>
  <c r="AF46" i="1"/>
  <c r="AF67" i="1"/>
  <c r="AG62" i="1"/>
  <c r="AF72" i="1"/>
  <c r="AF82" i="1"/>
  <c r="AF3" i="1"/>
  <c r="AG5" i="1"/>
  <c r="AF10" i="1"/>
  <c r="AF24" i="1"/>
  <c r="AG45" i="1"/>
  <c r="AA7" i="1"/>
  <c r="AA25" i="1"/>
  <c r="AA31" i="1"/>
  <c r="AA38" i="1"/>
  <c r="AA58" i="1"/>
  <c r="AA49" i="1"/>
  <c r="AA52" i="1"/>
  <c r="AA66" i="1"/>
  <c r="AA78" i="1"/>
  <c r="AA4" i="1"/>
  <c r="AA22" i="1"/>
  <c r="AA35" i="1"/>
  <c r="AA39" i="1"/>
  <c r="AA37" i="1"/>
  <c r="AA46" i="1"/>
  <c r="AA67" i="1"/>
  <c r="AA72" i="1"/>
  <c r="AA82" i="1"/>
  <c r="AA3" i="1"/>
  <c r="AA10" i="1"/>
  <c r="AA24" i="1"/>
  <c r="AA6" i="1"/>
  <c r="AA14" i="1"/>
  <c r="AA27" i="1"/>
  <c r="AA33" i="1"/>
  <c r="AA59" i="1"/>
  <c r="AA57" i="1"/>
  <c r="AA69" i="1"/>
  <c r="AA73" i="1"/>
  <c r="AA80" i="1"/>
  <c r="AA84" i="1"/>
  <c r="AA18" i="1"/>
  <c r="AA19" i="1"/>
  <c r="AA36" i="1"/>
  <c r="AA42" i="1"/>
  <c r="AA48" i="1"/>
  <c r="AA61" i="1"/>
  <c r="AA55" i="1"/>
  <c r="AA79" i="1"/>
  <c r="AA87" i="1"/>
  <c r="AA9" i="1"/>
  <c r="AA29" i="1"/>
  <c r="AA77" i="1"/>
  <c r="V22" i="1"/>
  <c r="W7" i="1"/>
  <c r="V14" i="1"/>
  <c r="W25" i="1"/>
  <c r="W31" i="1"/>
  <c r="W58" i="1"/>
  <c r="W52" i="1"/>
  <c r="V73" i="1"/>
  <c r="W66" i="1"/>
  <c r="V80" i="1"/>
  <c r="W78" i="1"/>
  <c r="V84" i="1"/>
  <c r="W4" i="1"/>
  <c r="V18" i="1"/>
  <c r="V19" i="1"/>
  <c r="W35" i="1"/>
  <c r="V36" i="1"/>
  <c r="W39" i="1"/>
  <c r="V42" i="1"/>
  <c r="W37" i="1"/>
  <c r="V48" i="1"/>
  <c r="W46" i="1"/>
  <c r="V61" i="1"/>
  <c r="W67" i="1"/>
  <c r="V55" i="1"/>
  <c r="W72" i="1"/>
  <c r="V79" i="1"/>
  <c r="W82" i="1"/>
  <c r="V87" i="1"/>
  <c r="W3" i="1"/>
  <c r="V9" i="1"/>
  <c r="W10" i="1"/>
  <c r="V29" i="1"/>
  <c r="W24" i="1"/>
  <c r="V77" i="1"/>
  <c r="V38" i="1"/>
  <c r="V49" i="1"/>
  <c r="V6" i="1"/>
  <c r="V27" i="1"/>
  <c r="V33" i="1"/>
  <c r="V59" i="1"/>
  <c r="V57" i="1"/>
  <c r="V69" i="1"/>
  <c r="R50" i="1"/>
  <c r="Q7" i="1"/>
  <c r="Q25" i="1"/>
  <c r="Q31" i="1"/>
  <c r="Q38" i="1"/>
  <c r="Q58" i="1"/>
  <c r="Q49" i="1"/>
  <c r="Q52" i="1"/>
  <c r="Q66" i="1"/>
  <c r="Q78" i="1"/>
  <c r="Q4" i="1"/>
  <c r="Q22" i="1"/>
  <c r="Q35" i="1"/>
  <c r="Q39" i="1"/>
  <c r="Q37" i="1"/>
  <c r="Q46" i="1"/>
  <c r="Q67" i="1"/>
  <c r="Q72" i="1"/>
  <c r="Q82" i="1"/>
  <c r="Q3" i="1"/>
  <c r="Q10" i="1"/>
  <c r="Q24" i="1"/>
  <c r="L7" i="1"/>
  <c r="L25" i="1"/>
  <c r="L31" i="1"/>
  <c r="L38" i="1"/>
  <c r="L58" i="1"/>
  <c r="L49" i="1"/>
  <c r="L52" i="1"/>
  <c r="L66" i="1"/>
  <c r="L78" i="1"/>
  <c r="L4" i="1"/>
  <c r="L22" i="1"/>
  <c r="L35" i="1"/>
  <c r="L39" i="1"/>
  <c r="L37" i="1"/>
  <c r="L46" i="1"/>
  <c r="L67" i="1"/>
  <c r="L72" i="1"/>
  <c r="L82" i="1"/>
  <c r="L3" i="1"/>
  <c r="L10" i="1"/>
  <c r="L24" i="1"/>
  <c r="L6" i="1"/>
  <c r="M14" i="1"/>
  <c r="L14" i="1"/>
  <c r="M27" i="1"/>
  <c r="L27" i="1"/>
  <c r="M33" i="1"/>
  <c r="L33" i="1"/>
  <c r="M59" i="1"/>
  <c r="L59" i="1"/>
  <c r="M57" i="1"/>
  <c r="L57" i="1"/>
  <c r="M69" i="1"/>
  <c r="L69" i="1"/>
  <c r="M73" i="1"/>
  <c r="L73" i="1"/>
  <c r="M80" i="1"/>
  <c r="L80" i="1"/>
  <c r="M84" i="1"/>
  <c r="L84" i="1"/>
  <c r="M18" i="1"/>
  <c r="L18" i="1"/>
  <c r="M19" i="1"/>
  <c r="L19" i="1"/>
  <c r="M36" i="1"/>
  <c r="L36" i="1"/>
  <c r="M42" i="1"/>
  <c r="L42" i="1"/>
  <c r="M48" i="1"/>
  <c r="L48" i="1"/>
  <c r="M61" i="1"/>
  <c r="L61" i="1"/>
  <c r="M55" i="1"/>
  <c r="L55" i="1"/>
  <c r="M79" i="1"/>
  <c r="L79" i="1"/>
  <c r="M87" i="1"/>
  <c r="L87" i="1"/>
  <c r="M9" i="1"/>
  <c r="L9" i="1"/>
  <c r="M29" i="1"/>
  <c r="L29" i="1"/>
  <c r="M77" i="1"/>
  <c r="L77" i="1"/>
  <c r="BE38" i="4" l="1"/>
  <c r="BE38" i="1"/>
  <c r="BF38" i="1" s="1"/>
  <c r="BE38" i="3"/>
  <c r="BP44" i="5"/>
  <c r="BQ44" i="5"/>
  <c r="BP63" i="5"/>
  <c r="BQ63" i="5"/>
  <c r="BQ86" i="5"/>
  <c r="BP86" i="5"/>
  <c r="BQ35" i="5"/>
  <c r="BP35" i="5"/>
  <c r="BQ49" i="5"/>
  <c r="BP49" i="5"/>
  <c r="BQ42" i="5"/>
  <c r="BP42" i="5"/>
  <c r="BQ30" i="5"/>
  <c r="BP30" i="5"/>
  <c r="BP87" i="5"/>
  <c r="BQ87" i="5"/>
  <c r="BQ84" i="5"/>
  <c r="BP84" i="5"/>
  <c r="BQ37" i="5"/>
  <c r="BP37" i="5"/>
  <c r="BQ28" i="5"/>
  <c r="BP28" i="5"/>
  <c r="BQ85" i="5"/>
  <c r="BP85" i="5"/>
  <c r="BQ92" i="5"/>
  <c r="BQ10" i="5"/>
  <c r="BQ97" i="5"/>
  <c r="BQ73" i="5"/>
  <c r="BQ95" i="5"/>
  <c r="BQ93" i="5"/>
  <c r="BQ39" i="5"/>
  <c r="BQ11" i="5"/>
  <c r="BQ61" i="5"/>
  <c r="BQ23" i="5"/>
  <c r="BQ81" i="5"/>
  <c r="BQ96" i="5"/>
  <c r="BQ74" i="5"/>
  <c r="BQ4" i="5"/>
  <c r="BQ89" i="5"/>
  <c r="BQ22" i="5"/>
  <c r="BQ53" i="5"/>
  <c r="BP58" i="5"/>
  <c r="BQ58" i="5"/>
  <c r="BP70" i="5"/>
  <c r="BQ70" i="5"/>
  <c r="BP52" i="5"/>
  <c r="BQ52" i="5"/>
  <c r="BP56" i="5"/>
  <c r="BQ56" i="5"/>
  <c r="BP71" i="5"/>
  <c r="BQ71" i="5"/>
  <c r="BQ79" i="5"/>
  <c r="BP79" i="5"/>
  <c r="BQ25" i="5"/>
  <c r="BP25" i="5"/>
  <c r="BP34" i="5"/>
  <c r="BQ34" i="5"/>
  <c r="BP75" i="5"/>
  <c r="BQ75" i="5"/>
  <c r="BQ82" i="5"/>
  <c r="BP82" i="5"/>
  <c r="BQ18" i="5"/>
  <c r="BQ31" i="5"/>
  <c r="BQ67" i="5"/>
  <c r="BQ98" i="5"/>
  <c r="BQ72" i="5"/>
  <c r="BQ90" i="5"/>
  <c r="BQ48" i="5"/>
  <c r="BQ14" i="5"/>
  <c r="BQ19" i="5"/>
  <c r="BQ36" i="5"/>
  <c r="BQ9" i="5"/>
  <c r="BQ80" i="5"/>
  <c r="BQ15" i="5"/>
  <c r="BQ50" i="5"/>
  <c r="BP50" i="5"/>
  <c r="BQ12" i="5"/>
  <c r="BP12" i="5"/>
  <c r="BQ38" i="5"/>
  <c r="BP38" i="5"/>
  <c r="BQ20" i="5"/>
  <c r="BP20" i="5"/>
  <c r="BP16" i="5"/>
  <c r="BQ16" i="5"/>
  <c r="BP68" i="5"/>
  <c r="BQ68" i="5"/>
  <c r="BP24" i="5"/>
  <c r="BQ24" i="5"/>
  <c r="BQ40" i="5"/>
  <c r="BP40" i="5"/>
  <c r="BQ83" i="5"/>
  <c r="BP83" i="5"/>
  <c r="BQ8" i="5"/>
  <c r="BQ47" i="5"/>
  <c r="BQ13" i="5"/>
  <c r="BQ3" i="5"/>
  <c r="BQ21" i="5"/>
  <c r="BQ91" i="5"/>
  <c r="BQ62" i="5"/>
  <c r="BQ57" i="5"/>
  <c r="BQ41" i="5"/>
  <c r="BQ46" i="5"/>
  <c r="BQ88" i="5"/>
  <c r="BQ27" i="5"/>
  <c r="BQ6" i="5"/>
  <c r="BQ65" i="5"/>
  <c r="BP43" i="5"/>
  <c r="BQ43" i="5"/>
  <c r="BQ45" i="5"/>
  <c r="BP45" i="5"/>
  <c r="BQ7" i="5"/>
  <c r="BP7" i="5"/>
  <c r="BQ51" i="5"/>
  <c r="BP51" i="5"/>
  <c r="BP55" i="5"/>
  <c r="BQ55" i="5"/>
  <c r="BQ78" i="5"/>
  <c r="BP78" i="5"/>
  <c r="BQ94" i="5"/>
  <c r="BQ17" i="5"/>
  <c r="BQ66" i="5"/>
  <c r="BQ26" i="5"/>
  <c r="BQ64" i="5"/>
  <c r="BQ32" i="5"/>
  <c r="BQ60" i="5"/>
  <c r="BQ54" i="5"/>
  <c r="BQ29" i="5"/>
  <c r="BQ59" i="5"/>
  <c r="BQ77" i="5"/>
  <c r="BQ5" i="5"/>
  <c r="BQ76" i="5"/>
  <c r="BQ33" i="5"/>
  <c r="BD32" i="3"/>
  <c r="BG32" i="3" s="1"/>
  <c r="BB6" i="1"/>
  <c r="BG57" i="3"/>
  <c r="BG25" i="3"/>
  <c r="BF62" i="3"/>
  <c r="BF12" i="3"/>
  <c r="BG12" i="3"/>
  <c r="BF76" i="3"/>
  <c r="BF48" i="3"/>
  <c r="BG48" i="3"/>
  <c r="BF27" i="3"/>
  <c r="BF47" i="3"/>
  <c r="BG47" i="3"/>
  <c r="BG56" i="3"/>
  <c r="BG24" i="3"/>
  <c r="BG37" i="3"/>
  <c r="BG71" i="3"/>
  <c r="BF43" i="3"/>
  <c r="BG43" i="3"/>
  <c r="BF10" i="3"/>
  <c r="BF49" i="3"/>
  <c r="BG49" i="3"/>
  <c r="BF65" i="3"/>
  <c r="BF35" i="3"/>
  <c r="BG35" i="3"/>
  <c r="BF61" i="3"/>
  <c r="BG36" i="3"/>
  <c r="BF41" i="3"/>
  <c r="BG41" i="3"/>
  <c r="BF67" i="3"/>
  <c r="BG67" i="3"/>
  <c r="BF9" i="3"/>
  <c r="BG9" i="3"/>
  <c r="BF4" i="3"/>
  <c r="BG4" i="3"/>
  <c r="BF18" i="3"/>
  <c r="BG18" i="3"/>
  <c r="BG52" i="3"/>
  <c r="BG77" i="3"/>
  <c r="BG51" i="3"/>
  <c r="BF6" i="3"/>
  <c r="BG6" i="3"/>
  <c r="BF38" i="3"/>
  <c r="BG38" i="3"/>
  <c r="BF46" i="3"/>
  <c r="BG46" i="3"/>
  <c r="BF55" i="3"/>
  <c r="BG55" i="3"/>
  <c r="BF15" i="3"/>
  <c r="BG15" i="3"/>
  <c r="BF63" i="3"/>
  <c r="BG63" i="3"/>
  <c r="BF40" i="3"/>
  <c r="BG40" i="3"/>
  <c r="BF74" i="3"/>
  <c r="BG74" i="3"/>
  <c r="BG20" i="3"/>
  <c r="BG75" i="3"/>
  <c r="BG69" i="3"/>
  <c r="BG53" i="3"/>
  <c r="BG64" i="3"/>
  <c r="BF16" i="3"/>
  <c r="BF23" i="3"/>
  <c r="BG23" i="3"/>
  <c r="BF68" i="3"/>
  <c r="BF5" i="3"/>
  <c r="BG5" i="3"/>
  <c r="BF8" i="3"/>
  <c r="BF28" i="3"/>
  <c r="BG28" i="3"/>
  <c r="BF19" i="3"/>
  <c r="BF72" i="3"/>
  <c r="BG72" i="3"/>
  <c r="BF34" i="3"/>
  <c r="BF14" i="3"/>
  <c r="BG14" i="3"/>
  <c r="BG22" i="3"/>
  <c r="BG59" i="3"/>
  <c r="BG39" i="3"/>
  <c r="BG60" i="3"/>
  <c r="BG33" i="3"/>
  <c r="BF42" i="3"/>
  <c r="BF31" i="3"/>
  <c r="BF50" i="3"/>
  <c r="BG50" i="3"/>
  <c r="BF13" i="3"/>
  <c r="BF21" i="3"/>
  <c r="BG21" i="3"/>
  <c r="BF45" i="3"/>
  <c r="BF30" i="3"/>
  <c r="BG30" i="3"/>
  <c r="BF73" i="3"/>
  <c r="BF29" i="3"/>
  <c r="BG29" i="3"/>
  <c r="BG70" i="3"/>
  <c r="BF44" i="3"/>
  <c r="BG44" i="3"/>
  <c r="BG54" i="3"/>
  <c r="BB52" i="1"/>
  <c r="BB70" i="1"/>
  <c r="BB19" i="1"/>
  <c r="BB37" i="1"/>
  <c r="BB73" i="1"/>
  <c r="BB10" i="1"/>
  <c r="BB41" i="1"/>
  <c r="BB59" i="1"/>
  <c r="BB58" i="1"/>
  <c r="BF7" i="3"/>
  <c r="BF66" i="3"/>
  <c r="BB55" i="1"/>
  <c r="BB36" i="1"/>
  <c r="BB27" i="1"/>
  <c r="BB62" i="1"/>
  <c r="BB8" i="1"/>
  <c r="BB43" i="1"/>
  <c r="BB32" i="1"/>
  <c r="BB30" i="1"/>
  <c r="BB53" i="1"/>
  <c r="BF32" i="3"/>
  <c r="BF59" i="3"/>
  <c r="BF39" i="3"/>
  <c r="BF60" i="3"/>
  <c r="BF71" i="3"/>
  <c r="BF17" i="3"/>
  <c r="BF24" i="3"/>
  <c r="BF37" i="3"/>
  <c r="BF53" i="3"/>
  <c r="BF64" i="3"/>
  <c r="BG3" i="3"/>
  <c r="BB28" i="1"/>
  <c r="BB86" i="1"/>
  <c r="BB76" i="1"/>
  <c r="BF52" i="3"/>
  <c r="BF57" i="3"/>
  <c r="BF33" i="3"/>
  <c r="BF20" i="3"/>
  <c r="BF56" i="3"/>
  <c r="BB61" i="1"/>
  <c r="BB25" i="1"/>
  <c r="BF11" i="3"/>
  <c r="BF75" i="3"/>
  <c r="BF69" i="3"/>
  <c r="BF26" i="3"/>
  <c r="BF77" i="3"/>
  <c r="BF25" i="3"/>
  <c r="BF51" i="3"/>
  <c r="BG33" i="4"/>
  <c r="BG45" i="4"/>
  <c r="BG50" i="4"/>
  <c r="BG4" i="4"/>
  <c r="BG20" i="4"/>
  <c r="BG59" i="4"/>
  <c r="BG35" i="4"/>
  <c r="BG64" i="4"/>
  <c r="BG19" i="4"/>
  <c r="BG55" i="4"/>
  <c r="BG53" i="4"/>
  <c r="BG40" i="4"/>
  <c r="BG6" i="4"/>
  <c r="BG41" i="4"/>
  <c r="BG46" i="4"/>
  <c r="BG29" i="4"/>
  <c r="BG22" i="4"/>
  <c r="BG72" i="4"/>
  <c r="BG43" i="4"/>
  <c r="BG74" i="4"/>
  <c r="BG47" i="4"/>
  <c r="BG54" i="4"/>
  <c r="BG68" i="4"/>
  <c r="BG18" i="4"/>
  <c r="BG66" i="4"/>
  <c r="BG63" i="4"/>
  <c r="BG61" i="4"/>
  <c r="BG52" i="4"/>
  <c r="BG16" i="4"/>
  <c r="BG31" i="4"/>
  <c r="BG69" i="4"/>
  <c r="BG13" i="4"/>
  <c r="BG65" i="4"/>
  <c r="BG36" i="4"/>
  <c r="BG75" i="4"/>
  <c r="BG48" i="4"/>
  <c r="BG12" i="4"/>
  <c r="BG3" i="4"/>
  <c r="BG71" i="4"/>
  <c r="BG9" i="4"/>
  <c r="BG24" i="4"/>
  <c r="BG70" i="4"/>
  <c r="BG62" i="4"/>
  <c r="BG25" i="4"/>
  <c r="BG60" i="4"/>
  <c r="BG58" i="4"/>
  <c r="BG7" i="4"/>
  <c r="BG38" i="4"/>
  <c r="BG14" i="4"/>
  <c r="BG56" i="4"/>
  <c r="BG73" i="4"/>
  <c r="BG32" i="4"/>
  <c r="BG30" i="4"/>
  <c r="BG42" i="4"/>
  <c r="BG51" i="4"/>
  <c r="BG21" i="4"/>
  <c r="BG15" i="4"/>
  <c r="BG34" i="4"/>
  <c r="BG10" i="4"/>
  <c r="BG28" i="4"/>
  <c r="BG23" i="4"/>
  <c r="BG26" i="4"/>
  <c r="BG44" i="4"/>
  <c r="BG17" i="4"/>
  <c r="BG11" i="4"/>
  <c r="BG49" i="4"/>
  <c r="BG57" i="4"/>
  <c r="BG8" i="4"/>
  <c r="BG67" i="4"/>
  <c r="BG27" i="4"/>
  <c r="BG5" i="4"/>
  <c r="BG37" i="4"/>
  <c r="BG39" i="4"/>
  <c r="BB47" i="1"/>
  <c r="BB4" i="1"/>
  <c r="BB74" i="1"/>
  <c r="BB18" i="1"/>
  <c r="BB80" i="1"/>
  <c r="BB69" i="1"/>
  <c r="BB39" i="1"/>
  <c r="BB23" i="1"/>
  <c r="BB65" i="1"/>
  <c r="BB11" i="1"/>
  <c r="BB60" i="1"/>
  <c r="BB20" i="1"/>
  <c r="BB56" i="1"/>
  <c r="BB51" i="1"/>
  <c r="BB49" i="1"/>
  <c r="BB45" i="1"/>
  <c r="BB71" i="1"/>
  <c r="BB22" i="1"/>
  <c r="BB75" i="1"/>
  <c r="BB64" i="1"/>
  <c r="BB66" i="1"/>
  <c r="BB82" i="1"/>
  <c r="BB67" i="1"/>
  <c r="BB14" i="1"/>
  <c r="BB35" i="1"/>
  <c r="BB68" i="1"/>
  <c r="BB17" i="1"/>
  <c r="BB12" i="1"/>
  <c r="BB33" i="1"/>
  <c r="BB78" i="1"/>
  <c r="BB7" i="1"/>
  <c r="BB3" i="1"/>
  <c r="BB72" i="1"/>
  <c r="BB46" i="1"/>
  <c r="BB79" i="1"/>
  <c r="BB85" i="1"/>
  <c r="BB24" i="1"/>
  <c r="BB31" i="1"/>
  <c r="BB54" i="1"/>
  <c r="BB42" i="1"/>
  <c r="BB5" i="1"/>
  <c r="BB48" i="1"/>
  <c r="BB15" i="1"/>
  <c r="BB81" i="1"/>
  <c r="BB21" i="1"/>
  <c r="BB9" i="1"/>
  <c r="BB83" i="1"/>
  <c r="BB63" i="1"/>
  <c r="BB77" i="1"/>
  <c r="BB40" i="1"/>
  <c r="BB87" i="1"/>
  <c r="BB26" i="1"/>
  <c r="BB57" i="1"/>
  <c r="BB44" i="1"/>
  <c r="BB16" i="1"/>
  <c r="BB34" i="1"/>
  <c r="BB84" i="1"/>
  <c r="BB50" i="1"/>
  <c r="BB13" i="1"/>
  <c r="BB29" i="1"/>
  <c r="BD13" i="1" l="1"/>
  <c r="BE13" i="4"/>
  <c r="BE13" i="1"/>
  <c r="BF13" i="1" s="1"/>
  <c r="BE13" i="3"/>
  <c r="BD16" i="1"/>
  <c r="BE16" i="1"/>
  <c r="BF16" i="1" s="1"/>
  <c r="BE16" i="4"/>
  <c r="BE16" i="3"/>
  <c r="BD87" i="1"/>
  <c r="BE87" i="1"/>
  <c r="BF87" i="1" s="1"/>
  <c r="BD83" i="1"/>
  <c r="BE83" i="1"/>
  <c r="BF83" i="1" s="1"/>
  <c r="BD15" i="1"/>
  <c r="BE15" i="1"/>
  <c r="BF15" i="1" s="1"/>
  <c r="BE15" i="3"/>
  <c r="BE15" i="4"/>
  <c r="BD54" i="1"/>
  <c r="BE54" i="3"/>
  <c r="BE54" i="4"/>
  <c r="BE54" i="1"/>
  <c r="BF54" i="1" s="1"/>
  <c r="BD79" i="1"/>
  <c r="BE79" i="1"/>
  <c r="BF79" i="1" s="1"/>
  <c r="BD7" i="1"/>
  <c r="BE7" i="1"/>
  <c r="BF7" i="1" s="1"/>
  <c r="BE7" i="4"/>
  <c r="BE7" i="3"/>
  <c r="BD17" i="1"/>
  <c r="BE17" i="4"/>
  <c r="BE17" i="3"/>
  <c r="BE17" i="1"/>
  <c r="BF17" i="1" s="1"/>
  <c r="BD67" i="1"/>
  <c r="BE67" i="1"/>
  <c r="BF67" i="1" s="1"/>
  <c r="BE67" i="4"/>
  <c r="BE67" i="3"/>
  <c r="BD75" i="1"/>
  <c r="BE75" i="3"/>
  <c r="BE75" i="1"/>
  <c r="BF75" i="1" s="1"/>
  <c r="BE75" i="4"/>
  <c r="BD49" i="1"/>
  <c r="BE49" i="4"/>
  <c r="BE49" i="1"/>
  <c r="BF49" i="1" s="1"/>
  <c r="BE49" i="3"/>
  <c r="BD60" i="1"/>
  <c r="BE60" i="4"/>
  <c r="BE60" i="3"/>
  <c r="BE60" i="1"/>
  <c r="BF60" i="1" s="1"/>
  <c r="BD39" i="1"/>
  <c r="BE39" i="3"/>
  <c r="BE39" i="1"/>
  <c r="BF39" i="1" s="1"/>
  <c r="BE39" i="4"/>
  <c r="BD74" i="1"/>
  <c r="BE74" i="3"/>
  <c r="BE74" i="1"/>
  <c r="BF74" i="1" s="1"/>
  <c r="BE74" i="4"/>
  <c r="BD61" i="1"/>
  <c r="BE61" i="3"/>
  <c r="BE61" i="4"/>
  <c r="BE61" i="1"/>
  <c r="BF61" i="1" s="1"/>
  <c r="BD28" i="1"/>
  <c r="BE28" i="1"/>
  <c r="BF28" i="1" s="1"/>
  <c r="BE28" i="4"/>
  <c r="BE28" i="3"/>
  <c r="BD53" i="1"/>
  <c r="BG53" i="1" s="1"/>
  <c r="BE53" i="3"/>
  <c r="BE53" i="1"/>
  <c r="BF53" i="1" s="1"/>
  <c r="BE53" i="4"/>
  <c r="BD8" i="1"/>
  <c r="BE8" i="1"/>
  <c r="BF8" i="1" s="1"/>
  <c r="BE8" i="4"/>
  <c r="BE8" i="3"/>
  <c r="BD55" i="1"/>
  <c r="BE55" i="1"/>
  <c r="BF55" i="1" s="1"/>
  <c r="BE55" i="4"/>
  <c r="BE55" i="3"/>
  <c r="BD59" i="1"/>
  <c r="BE59" i="1"/>
  <c r="BF59" i="1" s="1"/>
  <c r="BE59" i="4"/>
  <c r="BE59" i="3"/>
  <c r="BD37" i="1"/>
  <c r="BE37" i="1"/>
  <c r="BF37" i="1" s="1"/>
  <c r="BE37" i="4"/>
  <c r="BE37" i="3"/>
  <c r="BD6" i="1"/>
  <c r="BE6" i="1"/>
  <c r="BF6" i="1" s="1"/>
  <c r="BE6" i="4"/>
  <c r="BE6" i="3"/>
  <c r="BD50" i="1"/>
  <c r="BE50" i="3"/>
  <c r="BE50" i="1"/>
  <c r="BF50" i="1" s="1"/>
  <c r="BE50" i="4"/>
  <c r="BD44" i="1"/>
  <c r="BG44" i="1" s="1"/>
  <c r="BE44" i="4"/>
  <c r="BE44" i="3"/>
  <c r="BE44" i="1"/>
  <c r="BF44" i="1" s="1"/>
  <c r="BD40" i="1"/>
  <c r="BE40" i="4"/>
  <c r="BE40" i="3"/>
  <c r="BE40" i="1"/>
  <c r="BF40" i="1" s="1"/>
  <c r="BD9" i="1"/>
  <c r="BE9" i="3"/>
  <c r="BE9" i="4"/>
  <c r="BE9" i="1"/>
  <c r="BF9" i="1" s="1"/>
  <c r="BD48" i="1"/>
  <c r="BE48" i="3"/>
  <c r="BE48" i="1"/>
  <c r="BF48" i="1" s="1"/>
  <c r="BE48" i="4"/>
  <c r="BD31" i="1"/>
  <c r="BE31" i="4"/>
  <c r="BE31" i="3"/>
  <c r="BE31" i="1"/>
  <c r="BF31" i="1" s="1"/>
  <c r="BD46" i="1"/>
  <c r="BE46" i="1"/>
  <c r="BF46" i="1" s="1"/>
  <c r="BE46" i="4"/>
  <c r="BE46" i="3"/>
  <c r="BD78" i="1"/>
  <c r="BE78" i="1"/>
  <c r="BF78" i="1" s="1"/>
  <c r="BD68" i="1"/>
  <c r="BE68" i="4"/>
  <c r="BE68" i="3"/>
  <c r="BE68" i="1"/>
  <c r="BF68" i="1" s="1"/>
  <c r="BD82" i="1"/>
  <c r="BE82" i="1"/>
  <c r="BF82" i="1" s="1"/>
  <c r="BD22" i="1"/>
  <c r="BE22" i="4"/>
  <c r="BE22" i="3"/>
  <c r="BE22" i="1"/>
  <c r="BF22" i="1" s="1"/>
  <c r="BD51" i="1"/>
  <c r="BE51" i="4"/>
  <c r="BE51" i="3"/>
  <c r="BE51" i="1"/>
  <c r="BF51" i="1" s="1"/>
  <c r="BD11" i="1"/>
  <c r="BE11" i="1"/>
  <c r="BF11" i="1" s="1"/>
  <c r="BE11" i="4"/>
  <c r="BE11" i="3"/>
  <c r="BD69" i="1"/>
  <c r="BE69" i="4"/>
  <c r="BE69" i="3"/>
  <c r="BE69" i="1"/>
  <c r="BF69" i="1" s="1"/>
  <c r="BD4" i="1"/>
  <c r="BE4" i="4"/>
  <c r="BE4" i="1"/>
  <c r="BF4" i="1" s="1"/>
  <c r="BE4" i="3"/>
  <c r="BD30" i="1"/>
  <c r="BE30" i="4"/>
  <c r="BE30" i="3"/>
  <c r="BE30" i="1"/>
  <c r="BF30" i="1" s="1"/>
  <c r="BD62" i="1"/>
  <c r="BE62" i="4"/>
  <c r="BE62" i="1"/>
  <c r="BF62" i="1" s="1"/>
  <c r="BE62" i="3"/>
  <c r="BD41" i="1"/>
  <c r="BE41" i="3"/>
  <c r="BE41" i="4"/>
  <c r="BE41" i="1"/>
  <c r="BF41" i="1" s="1"/>
  <c r="BD19" i="1"/>
  <c r="BE19" i="1"/>
  <c r="BF19" i="1" s="1"/>
  <c r="BE19" i="4"/>
  <c r="BE19" i="3"/>
  <c r="BD84" i="1"/>
  <c r="BE84" i="1"/>
  <c r="BF84" i="1" s="1"/>
  <c r="BD57" i="1"/>
  <c r="BE57" i="1"/>
  <c r="BF57" i="1" s="1"/>
  <c r="BE57" i="4"/>
  <c r="BE57" i="3"/>
  <c r="BD77" i="1"/>
  <c r="BE77" i="1"/>
  <c r="BF77" i="1" s="1"/>
  <c r="BE77" i="3"/>
  <c r="BD21" i="1"/>
  <c r="BE21" i="4"/>
  <c r="BE21" i="3"/>
  <c r="BE21" i="1"/>
  <c r="BF21" i="1" s="1"/>
  <c r="BD5" i="1"/>
  <c r="BE5" i="4"/>
  <c r="BE5" i="3"/>
  <c r="BE5" i="1"/>
  <c r="BF5" i="1" s="1"/>
  <c r="BD24" i="1"/>
  <c r="BE24" i="4"/>
  <c r="BE24" i="3"/>
  <c r="BE24" i="1"/>
  <c r="BF24" i="1" s="1"/>
  <c r="BD72" i="1"/>
  <c r="BG72" i="1" s="1"/>
  <c r="BE72" i="3"/>
  <c r="BE72" i="1"/>
  <c r="BF72" i="1" s="1"/>
  <c r="BE72" i="4"/>
  <c r="BD33" i="1"/>
  <c r="BE33" i="4"/>
  <c r="BE33" i="3"/>
  <c r="BE33" i="1"/>
  <c r="BF33" i="1" s="1"/>
  <c r="BD35" i="1"/>
  <c r="BE35" i="1"/>
  <c r="BF35" i="1" s="1"/>
  <c r="BE35" i="4"/>
  <c r="BE35" i="3"/>
  <c r="BD66" i="1"/>
  <c r="BE66" i="4"/>
  <c r="BE66" i="3"/>
  <c r="BE66" i="1"/>
  <c r="BF66" i="1" s="1"/>
  <c r="BD71" i="1"/>
  <c r="BE71" i="1"/>
  <c r="BF71" i="1" s="1"/>
  <c r="BE71" i="3"/>
  <c r="BE71" i="4"/>
  <c r="BD56" i="1"/>
  <c r="BE56" i="1"/>
  <c r="BF56" i="1" s="1"/>
  <c r="BE56" i="4"/>
  <c r="BE56" i="3"/>
  <c r="BD65" i="1"/>
  <c r="BG65" i="1" s="1"/>
  <c r="BE65" i="1"/>
  <c r="BF65" i="1" s="1"/>
  <c r="BE65" i="4"/>
  <c r="BE65" i="3"/>
  <c r="BD80" i="1"/>
  <c r="BG80" i="1" s="1"/>
  <c r="BE80" i="1"/>
  <c r="BF80" i="1" s="1"/>
  <c r="BD47" i="1"/>
  <c r="BE47" i="1"/>
  <c r="BF47" i="1" s="1"/>
  <c r="BE47" i="4"/>
  <c r="BE47" i="3"/>
  <c r="BD76" i="1"/>
  <c r="BE76" i="3"/>
  <c r="BE76" i="1"/>
  <c r="BF76" i="1" s="1"/>
  <c r="BD32" i="1"/>
  <c r="BE32" i="3"/>
  <c r="BE32" i="1"/>
  <c r="BF32" i="1" s="1"/>
  <c r="BE32" i="4"/>
  <c r="BD27" i="1"/>
  <c r="BE27" i="4"/>
  <c r="BE27" i="3"/>
  <c r="BE27" i="1"/>
  <c r="BF27" i="1" s="1"/>
  <c r="BD10" i="1"/>
  <c r="BE10" i="4"/>
  <c r="BE10" i="1"/>
  <c r="BF10" i="1" s="1"/>
  <c r="BE10" i="3"/>
  <c r="BD70" i="1"/>
  <c r="BE70" i="1"/>
  <c r="BF70" i="1" s="1"/>
  <c r="BE70" i="3"/>
  <c r="BE70" i="4"/>
  <c r="BD29" i="1"/>
  <c r="BE29" i="4"/>
  <c r="BE29" i="3"/>
  <c r="BE29" i="1"/>
  <c r="BF29" i="1" s="1"/>
  <c r="BD34" i="1"/>
  <c r="BE34" i="3"/>
  <c r="BE34" i="1"/>
  <c r="BF34" i="1" s="1"/>
  <c r="BE34" i="4"/>
  <c r="BD26" i="1"/>
  <c r="BE26" i="4"/>
  <c r="BE26" i="3"/>
  <c r="BE26" i="1"/>
  <c r="BF26" i="1" s="1"/>
  <c r="BD63" i="1"/>
  <c r="BE63" i="4"/>
  <c r="BE63" i="3"/>
  <c r="BE63" i="1"/>
  <c r="BF63" i="1" s="1"/>
  <c r="BD81" i="1"/>
  <c r="BE81" i="1"/>
  <c r="BF81" i="1" s="1"/>
  <c r="BD42" i="1"/>
  <c r="BE42" i="4"/>
  <c r="BE42" i="3"/>
  <c r="BE42" i="1"/>
  <c r="BF42" i="1" s="1"/>
  <c r="BD85" i="1"/>
  <c r="BE85" i="1"/>
  <c r="BF85" i="1" s="1"/>
  <c r="BD12" i="1"/>
  <c r="BE12" i="3"/>
  <c r="BE12" i="4"/>
  <c r="BE12" i="1"/>
  <c r="BF12" i="1" s="1"/>
  <c r="BD14" i="1"/>
  <c r="BE14" i="4"/>
  <c r="BE14" i="3"/>
  <c r="BE14" i="1"/>
  <c r="BF14" i="1" s="1"/>
  <c r="BD64" i="1"/>
  <c r="BE64" i="3"/>
  <c r="BE64" i="1"/>
  <c r="BF64" i="1" s="1"/>
  <c r="BE64" i="4"/>
  <c r="BD45" i="1"/>
  <c r="BE45" i="3"/>
  <c r="BE45" i="1"/>
  <c r="BF45" i="1" s="1"/>
  <c r="BE45" i="4"/>
  <c r="BD20" i="1"/>
  <c r="BE20" i="3"/>
  <c r="BE20" i="4"/>
  <c r="BE20" i="1"/>
  <c r="BF20" i="1" s="1"/>
  <c r="BD23" i="1"/>
  <c r="BE23" i="1"/>
  <c r="BF23" i="1" s="1"/>
  <c r="BE23" i="3"/>
  <c r="BE23" i="4"/>
  <c r="BD18" i="1"/>
  <c r="BE18" i="4"/>
  <c r="BE18" i="3"/>
  <c r="BE18" i="1"/>
  <c r="BF18" i="1" s="1"/>
  <c r="BD25" i="1"/>
  <c r="BE25" i="4"/>
  <c r="BE25" i="3"/>
  <c r="BE25" i="1"/>
  <c r="BF25" i="1" s="1"/>
  <c r="BD86" i="1"/>
  <c r="BE86" i="1"/>
  <c r="BF86" i="1" s="1"/>
  <c r="BD43" i="1"/>
  <c r="BE43" i="4"/>
  <c r="BE43" i="3"/>
  <c r="BE43" i="1"/>
  <c r="BF43" i="1" s="1"/>
  <c r="BD36" i="1"/>
  <c r="BG36" i="1" s="1"/>
  <c r="BE36" i="1"/>
  <c r="BF36" i="1" s="1"/>
  <c r="BE36" i="3"/>
  <c r="BE36" i="4"/>
  <c r="BD58" i="1"/>
  <c r="BE58" i="4"/>
  <c r="BE58" i="3"/>
  <c r="BE58" i="1"/>
  <c r="BF58" i="1" s="1"/>
  <c r="BD73" i="1"/>
  <c r="BE73" i="4"/>
  <c r="BE73" i="3"/>
  <c r="BE73" i="1"/>
  <c r="BF73" i="1" s="1"/>
  <c r="BD52" i="1"/>
  <c r="BE52" i="1"/>
  <c r="BF52" i="1" s="1"/>
  <c r="BE52" i="4"/>
  <c r="BE52" i="3"/>
  <c r="BD3" i="1"/>
  <c r="BE3" i="3"/>
  <c r="BE3" i="1"/>
  <c r="BF3" i="1" s="1"/>
  <c r="BE3" i="4"/>
  <c r="BG73" i="3"/>
  <c r="BG45" i="3"/>
  <c r="BG13" i="3"/>
  <c r="BG31" i="3"/>
  <c r="BG66" i="3"/>
  <c r="BG7" i="3"/>
  <c r="BG34" i="3"/>
  <c r="BG19" i="3"/>
  <c r="BG8" i="3"/>
  <c r="BG68" i="3"/>
  <c r="BG16" i="3"/>
  <c r="BG26" i="3"/>
  <c r="BG42" i="3"/>
  <c r="BG58" i="3"/>
  <c r="BG61" i="3"/>
  <c r="BG65" i="3"/>
  <c r="BG10" i="3"/>
  <c r="BG17" i="3"/>
  <c r="BG11" i="3"/>
  <c r="BG27" i="3"/>
  <c r="BG76" i="3"/>
  <c r="BG62" i="3"/>
  <c r="BG77" i="1"/>
  <c r="BG13" i="1"/>
  <c r="BG69" i="1"/>
  <c r="BG34" i="1"/>
  <c r="BG78" i="1"/>
  <c r="BG56" i="1" l="1"/>
  <c r="BG35" i="1"/>
  <c r="BG16" i="1"/>
  <c r="BG45" i="1"/>
  <c r="BG48" i="1"/>
  <c r="BG37" i="1"/>
  <c r="BG73" i="1"/>
  <c r="BG58" i="1"/>
  <c r="BG42" i="1"/>
  <c r="BG19" i="1"/>
  <c r="BG18" i="1"/>
  <c r="BG9" i="1"/>
  <c r="BG6" i="1"/>
  <c r="BG8" i="1"/>
  <c r="BG28" i="1"/>
  <c r="BG60" i="1"/>
  <c r="BG49" i="1"/>
  <c r="BG67" i="1"/>
  <c r="BG83" i="1"/>
  <c r="BG38" i="1"/>
  <c r="BG71" i="1"/>
  <c r="BG66" i="1"/>
  <c r="BG33" i="1"/>
  <c r="BG24" i="1"/>
  <c r="BG21" i="1"/>
  <c r="BG5" i="1"/>
  <c r="BG12" i="1"/>
  <c r="BG52" i="1"/>
  <c r="BG43" i="1"/>
  <c r="BG85" i="1"/>
  <c r="BG62" i="1"/>
  <c r="BG30" i="1"/>
  <c r="BG46" i="1"/>
  <c r="BG31" i="1"/>
  <c r="BG59" i="1"/>
  <c r="BG61" i="1"/>
  <c r="BG39" i="1"/>
  <c r="BG75" i="1"/>
  <c r="BG54" i="1"/>
  <c r="BG82" i="1"/>
  <c r="BG63" i="1"/>
  <c r="BG57" i="1"/>
  <c r="BG87" i="1"/>
  <c r="BG32" i="1"/>
  <c r="BG47" i="1"/>
  <c r="BG22" i="1"/>
  <c r="BG25" i="1"/>
  <c r="BG41" i="1"/>
  <c r="BG51" i="1"/>
  <c r="BG40" i="1"/>
  <c r="BG50" i="1"/>
  <c r="BG17" i="1"/>
  <c r="BG29" i="1"/>
  <c r="BG79" i="1"/>
  <c r="BG74" i="1"/>
  <c r="BG55" i="1"/>
  <c r="BG14" i="1"/>
  <c r="BG7" i="1"/>
  <c r="BG26" i="1"/>
  <c r="BG84" i="1"/>
  <c r="BG15" i="1"/>
  <c r="BG11" i="1"/>
  <c r="BG81" i="1"/>
  <c r="BG10" i="1"/>
  <c r="BG76" i="1"/>
  <c r="BG27" i="1"/>
  <c r="BG3" i="1"/>
  <c r="BG70" i="1"/>
  <c r="BG23" i="1"/>
  <c r="BG4" i="1"/>
  <c r="BG86" i="1"/>
  <c r="BG20" i="1"/>
  <c r="BG64" i="1"/>
  <c r="BG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<sst xmlns="http://schemas.openxmlformats.org/spreadsheetml/2006/main" count="861" uniqueCount="271">
  <si>
    <t xml:space="preserve"> ديالو إبراهيم</t>
  </si>
  <si>
    <t xml:space="preserve"> جميل براون</t>
  </si>
  <si>
    <t>آدم عبد الحميد سنكارا</t>
  </si>
  <si>
    <t>عبد  الله أحمد كندي</t>
  </si>
  <si>
    <t>صالح سيدي فاتي</t>
  </si>
  <si>
    <t>دمبو ملامين جغنا</t>
  </si>
  <si>
    <t>بشير فابلى غسام</t>
  </si>
  <si>
    <t>بناو عبد الوهاب</t>
  </si>
  <si>
    <t>عبدالله الحسن تونكارا</t>
  </si>
  <si>
    <t>يانجا إسحاق</t>
  </si>
  <si>
    <t>سعيد خليل كربلي</t>
  </si>
  <si>
    <t>ألفا عمر جالو</t>
  </si>
  <si>
    <t>سياكا تراوري</t>
  </si>
  <si>
    <t>سالم محمد انجاي</t>
  </si>
  <si>
    <t>زكريا إلبودو</t>
  </si>
  <si>
    <t>إدريس جبريل توري</t>
  </si>
  <si>
    <t>ألفا عمر وري جالو</t>
  </si>
  <si>
    <t>أحمد عبد القادر فاي</t>
  </si>
  <si>
    <t>أبوبكر  محمد تونكارا</t>
  </si>
  <si>
    <t>إبراهيم بنغالي سيلا</t>
  </si>
  <si>
    <t>إبرهيم أبوبكر كونتي</t>
  </si>
  <si>
    <t>سيلا يعقوب</t>
  </si>
  <si>
    <t>إبراهيم محمود درامي</t>
  </si>
  <si>
    <t>أبوبكر محمد كمارا</t>
  </si>
  <si>
    <t>الأمين جيري جاتا</t>
  </si>
  <si>
    <t>بشير  شعيب كمارا</t>
  </si>
  <si>
    <t>بشير مانغا</t>
  </si>
  <si>
    <t>الحسين مري ساحو</t>
  </si>
  <si>
    <t>صالح مالا سيدي</t>
  </si>
  <si>
    <t>بلال كوني</t>
  </si>
  <si>
    <t>أمير ركارد نيامبوسي</t>
  </si>
  <si>
    <t>أحمد مجتبى جالو</t>
  </si>
  <si>
    <t>سراقة بحر جابي</t>
  </si>
  <si>
    <t>الحسن سنكارا</t>
  </si>
  <si>
    <t>جبريل شيخ دنفا</t>
  </si>
  <si>
    <t>شعيب عمر درامي</t>
  </si>
  <si>
    <t>رقم التسلسل</t>
  </si>
  <si>
    <t xml:space="preserve">الإسم </t>
  </si>
  <si>
    <t>القرأن الكريم (2)</t>
  </si>
  <si>
    <t>التفسير (1)</t>
  </si>
  <si>
    <t>الفقه (2)</t>
  </si>
  <si>
    <t xml:space="preserve"> الحديث التحليلي (1)</t>
  </si>
  <si>
    <t>روة الحديث (1)</t>
  </si>
  <si>
    <t>مصطلح الحديث (1)</t>
  </si>
  <si>
    <t>النحو (2)</t>
  </si>
  <si>
    <t>الحاسوب (1)</t>
  </si>
  <si>
    <t>English(2)</t>
  </si>
  <si>
    <t>عبد الله المام جكني</t>
  </si>
  <si>
    <t>محمد بن سمبر دكوري</t>
  </si>
  <si>
    <t xml:space="preserve">كيندو محمد </t>
  </si>
  <si>
    <t>عثمان محمد تنكارا</t>
  </si>
  <si>
    <t>فودي بندا سيلا</t>
  </si>
  <si>
    <t>غوث عبد العزيز كوني</t>
  </si>
  <si>
    <t>يعقوب علي جاورا</t>
  </si>
  <si>
    <t>يوسف ديالو</t>
  </si>
  <si>
    <t>عيسى آدم كوني</t>
  </si>
  <si>
    <t>يحيى محمد سيسي</t>
  </si>
  <si>
    <t>عبد الله شيخ كسما</t>
  </si>
  <si>
    <t>عمر الأمين درامي</t>
  </si>
  <si>
    <t>غوث كيمو سيسي</t>
  </si>
  <si>
    <t>مالك داوود كجابي</t>
  </si>
  <si>
    <t>غوث عثمان جاتا</t>
  </si>
  <si>
    <t>علي سليمان جالو</t>
  </si>
  <si>
    <t>عثمان فاكيبا سوني</t>
  </si>
  <si>
    <t>محمد باه</t>
  </si>
  <si>
    <t>محمد شيخ توري</t>
  </si>
  <si>
    <t>غوث إبراهيم كمارا</t>
  </si>
  <si>
    <t>عيسى سعد سيسي</t>
  </si>
  <si>
    <t>هارون كياتي</t>
  </si>
  <si>
    <t>محمد سالو كمارى</t>
  </si>
  <si>
    <t>لاسن صامبا ماني</t>
  </si>
  <si>
    <t>عبد الوهاب نيكيما</t>
  </si>
  <si>
    <t>محمد سمبالا سيلا</t>
  </si>
  <si>
    <t>كواسي يحيى ابن تيمية كوفي</t>
  </si>
  <si>
    <t>محمّد فاضل دمبا</t>
  </si>
  <si>
    <t>محمد مودو وغي</t>
  </si>
  <si>
    <t>عبد الكبير يحيى سيسي</t>
  </si>
  <si>
    <t>عبد الله شريف كجيرا</t>
  </si>
  <si>
    <t>مالا يحيى سيدي</t>
  </si>
  <si>
    <t>يعقوب مختار صوري</t>
  </si>
  <si>
    <t>نغسان كونان دانييل</t>
  </si>
  <si>
    <t>محمد الحمد جامي</t>
  </si>
  <si>
    <t xml:space="preserve">عيسى تنبون دافي </t>
  </si>
  <si>
    <t>عمر جيري جاتا</t>
  </si>
  <si>
    <t>بنت موسى سماري</t>
  </si>
  <si>
    <t>فاطمة صغرى محمد جابي</t>
  </si>
  <si>
    <t xml:space="preserve">عاتقة قطر أنيبل غلمسين </t>
  </si>
  <si>
    <t>أمي بابا جاورا</t>
  </si>
  <si>
    <t>فاطمة شيخ تونكارا</t>
  </si>
  <si>
    <t>رقية يربنغا</t>
  </si>
  <si>
    <t>زينب شيخ أحمد تيجان بلدي</t>
  </si>
  <si>
    <t>عائشة يعقوب توري</t>
  </si>
  <si>
    <t>حبيبة أبو جواري</t>
  </si>
  <si>
    <t>نيما سليمان كبا</t>
  </si>
  <si>
    <t>أيد سليمان جانغوم</t>
  </si>
  <si>
    <t>آمنة الحاج كربلي</t>
  </si>
  <si>
    <t xml:space="preserve">الساعات </t>
  </si>
  <si>
    <t>الوزن</t>
  </si>
  <si>
    <t>الرمز</t>
  </si>
  <si>
    <t>النقاط</t>
  </si>
  <si>
    <t>مجموع النقاط</t>
  </si>
  <si>
    <t>مجموع الساعات</t>
  </si>
  <si>
    <t xml:space="preserve">المعدل الفصلي </t>
  </si>
  <si>
    <t xml:space="preserve">المعدل التراكمي </t>
  </si>
  <si>
    <t>التقدير</t>
  </si>
  <si>
    <t>الترتيب</t>
  </si>
  <si>
    <t>الدرجة</t>
  </si>
  <si>
    <t xml:space="preserve">المعدلة </t>
  </si>
  <si>
    <t xml:space="preserve">رمز المعدلة </t>
  </si>
  <si>
    <t>ه</t>
  </si>
  <si>
    <t>راسب</t>
  </si>
  <si>
    <t>د</t>
  </si>
  <si>
    <t>مقبول</t>
  </si>
  <si>
    <t>د+</t>
  </si>
  <si>
    <t xml:space="preserve">مقبول مرتفع </t>
  </si>
  <si>
    <t>ج</t>
  </si>
  <si>
    <t xml:space="preserve">جيد </t>
  </si>
  <si>
    <t>ج+</t>
  </si>
  <si>
    <t xml:space="preserve">جيد مرتفع </t>
  </si>
  <si>
    <t>ب</t>
  </si>
  <si>
    <t xml:space="preserve">جيد جدا </t>
  </si>
  <si>
    <t>ب+</t>
  </si>
  <si>
    <t>جيد جد مرتفع</t>
  </si>
  <si>
    <t>أ</t>
  </si>
  <si>
    <t xml:space="preserve">ممتاز </t>
  </si>
  <si>
    <t xml:space="preserve">أ+ </t>
  </si>
  <si>
    <t xml:space="preserve">ممتاز مرتفع </t>
  </si>
  <si>
    <t xml:space="preserve">رقم الجامعي </t>
  </si>
  <si>
    <t xml:space="preserve">أسماء الطلبة </t>
  </si>
  <si>
    <t xml:space="preserve">القرآن الكريم  </t>
  </si>
  <si>
    <t xml:space="preserve">كتب السنة  </t>
  </si>
  <si>
    <t xml:space="preserve">أصول الفقه  </t>
  </si>
  <si>
    <t>الفقه (3)</t>
  </si>
  <si>
    <t xml:space="preserve">       الحديث التحليلي (2)</t>
  </si>
  <si>
    <t>رواة الحديث (2)</t>
  </si>
  <si>
    <t xml:space="preserve">     مصطلح الحديث (2)</t>
  </si>
  <si>
    <t>النحو (3)</t>
  </si>
  <si>
    <t xml:space="preserve">دراسات غامبيا </t>
  </si>
  <si>
    <t>English(3)</t>
  </si>
  <si>
    <t>ألفا عمر ووري جالو</t>
  </si>
  <si>
    <t>الحسين مري ساغو</t>
  </si>
  <si>
    <t xml:space="preserve">الساعة </t>
  </si>
  <si>
    <t>الحديث التحليلي</t>
  </si>
  <si>
    <t>مصطلح الحديث</t>
  </si>
  <si>
    <t>كتب السنة2</t>
  </si>
  <si>
    <t xml:space="preserve">       الجرح والتعجيل 1</t>
  </si>
  <si>
    <t xml:space="preserve">     التفسير (2)</t>
  </si>
  <si>
    <t>التوحيد (3)</t>
  </si>
  <si>
    <t>أصول الفقه (2)</t>
  </si>
  <si>
    <t>الفقه 3</t>
  </si>
  <si>
    <t xml:space="preserve">الإنجلزية </t>
  </si>
  <si>
    <t>الساعات</t>
  </si>
  <si>
    <t>القرأن الكريم (1)</t>
  </si>
  <si>
    <t>المدخل إلى علوم القرآن</t>
  </si>
  <si>
    <t>الفقه (1)</t>
  </si>
  <si>
    <t>المدخل إلى الحديث التحليلي</t>
  </si>
  <si>
    <t>تاريخ السنة</t>
  </si>
  <si>
    <t>النحو (1)</t>
  </si>
  <si>
    <t>مناهج البحث</t>
  </si>
  <si>
    <t>التوحيد</t>
  </si>
  <si>
    <t>التحرير العربي</t>
  </si>
  <si>
    <t>التجويد</t>
  </si>
  <si>
    <t>English</t>
  </si>
  <si>
    <t>شيخ كسما تنكارا</t>
  </si>
  <si>
    <t>بكاي بكاي سواري</t>
  </si>
  <si>
    <t>الحسن جيتيد منجا</t>
  </si>
  <si>
    <t>إبراهيم مافو سيسي</t>
  </si>
  <si>
    <t>شعيب محمد سيلا</t>
  </si>
  <si>
    <t>إبراهيم منجا سانيا</t>
  </si>
  <si>
    <t>محمد بن محمد الغزالي سيلا</t>
  </si>
  <si>
    <t>عبد الله شرنو سيدي</t>
  </si>
  <si>
    <t>عيسى محمد دانسو</t>
  </si>
  <si>
    <t>عبد الكريم أنسمان سيسي</t>
  </si>
  <si>
    <t>عائشة محمد تونكارا</t>
  </si>
  <si>
    <t>فاطمة فندي سانيا</t>
  </si>
  <si>
    <t xml:space="preserve">المدخل إلى علوم الحديث </t>
  </si>
  <si>
    <t>مناهج المحدثين (1)</t>
  </si>
  <si>
    <t>اسم الطالب</t>
  </si>
  <si>
    <t xml:space="preserve">المواد </t>
  </si>
  <si>
    <t xml:space="preserve">المستوى الأول </t>
  </si>
  <si>
    <t xml:space="preserve">النقطة </t>
  </si>
  <si>
    <t xml:space="preserve">التقدير </t>
  </si>
  <si>
    <t xml:space="preserve">الدرجة </t>
  </si>
  <si>
    <t>بنت موسى</t>
  </si>
  <si>
    <t>الفقه 4</t>
  </si>
  <si>
    <t xml:space="preserve">كتب السنة3 </t>
  </si>
  <si>
    <t xml:space="preserve">       الجرح والتعجيل2</t>
  </si>
  <si>
    <t xml:space="preserve">السيرة النبوية </t>
  </si>
  <si>
    <t xml:space="preserve">الدعوة الحسبة </t>
  </si>
  <si>
    <t>مصطلح الحديث 3</t>
  </si>
  <si>
    <t xml:space="preserve">الصرف </t>
  </si>
  <si>
    <t>م</t>
  </si>
  <si>
    <t xml:space="preserve">الترتيب </t>
  </si>
  <si>
    <t xml:space="preserve">القرآن الكريم </t>
  </si>
  <si>
    <t xml:space="preserve">الحديث التحليلي </t>
  </si>
  <si>
    <t>كتب السنة3</t>
  </si>
  <si>
    <t>الجرح والتعديل 2</t>
  </si>
  <si>
    <t xml:space="preserve">الدعوة والحسبة </t>
  </si>
  <si>
    <t>الصرف</t>
  </si>
  <si>
    <t>الحـــــديــــث</t>
  </si>
  <si>
    <t>الوزن (م ق)</t>
  </si>
  <si>
    <t>الرمز (م ق)</t>
  </si>
  <si>
    <t>النقاط (م ق)</t>
  </si>
  <si>
    <t>الساعات (م ق)</t>
  </si>
  <si>
    <t>الساعات( م ت)</t>
  </si>
  <si>
    <t>التوحيد 4  ( م ت)</t>
  </si>
  <si>
    <t>الوزن ( م ت)</t>
  </si>
  <si>
    <t>الرمز ( م ت)</t>
  </si>
  <si>
    <t>النقاط ( م ت)</t>
  </si>
  <si>
    <t>الساعات م حت)</t>
  </si>
  <si>
    <t>الساعات (م ف)</t>
  </si>
  <si>
    <t>الوزن (م ف)</t>
  </si>
  <si>
    <t>الرمز (م ف)</t>
  </si>
  <si>
    <t>النقاط (م ف)</t>
  </si>
  <si>
    <t>الساعات(م  ك س)</t>
  </si>
  <si>
    <t>الوزن( م ك س)</t>
  </si>
  <si>
    <t>الرمز(  م ك س)</t>
  </si>
  <si>
    <t>النقاط(م  ك س)</t>
  </si>
  <si>
    <t>الساعات ( م ج ت)</t>
  </si>
  <si>
    <t>الوزن (م  ج ت)</t>
  </si>
  <si>
    <t>الرمز  ( م ج ت)</t>
  </si>
  <si>
    <t>النقاط ( م ج ت)</t>
  </si>
  <si>
    <t>الساعات (م س)</t>
  </si>
  <si>
    <t>الوزن (م س)</t>
  </si>
  <si>
    <t>الرمز (م س)</t>
  </si>
  <si>
    <t>النقاط (م س)</t>
  </si>
  <si>
    <t>الساعات (م ح)</t>
  </si>
  <si>
    <t>الوزن (م ح)</t>
  </si>
  <si>
    <t>الرمز (م ح)</t>
  </si>
  <si>
    <t>النقاط (م ح)</t>
  </si>
  <si>
    <t>الساعات (م ص)</t>
  </si>
  <si>
    <t>الوزن  (م ص)</t>
  </si>
  <si>
    <t>الرمز  (م ص)</t>
  </si>
  <si>
    <t>الساعات (م د ح)</t>
  </si>
  <si>
    <t>الوزن (م د ح)</t>
  </si>
  <si>
    <t>الرمز(م د ح)</t>
  </si>
  <si>
    <t>النقاط(م د ح)</t>
  </si>
  <si>
    <t>النقاط (م ص)</t>
  </si>
  <si>
    <t>الساعات (م ENG)</t>
  </si>
  <si>
    <t>الوزن (م ENG)</t>
  </si>
  <si>
    <t>الرمز (م ENG)</t>
  </si>
  <si>
    <t>النقاط (م ENG)</t>
  </si>
  <si>
    <t>الرقم الجامعي</t>
  </si>
  <si>
    <t>اسم الطالب/ ة</t>
  </si>
  <si>
    <t xml:space="preserve">الكلية </t>
  </si>
  <si>
    <t xml:space="preserve">المستوى </t>
  </si>
  <si>
    <t>الفصل الأول/ 2025-2026</t>
  </si>
  <si>
    <t>المقرر</t>
  </si>
  <si>
    <t xml:space="preserve">الدرجة النهائة </t>
  </si>
  <si>
    <t xml:space="preserve">اسمه </t>
  </si>
  <si>
    <t xml:space="preserve">رمزه </t>
  </si>
  <si>
    <t>ساعته</t>
  </si>
  <si>
    <t>وزنه</t>
  </si>
  <si>
    <t>رمزه</t>
  </si>
  <si>
    <t>المجموع</t>
  </si>
  <si>
    <t>الوزن( م ح ت)</t>
  </si>
  <si>
    <t>الرمز( م ح ت)</t>
  </si>
  <si>
    <t>النقاط( م ح ت)</t>
  </si>
  <si>
    <t xml:space="preserve">المعدل الفصلي   </t>
  </si>
  <si>
    <t xml:space="preserve">الخــــــــامـــــــس </t>
  </si>
  <si>
    <t>قرأ 305</t>
  </si>
  <si>
    <t>عقد 304</t>
  </si>
  <si>
    <t>العقيدة4</t>
  </si>
  <si>
    <t>سنة 304</t>
  </si>
  <si>
    <t>سند 302</t>
  </si>
  <si>
    <t>ترخ 301</t>
  </si>
  <si>
    <t>دعو 301</t>
  </si>
  <si>
    <t>سند 304</t>
  </si>
  <si>
    <t>لغة 301</t>
  </si>
  <si>
    <t>لغة 305</t>
  </si>
  <si>
    <t>فقه 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</si>
</sst>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Sakkal Majalla"/>
    </font>
    <font>
      <b/>
      <sz val="12"/>
      <color theme="1"/>
      <name val="Al Qabas Bold"/>
      <charset val="178"/>
    </font>
    <font>
      <b/>
      <sz val="14"/>
      <color theme="1"/>
      <name val="Sakkal Majalla"/>
    </font>
    <font>
      <sz val="14"/>
      <color theme="1"/>
      <name val="Calibri"/>
      <family val="2"/>
      <scheme val="minor"/>
    </font>
    <font>
      <b/>
      <sz val="24"/>
      <color theme="1"/>
      <name val="Air Strip Arabic"/>
    </font>
    <font>
      <b/>
      <sz val="11"/>
      <name val="Lemonada SemiBold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Simplified Arabic"/>
      <family val="1"/>
    </font>
    <font>
      <b/>
      <sz val="11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0000CC"/>
      <name val="Calibri"/>
      <family val="2"/>
      <scheme val="minor"/>
    </font>
    <font>
      <b/>
      <sz val="11"/>
      <color rgb="FFFF0066"/>
      <name val="Calibri"/>
      <family val="2"/>
      <scheme val="minor"/>
    </font>
    <font>
      <b/>
      <sz val="14"/>
      <color theme="1"/>
      <name val="Air Strip Arabic"/>
    </font>
    <font>
      <b/>
      <sz val="11"/>
      <color theme="1"/>
      <name val="Lemonada SemiBold"/>
    </font>
    <font>
      <b/>
      <sz val="18"/>
      <color theme="1"/>
      <name val="Traditional Arabic"/>
      <family val="1"/>
    </font>
    <font>
      <b/>
      <sz val="14"/>
      <color rgb="FF0033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14"/>
      <color theme="1"/>
      <name val="K Homa"/>
      <charset val="178"/>
    </font>
    <font>
      <sz val="14"/>
      <color theme="1"/>
      <name val="K Homa"/>
      <charset val="178"/>
    </font>
    <font>
      <b/>
      <sz val="14"/>
      <color theme="0"/>
      <name val="K Homa"/>
      <charset val="178"/>
    </font>
    <font>
      <sz val="14"/>
      <name val="K Homa"/>
      <charset val="178"/>
    </font>
    <font>
      <b/>
      <sz val="14"/>
      <color rgb="FFFF3300"/>
      <name val="Calibri"/>
      <family val="2"/>
      <scheme val="minor"/>
    </font>
    <font>
      <b/>
      <sz val="8"/>
      <name val="Lemonada SemiBold"/>
    </font>
    <font>
      <b/>
      <sz val="18"/>
      <color theme="1"/>
      <name val="K Homa"/>
      <charset val="178"/>
    </font>
    <font>
      <sz val="11"/>
      <color theme="1"/>
      <name val="Al-Mohanad Bold"/>
      <family val="1"/>
    </font>
    <font>
      <sz val="14"/>
      <color theme="1"/>
      <name val="Al-Mohanad Bold"/>
      <family val="1"/>
    </font>
    <font>
      <b/>
      <sz val="16"/>
      <color theme="1"/>
      <name val="Al-Mohanad Bold"/>
      <family val="1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Al-Mohanad Bold"/>
      <family val="1"/>
    </font>
    <font>
      <b/>
      <sz val="22"/>
      <color theme="0"/>
      <name val="Calibri Light"/>
      <family val="1"/>
      <scheme val="major"/>
    </font>
    <font>
      <b/>
      <sz val="20"/>
      <color theme="0"/>
      <name val="Aharoni"/>
      <charset val="177"/>
    </font>
    <font>
      <b/>
      <sz val="14"/>
      <name val="Al Qabas Bold"/>
      <charset val="178"/>
    </font>
    <font>
      <b/>
      <sz val="16"/>
      <color rgb="FFC00000"/>
      <name val="Sakkal Majalla"/>
    </font>
    <font>
      <b/>
      <sz val="20"/>
      <name val="Calibri Light"/>
      <family val="1"/>
      <scheme val="major"/>
    </font>
    <font>
      <b/>
      <sz val="18"/>
      <color rgb="FFC00000"/>
      <name val="Sakkal Majalla"/>
    </font>
    <font>
      <b/>
      <sz val="20"/>
      <color rgb="FFC00000"/>
      <name val="Sakkal Majalla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Al-Mohanad Bold"/>
      <family val="1"/>
    </font>
    <font>
      <sz val="14"/>
      <name val="Al Qabas Bold"/>
      <charset val="178"/>
    </font>
    <font>
      <b/>
      <sz val="16"/>
      <name val="Al-Mohanad Bold"/>
      <family val="1"/>
    </font>
    <font>
      <b/>
      <sz val="16"/>
      <color rgb="FFCC0000"/>
      <name val="Sakkal Majalla"/>
    </font>
    <font>
      <sz val="20"/>
      <name val="Calibri Light"/>
      <family val="1"/>
      <scheme val="major"/>
    </font>
    <font>
      <sz val="20"/>
      <name val="Al-Mohanad Bold"/>
      <family val="1"/>
    </font>
    <font>
      <sz val="16"/>
      <name val="Al-Mohanad Bold"/>
      <family val="1"/>
    </font>
    <font>
      <sz val="11"/>
      <color theme="1"/>
      <name val="Al Qabas Bold"/>
      <charset val="178"/>
    </font>
    <font>
      <b/>
      <sz val="18"/>
      <name val="Arabic Typesetting"/>
      <family val="4"/>
    </font>
    <font>
      <sz val="14"/>
      <color theme="0"/>
      <name val="Al Qabas Bold"/>
      <charset val="178"/>
    </font>
    <font>
      <b/>
      <sz val="18"/>
      <color rgb="FF003300"/>
      <name val="Al Qabas Bold"/>
      <charset val="178"/>
    </font>
    <font>
      <b/>
      <sz val="16"/>
      <color rgb="FFC00000"/>
      <name val="Rubik Black"/>
    </font>
    <font>
      <sz val="16"/>
      <color rgb="FF0000CC"/>
      <name val="Rubik Black"/>
    </font>
    <font>
      <b/>
      <sz val="24"/>
      <color rgb="FFC00000"/>
      <name val="Sakkal Majalla"/>
    </font>
    <font>
      <b/>
      <sz val="14"/>
      <color theme="0"/>
      <name val="Air Strip Arabic"/>
    </font>
    <font>
      <b/>
      <sz val="18"/>
      <color theme="0"/>
      <name val="Simplified Arabic"/>
      <family val="1"/>
    </font>
  </fonts>
  <fills count="25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CC33"/>
      </left>
      <right/>
      <top style="thin">
        <color rgb="FF33CC33"/>
      </top>
      <bottom style="thin">
        <color rgb="FF33CC33"/>
      </bottom>
      <diagonal/>
    </border>
    <border>
      <left/>
      <right/>
      <top style="thin">
        <color rgb="FF33CC33"/>
      </top>
      <bottom style="thin">
        <color rgb="FF33CC33"/>
      </bottom>
      <diagonal/>
    </border>
    <border>
      <left/>
      <right style="thin">
        <color rgb="FF33CC33"/>
      </right>
      <top style="thin">
        <color rgb="FF33CC33"/>
      </top>
      <bottom style="thin">
        <color rgb="FF33CC3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3CC33"/>
      </left>
      <right/>
      <top style="thin">
        <color rgb="FF33CC33"/>
      </top>
      <bottom style="medium">
        <color indexed="64"/>
      </bottom>
      <diagonal/>
    </border>
    <border>
      <left/>
      <right/>
      <top style="thin">
        <color rgb="FF33CC33"/>
      </top>
      <bottom style="medium">
        <color indexed="64"/>
      </bottom>
      <diagonal/>
    </border>
    <border>
      <left/>
      <right style="thin">
        <color rgb="FF33CC33"/>
      </right>
      <top style="thin">
        <color rgb="FF33CC33"/>
      </top>
      <bottom style="medium">
        <color indexed="64"/>
      </bottom>
      <diagonal/>
    </border>
    <border>
      <left style="thin">
        <color rgb="FF33CC33"/>
      </left>
      <right/>
      <top style="thin">
        <color rgb="FF33CC33"/>
      </top>
      <bottom/>
      <diagonal/>
    </border>
    <border>
      <left/>
      <right/>
      <top style="thin">
        <color rgb="FF33CC33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7" fillId="5" borderId="1" xfId="0" applyFont="1" applyFill="1" applyBorder="1" applyAlignment="1">
      <alignment horizontal="center" vertical="center" textRotation="90" shrinkToFit="1"/>
    </xf>
    <xf numFmtId="0" fontId="7" fillId="6" borderId="1" xfId="0" applyFont="1" applyFill="1" applyBorder="1" applyAlignment="1">
      <alignment horizontal="center" vertical="center" textRotation="90" shrinkToFit="1"/>
    </xf>
    <xf numFmtId="0" fontId="9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textRotation="90"/>
    </xf>
    <xf numFmtId="0" fontId="10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textRotation="90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15" fillId="10" borderId="1" xfId="0" applyFont="1" applyFill="1" applyBorder="1" applyAlignment="1">
      <alignment horizontal="center" vertical="center" textRotation="90"/>
    </xf>
    <xf numFmtId="0" fontId="3" fillId="11" borderId="1" xfId="0" applyFont="1" applyFill="1" applyBorder="1" applyAlignment="1">
      <alignment horizontal="center" vertical="center" textRotation="90"/>
    </xf>
    <xf numFmtId="0" fontId="3" fillId="12" borderId="1" xfId="0" applyFont="1" applyFill="1" applyBorder="1" applyAlignment="1">
      <alignment horizontal="center" vertical="center" textRotation="90"/>
    </xf>
    <xf numFmtId="0" fontId="3" fillId="13" borderId="1" xfId="0" applyFont="1" applyFill="1" applyBorder="1" applyAlignment="1">
      <alignment horizontal="center" vertical="center" textRotation="90"/>
    </xf>
    <xf numFmtId="0" fontId="9" fillId="13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 textRotation="90" shrinkToFit="1"/>
    </xf>
    <xf numFmtId="0" fontId="9" fillId="14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textRotation="90" shrinkToFit="1"/>
    </xf>
    <xf numFmtId="0" fontId="16" fillId="8" borderId="1" xfId="0" applyFont="1" applyFill="1" applyBorder="1" applyAlignment="1">
      <alignment horizontal="center" vertical="center" textRotation="90" shrinkToFit="1"/>
    </xf>
    <xf numFmtId="0" fontId="18" fillId="8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90"/>
    </xf>
    <xf numFmtId="0" fontId="23" fillId="0" borderId="0" xfId="0" applyFont="1"/>
    <xf numFmtId="0" fontId="24" fillId="15" borderId="1" xfId="0" applyFont="1" applyFill="1" applyBorder="1" applyAlignment="1">
      <alignment horizontal="center" vertical="center" textRotation="90"/>
    </xf>
    <xf numFmtId="0" fontId="24" fillId="15" borderId="1" xfId="0" applyFont="1" applyFill="1" applyBorder="1" applyAlignment="1">
      <alignment horizontal="center" vertical="center"/>
    </xf>
    <xf numFmtId="0" fontId="25" fillId="8" borderId="0" xfId="0" applyFont="1" applyFill="1"/>
    <xf numFmtId="0" fontId="16" fillId="16" borderId="1" xfId="0" applyFont="1" applyFill="1" applyBorder="1" applyAlignment="1">
      <alignment horizontal="center" vertical="center" textRotation="90" shrinkToFit="1"/>
    </xf>
    <xf numFmtId="0" fontId="21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26" fillId="16" borderId="1" xfId="0" applyFont="1" applyFill="1" applyBorder="1" applyAlignment="1">
      <alignment horizontal="center" vertical="center"/>
    </xf>
    <xf numFmtId="0" fontId="27" fillId="16" borderId="1" xfId="0" applyFont="1" applyFill="1" applyBorder="1" applyAlignment="1">
      <alignment horizontal="center" vertical="center"/>
    </xf>
    <xf numFmtId="2" fontId="18" fillId="16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right"/>
    </xf>
    <xf numFmtId="0" fontId="28" fillId="0" borderId="1" xfId="0" applyFont="1" applyBorder="1" applyAlignment="1">
      <alignment horizontal="center" vertical="center" textRotation="90"/>
    </xf>
    <xf numFmtId="2" fontId="0" fillId="0" borderId="0" xfId="0" applyNumberFormat="1"/>
    <xf numFmtId="2" fontId="3" fillId="11" borderId="1" xfId="0" applyNumberFormat="1" applyFont="1" applyFill="1" applyBorder="1" applyAlignment="1">
      <alignment horizontal="center" vertical="center" textRotation="90"/>
    </xf>
    <xf numFmtId="2" fontId="9" fillId="11" borderId="1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 textRotation="90" wrapText="1"/>
    </xf>
    <xf numFmtId="0" fontId="9" fillId="13" borderId="0" xfId="0" applyFont="1" applyFill="1" applyAlignment="1">
      <alignment horizontal="center" vertical="center"/>
    </xf>
    <xf numFmtId="0" fontId="31" fillId="0" borderId="1" xfId="0" applyFont="1" applyBorder="1" applyAlignment="1">
      <alignment horizontal="right" shrinkToFit="1"/>
    </xf>
    <xf numFmtId="0" fontId="16" fillId="17" borderId="1" xfId="0" applyFont="1" applyFill="1" applyBorder="1" applyAlignment="1">
      <alignment horizontal="center" vertical="center" textRotation="90" shrinkToFit="1"/>
    </xf>
    <xf numFmtId="0" fontId="21" fillId="17" borderId="1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/>
    </xf>
    <xf numFmtId="2" fontId="18" fillId="17" borderId="1" xfId="0" applyNumberFormat="1" applyFont="1" applyFill="1" applyBorder="1" applyAlignment="1">
      <alignment horizontal="center" vertical="center"/>
    </xf>
    <xf numFmtId="0" fontId="0" fillId="17" borderId="1" xfId="0" applyFill="1" applyBorder="1"/>
    <xf numFmtId="0" fontId="27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2" fontId="21" fillId="14" borderId="1" xfId="0" applyNumberFormat="1" applyFont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1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2" fontId="0" fillId="14" borderId="1" xfId="0" applyNumberFormat="1" applyFill="1" applyBorder="1"/>
    <xf numFmtId="0" fontId="39" fillId="0" borderId="10" xfId="0" applyFont="1" applyBorder="1" applyAlignment="1">
      <alignment horizontal="right" vertical="top"/>
    </xf>
    <xf numFmtId="0" fontId="39" fillId="0" borderId="1" xfId="0" applyFont="1" applyBorder="1" applyAlignment="1">
      <alignment horizontal="right" vertical="top"/>
    </xf>
    <xf numFmtId="0" fontId="40" fillId="19" borderId="10" xfId="0" applyFont="1" applyFill="1" applyBorder="1" applyAlignment="1">
      <alignment horizontal="center" vertical="center"/>
    </xf>
    <xf numFmtId="2" fontId="9" fillId="16" borderId="1" xfId="0" applyNumberFormat="1" applyFont="1" applyFill="1" applyBorder="1" applyAlignment="1">
      <alignment horizontal="center" vertical="center"/>
    </xf>
    <xf numFmtId="2" fontId="43" fillId="16" borderId="1" xfId="0" applyNumberFormat="1" applyFont="1" applyFill="1" applyBorder="1" applyAlignment="1">
      <alignment horizontal="center"/>
    </xf>
    <xf numFmtId="0" fontId="31" fillId="9" borderId="1" xfId="0" applyFont="1" applyFill="1" applyBorder="1" applyAlignment="1">
      <alignment horizontal="center" vertical="center" textRotation="90" wrapText="1"/>
    </xf>
    <xf numFmtId="0" fontId="3" fillId="16" borderId="1" xfId="0" applyFont="1" applyFill="1" applyBorder="1" applyAlignment="1">
      <alignment horizontal="center" vertical="center" textRotation="90"/>
    </xf>
    <xf numFmtId="0" fontId="3" fillId="23" borderId="1" xfId="0" applyFont="1" applyFill="1" applyBorder="1" applyAlignment="1">
      <alignment horizontal="center" vertical="center" textRotation="90"/>
    </xf>
    <xf numFmtId="0" fontId="9" fillId="9" borderId="1" xfId="0" applyFont="1" applyFill="1" applyBorder="1" applyAlignment="1">
      <alignment horizontal="center" vertical="center" textRotation="90"/>
    </xf>
    <xf numFmtId="0" fontId="48" fillId="0" borderId="10" xfId="0" applyFont="1" applyBorder="1" applyAlignment="1">
      <alignment horizontal="center" vertical="center"/>
    </xf>
    <xf numFmtId="0" fontId="49" fillId="19" borderId="10" xfId="0" applyFon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0" fontId="49" fillId="21" borderId="10" xfId="0" applyFont="1" applyFill="1" applyBorder="1" applyAlignment="1">
      <alignment horizontal="center" vertical="center"/>
    </xf>
    <xf numFmtId="0" fontId="50" fillId="21" borderId="18" xfId="0" applyFont="1" applyFill="1" applyBorder="1"/>
    <xf numFmtId="0" fontId="51" fillId="21" borderId="1" xfId="0" applyFont="1" applyFill="1" applyBorder="1" applyAlignment="1">
      <alignment horizontal="center"/>
    </xf>
    <xf numFmtId="0" fontId="51" fillId="21" borderId="1" xfId="0" applyFont="1" applyFill="1" applyBorder="1" applyAlignment="1">
      <alignment horizontal="center" vertical="center"/>
    </xf>
    <xf numFmtId="0" fontId="50" fillId="21" borderId="1" xfId="0" applyFont="1" applyFill="1" applyBorder="1" applyAlignment="1">
      <alignment horizontal="center"/>
    </xf>
    <xf numFmtId="0" fontId="52" fillId="21" borderId="1" xfId="0" applyFont="1" applyFill="1" applyBorder="1" applyAlignment="1">
      <alignment horizontal="center"/>
    </xf>
    <xf numFmtId="0" fontId="9" fillId="0" borderId="32" xfId="0" applyFont="1" applyBorder="1" applyAlignment="1">
      <alignment horizontal="center" vertical="center"/>
    </xf>
    <xf numFmtId="0" fontId="31" fillId="0" borderId="14" xfId="0" applyFont="1" applyBorder="1" applyAlignment="1">
      <alignment horizontal="right" shrinkToFit="1"/>
    </xf>
    <xf numFmtId="0" fontId="9" fillId="16" borderId="13" xfId="0" applyFont="1" applyFill="1" applyBorder="1" applyAlignment="1">
      <alignment horizontal="center" vertical="center"/>
    </xf>
    <xf numFmtId="0" fontId="31" fillId="0" borderId="37" xfId="0" applyFont="1" applyBorder="1" applyAlignment="1">
      <alignment horizontal="right" vertical="center" shrinkToFit="1"/>
    </xf>
    <xf numFmtId="0" fontId="31" fillId="0" borderId="10" xfId="0" applyFont="1" applyBorder="1" applyAlignment="1">
      <alignment horizontal="center" vertical="center" shrinkToFit="1"/>
    </xf>
    <xf numFmtId="0" fontId="24" fillId="15" borderId="10" xfId="0" applyFont="1" applyFill="1" applyBorder="1" applyAlignment="1">
      <alignment horizontal="center" vertical="center" textRotation="90"/>
    </xf>
    <xf numFmtId="2" fontId="3" fillId="11" borderId="10" xfId="0" applyNumberFormat="1" applyFont="1" applyFill="1" applyBorder="1" applyAlignment="1">
      <alignment horizontal="center" vertical="center" textRotation="90"/>
    </xf>
    <xf numFmtId="0" fontId="3" fillId="12" borderId="10" xfId="0" applyFont="1" applyFill="1" applyBorder="1" applyAlignment="1">
      <alignment horizontal="center" vertical="center" textRotation="90"/>
    </xf>
    <xf numFmtId="0" fontId="3" fillId="13" borderId="10" xfId="0" applyFont="1" applyFill="1" applyBorder="1" applyAlignment="1">
      <alignment horizontal="center" vertical="center" textRotation="90"/>
    </xf>
    <xf numFmtId="0" fontId="9" fillId="0" borderId="10" xfId="0" applyFont="1" applyBorder="1" applyAlignment="1">
      <alignment horizontal="center" vertical="center" textRotation="90"/>
    </xf>
    <xf numFmtId="0" fontId="16" fillId="16" borderId="10" xfId="0" applyFont="1" applyFill="1" applyBorder="1" applyAlignment="1">
      <alignment horizontal="center" vertical="center" textRotation="90" shrinkToFit="1"/>
    </xf>
    <xf numFmtId="0" fontId="16" fillId="16" borderId="33" xfId="0" applyFont="1" applyFill="1" applyBorder="1" applyAlignment="1">
      <alignment horizontal="center" vertical="center" textRotation="90" shrinkToFit="1"/>
    </xf>
    <xf numFmtId="0" fontId="31" fillId="0" borderId="38" xfId="0" applyFont="1" applyBorder="1" applyAlignment="1">
      <alignment horizontal="right" shrinkToFit="1"/>
    </xf>
    <xf numFmtId="0" fontId="31" fillId="0" borderId="28" xfId="0" applyFont="1" applyBorder="1" applyAlignment="1">
      <alignment horizontal="right" shrinkToFit="1"/>
    </xf>
    <xf numFmtId="0" fontId="24" fillId="15" borderId="28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2" fontId="9" fillId="11" borderId="28" xfId="0" applyNumberFormat="1" applyFont="1" applyFill="1" applyBorder="1" applyAlignment="1">
      <alignment horizontal="center" vertical="center"/>
    </xf>
    <xf numFmtId="0" fontId="17" fillId="12" borderId="28" xfId="0" applyFont="1" applyFill="1" applyBorder="1" applyAlignment="1">
      <alignment horizontal="center" vertical="center"/>
    </xf>
    <xf numFmtId="0" fontId="9" fillId="13" borderId="28" xfId="0" applyFont="1" applyFill="1" applyBorder="1" applyAlignment="1">
      <alignment horizontal="center" vertical="center"/>
    </xf>
    <xf numFmtId="0" fontId="21" fillId="16" borderId="28" xfId="0" applyFont="1" applyFill="1" applyBorder="1" applyAlignment="1">
      <alignment horizontal="center" vertical="center"/>
    </xf>
    <xf numFmtId="0" fontId="26" fillId="16" borderId="28" xfId="0" applyFont="1" applyFill="1" applyBorder="1" applyAlignment="1">
      <alignment horizontal="center" vertical="center"/>
    </xf>
    <xf numFmtId="2" fontId="18" fillId="16" borderId="28" xfId="0" applyNumberFormat="1" applyFont="1" applyFill="1" applyBorder="1" applyAlignment="1">
      <alignment horizontal="center" vertical="center"/>
    </xf>
    <xf numFmtId="2" fontId="43" fillId="16" borderId="28" xfId="0" applyNumberFormat="1" applyFont="1" applyFill="1" applyBorder="1" applyAlignment="1">
      <alignment horizontal="center"/>
    </xf>
    <xf numFmtId="0" fontId="27" fillId="16" borderId="28" xfId="0" applyFont="1" applyFill="1" applyBorder="1" applyAlignment="1">
      <alignment horizontal="center" vertical="center"/>
    </xf>
    <xf numFmtId="0" fontId="9" fillId="16" borderId="11" xfId="0" applyFont="1" applyFill="1" applyBorder="1" applyAlignment="1">
      <alignment horizontal="center" vertical="center"/>
    </xf>
    <xf numFmtId="0" fontId="42" fillId="22" borderId="35" xfId="0" applyFont="1" applyFill="1" applyBorder="1" applyAlignment="1">
      <alignment horizontal="center" vertical="center"/>
    </xf>
    <xf numFmtId="0" fontId="41" fillId="22" borderId="8" xfId="0" applyFont="1" applyFill="1" applyBorder="1" applyAlignment="1">
      <alignment vertical="center"/>
    </xf>
    <xf numFmtId="2" fontId="42" fillId="22" borderId="36" xfId="0" applyNumberFormat="1" applyFont="1" applyFill="1" applyBorder="1" applyAlignment="1">
      <alignment horizontal="center" vertical="center"/>
    </xf>
    <xf numFmtId="0" fontId="53" fillId="13" borderId="10" xfId="0" applyFont="1" applyFill="1" applyBorder="1" applyAlignment="1">
      <alignment horizontal="center"/>
    </xf>
    <xf numFmtId="0" fontId="53" fillId="13" borderId="10" xfId="0" applyFont="1" applyFill="1" applyBorder="1" applyAlignment="1">
      <alignment horizontal="center" vertical="center"/>
    </xf>
    <xf numFmtId="164" fontId="49" fillId="16" borderId="10" xfId="0" applyNumberFormat="1" applyFont="1" applyFill="1" applyBorder="1" applyAlignment="1">
      <alignment horizontal="center" vertical="center"/>
    </xf>
    <xf numFmtId="0" fontId="49" fillId="16" borderId="10" xfId="0" applyFont="1" applyFill="1" applyBorder="1" applyAlignment="1">
      <alignment horizontal="center" vertical="center"/>
    </xf>
    <xf numFmtId="0" fontId="9" fillId="24" borderId="10" xfId="0" applyFont="1" applyFill="1" applyBorder="1" applyAlignment="1">
      <alignment horizontal="center" vertical="center" textRotation="90"/>
    </xf>
    <xf numFmtId="0" fontId="19" fillId="8" borderId="10" xfId="0" applyFont="1" applyFill="1" applyBorder="1" applyAlignment="1">
      <alignment horizontal="center" vertical="center" textRotation="90"/>
    </xf>
    <xf numFmtId="0" fontId="59" fillId="18" borderId="2" xfId="0" applyFont="1" applyFill="1" applyBorder="1" applyAlignment="1">
      <alignment horizontal="center" vertical="center"/>
    </xf>
    <xf numFmtId="0" fontId="59" fillId="18" borderId="3" xfId="0" applyFont="1" applyFill="1" applyBorder="1" applyAlignment="1">
      <alignment horizontal="center" vertical="center"/>
    </xf>
    <xf numFmtId="0" fontId="59" fillId="18" borderId="4" xfId="0" applyFont="1" applyFill="1" applyBorder="1" applyAlignment="1">
      <alignment horizontal="center" vertical="center"/>
    </xf>
    <xf numFmtId="0" fontId="36" fillId="18" borderId="2" xfId="0" applyFont="1" applyFill="1" applyBorder="1" applyAlignment="1">
      <alignment horizontal="center" vertical="center"/>
    </xf>
    <xf numFmtId="0" fontId="36" fillId="18" borderId="3" xfId="0" applyFont="1" applyFill="1" applyBorder="1" applyAlignment="1">
      <alignment horizontal="center" vertical="center"/>
    </xf>
    <xf numFmtId="0" fontId="60" fillId="18" borderId="2" xfId="0" applyFont="1" applyFill="1" applyBorder="1" applyAlignment="1">
      <alignment horizontal="center" vertical="center"/>
    </xf>
    <xf numFmtId="0" fontId="60" fillId="18" borderId="3" xfId="0" applyFont="1" applyFill="1" applyBorder="1" applyAlignment="1">
      <alignment horizontal="center" vertical="center"/>
    </xf>
    <xf numFmtId="0" fontId="37" fillId="18" borderId="2" xfId="0" applyFont="1" applyFill="1" applyBorder="1" applyAlignment="1">
      <alignment horizontal="center" vertical="center"/>
    </xf>
    <xf numFmtId="0" fontId="37" fillId="18" borderId="3" xfId="0" applyFont="1" applyFill="1" applyBorder="1" applyAlignment="1">
      <alignment horizontal="center" vertical="center"/>
    </xf>
    <xf numFmtId="0" fontId="41" fillId="22" borderId="7" xfId="0" applyFont="1" applyFill="1" applyBorder="1" applyAlignment="1">
      <alignment horizontal="center" vertical="top"/>
    </xf>
    <xf numFmtId="0" fontId="41" fillId="22" borderId="8" xfId="0" applyFont="1" applyFill="1" applyBorder="1" applyAlignment="1">
      <alignment horizontal="center" vertical="top"/>
    </xf>
    <xf numFmtId="0" fontId="41" fillId="22" borderId="34" xfId="0" applyFont="1" applyFill="1" applyBorder="1" applyAlignment="1">
      <alignment horizontal="center" vertical="top"/>
    </xf>
    <xf numFmtId="0" fontId="59" fillId="18" borderId="21" xfId="0" applyFont="1" applyFill="1" applyBorder="1" applyAlignment="1">
      <alignment horizontal="center" vertical="center"/>
    </xf>
    <xf numFmtId="0" fontId="59" fillId="18" borderId="22" xfId="0" applyFont="1" applyFill="1" applyBorder="1" applyAlignment="1">
      <alignment horizontal="center" vertical="center"/>
    </xf>
    <xf numFmtId="0" fontId="59" fillId="18" borderId="23" xfId="0" applyFont="1" applyFill="1" applyBorder="1" applyAlignment="1">
      <alignment horizontal="center" vertical="center"/>
    </xf>
    <xf numFmtId="0" fontId="54" fillId="18" borderId="24" xfId="0" applyFont="1" applyFill="1" applyBorder="1" applyAlignment="1">
      <alignment horizontal="center" vertical="center"/>
    </xf>
    <xf numFmtId="0" fontId="54" fillId="18" borderId="25" xfId="0" applyFont="1" applyFill="1" applyBorder="1" applyAlignment="1">
      <alignment horizontal="center" vertical="center"/>
    </xf>
    <xf numFmtId="0" fontId="44" fillId="21" borderId="26" xfId="0" applyFont="1" applyFill="1" applyBorder="1" applyAlignment="1">
      <alignment horizontal="center" vertical="center"/>
    </xf>
    <xf numFmtId="0" fontId="44" fillId="21" borderId="27" xfId="0" applyFont="1" applyFill="1" applyBorder="1" applyAlignment="1">
      <alignment horizontal="center" vertical="center"/>
    </xf>
    <xf numFmtId="0" fontId="44" fillId="21" borderId="30" xfId="0" applyFont="1" applyFill="1" applyBorder="1" applyAlignment="1">
      <alignment horizontal="center" vertical="center"/>
    </xf>
    <xf numFmtId="0" fontId="38" fillId="21" borderId="5" xfId="0" applyFont="1" applyFill="1" applyBorder="1" applyAlignment="1">
      <alignment horizontal="center" vertical="center"/>
    </xf>
    <xf numFmtId="0" fontId="38" fillId="21" borderId="6" xfId="0" applyFont="1" applyFill="1" applyBorder="1" applyAlignment="1">
      <alignment horizontal="center" vertical="center"/>
    </xf>
    <xf numFmtId="0" fontId="47" fillId="21" borderId="15" xfId="0" applyFont="1" applyFill="1" applyBorder="1" applyAlignment="1">
      <alignment horizontal="center" vertical="center"/>
    </xf>
    <xf numFmtId="0" fontId="47" fillId="21" borderId="13" xfId="0" applyFont="1" applyFill="1" applyBorder="1" applyAlignment="1">
      <alignment horizontal="center" vertical="center"/>
    </xf>
    <xf numFmtId="0" fontId="46" fillId="21" borderId="28" xfId="0" applyFont="1" applyFill="1" applyBorder="1" applyAlignment="1">
      <alignment horizontal="center" vertical="center" wrapText="1"/>
    </xf>
    <xf numFmtId="0" fontId="46" fillId="21" borderId="10" xfId="0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horizontal="center" vertical="center"/>
    </xf>
    <xf numFmtId="0" fontId="45" fillId="21" borderId="29" xfId="0" applyFont="1" applyFill="1" applyBorder="1" applyAlignment="1">
      <alignment horizontal="center" vertical="center"/>
    </xf>
    <xf numFmtId="0" fontId="45" fillId="21" borderId="31" xfId="0" applyFont="1" applyFill="1" applyBorder="1" applyAlignment="1">
      <alignment horizontal="center" vertical="center"/>
    </xf>
    <xf numFmtId="0" fontId="58" fillId="22" borderId="9" xfId="0" applyFont="1" applyFill="1" applyBorder="1" applyAlignment="1">
      <alignment horizontal="center" vertical="center"/>
    </xf>
    <xf numFmtId="0" fontId="58" fillId="22" borderId="19" xfId="0" applyFont="1" applyFill="1" applyBorder="1" applyAlignment="1">
      <alignment horizontal="center" vertical="center"/>
    </xf>
    <xf numFmtId="0" fontId="58" fillId="22" borderId="20" xfId="0" applyFont="1" applyFill="1" applyBorder="1" applyAlignment="1">
      <alignment horizontal="center" vertical="center"/>
    </xf>
    <xf numFmtId="0" fontId="41" fillId="22" borderId="12" xfId="0" applyFont="1" applyFill="1" applyBorder="1" applyAlignment="1">
      <alignment horizontal="right" vertical="top"/>
    </xf>
    <xf numFmtId="0" fontId="41" fillId="22" borderId="15" xfId="0" applyFont="1" applyFill="1" applyBorder="1" applyAlignment="1">
      <alignment horizontal="right" vertical="top"/>
    </xf>
    <xf numFmtId="0" fontId="41" fillId="22" borderId="13" xfId="0" applyFont="1" applyFill="1" applyBorder="1" applyAlignment="1">
      <alignment horizontal="right" vertical="top"/>
    </xf>
    <xf numFmtId="0" fontId="41" fillId="22" borderId="12" xfId="0" applyFont="1" applyFill="1" applyBorder="1" applyAlignment="1">
      <alignment vertical="top"/>
    </xf>
    <xf numFmtId="0" fontId="41" fillId="22" borderId="15" xfId="0" applyFont="1" applyFill="1" applyBorder="1" applyAlignment="1">
      <alignment vertical="top"/>
    </xf>
    <xf numFmtId="0" fontId="41" fillId="22" borderId="13" xfId="0" applyFont="1" applyFill="1" applyBorder="1" applyAlignment="1">
      <alignment vertical="top"/>
    </xf>
    <xf numFmtId="0" fontId="41" fillId="22" borderId="17" xfId="0" applyFont="1" applyFill="1" applyBorder="1" applyAlignment="1">
      <alignment horizontal="right" vertical="top"/>
    </xf>
    <xf numFmtId="0" fontId="41" fillId="22" borderId="19" xfId="0" applyFont="1" applyFill="1" applyBorder="1" applyAlignment="1">
      <alignment horizontal="right" vertical="top"/>
    </xf>
    <xf numFmtId="0" fontId="41" fillId="22" borderId="18" xfId="0" applyFont="1" applyFill="1" applyBorder="1" applyAlignment="1">
      <alignment horizontal="right" vertical="top"/>
    </xf>
    <xf numFmtId="2" fontId="56" fillId="22" borderId="14" xfId="0" applyNumberFormat="1" applyFont="1" applyFill="1" applyBorder="1" applyAlignment="1">
      <alignment horizontal="center"/>
    </xf>
    <xf numFmtId="2" fontId="56" fillId="22" borderId="15" xfId="0" applyNumberFormat="1" applyFont="1" applyFill="1" applyBorder="1" applyAlignment="1">
      <alignment horizontal="center"/>
    </xf>
    <xf numFmtId="2" fontId="56" fillId="22" borderId="16" xfId="0" applyNumberFormat="1" applyFont="1" applyFill="1" applyBorder="1" applyAlignment="1">
      <alignment horizontal="center"/>
    </xf>
    <xf numFmtId="2" fontId="57" fillId="22" borderId="14" xfId="0" applyNumberFormat="1" applyFont="1" applyFill="1" applyBorder="1" applyAlignment="1">
      <alignment horizontal="center" vertical="top"/>
    </xf>
    <xf numFmtId="2" fontId="57" fillId="22" borderId="15" xfId="0" applyNumberFormat="1" applyFont="1" applyFill="1" applyBorder="1" applyAlignment="1">
      <alignment horizontal="center" vertical="top"/>
    </xf>
    <xf numFmtId="2" fontId="57" fillId="22" borderId="16" xfId="0" applyNumberFormat="1" applyFont="1" applyFill="1" applyBorder="1" applyAlignment="1">
      <alignment horizontal="center" vertical="top"/>
    </xf>
    <xf numFmtId="2" fontId="55" fillId="22" borderId="14" xfId="0" applyNumberFormat="1" applyFont="1" applyFill="1" applyBorder="1" applyAlignment="1">
      <alignment horizontal="center" vertical="top"/>
    </xf>
    <xf numFmtId="2" fontId="55" fillId="22" borderId="15" xfId="0" applyNumberFormat="1" applyFont="1" applyFill="1" applyBorder="1" applyAlignment="1">
      <alignment horizontal="center" vertical="top"/>
    </xf>
    <xf numFmtId="2" fontId="55" fillId="22" borderId="16" xfId="0" applyNumberFormat="1" applyFont="1" applyFill="1" applyBorder="1" applyAlignment="1">
      <alignment horizontal="center" vertical="top"/>
    </xf>
  </cellXfs>
  <cellStyles count="1">
    <cellStyle name="عادي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Lemonada SemiBold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3300"/>
        <name val="Arial"/>
        <family val="2"/>
        <scheme val="minor"/>
      </font>
      <numFmt numFmtId="2" formatCode="0.0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3300"/>
        <name val="Arial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CC"/>
        <name val="Arial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K Homa"/>
        <charset val="178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K Homa"/>
        <charset val="178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K Homa"/>
        <charset val="178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K Homa"/>
        <charset val="178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K Homa"/>
        <charset val="178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K Homa"/>
        <charset val="178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K Homa"/>
        <charset val="178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K Homa"/>
        <charset val="178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K Homa"/>
        <charset val="178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K Homa"/>
        <charset val="178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raditional Arabic"/>
        <family val="1"/>
        <scheme val="none"/>
      </font>
      <fill>
        <patternFill patternType="solid">
          <fgColor indexed="64"/>
          <bgColor rgb="FFFFCC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K Homa"/>
        <charset val="178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l-Mohanad Bold"/>
        <family val="1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l-Mohanad Bold"/>
        <family val="1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emonada SemiBold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9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3300"/>
      <color rgb="FFCCCC00"/>
      <color rgb="FF0000FF"/>
      <color rgb="FFFFFF00"/>
      <color rgb="FF008000"/>
      <color rgb="FF0000CC"/>
      <color rgb="FFFF0000"/>
      <color rgb="FF33CC33"/>
      <color rgb="FF006600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27</xdr:row>
      <xdr:rowOff>0</xdr:rowOff>
    </xdr:from>
    <xdr:to>
      <xdr:col>7</xdr:col>
      <xdr:colOff>609600</xdr:colOff>
      <xdr:row>28</xdr:row>
      <xdr:rowOff>160020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F52FA50A-873C-4397-A6FF-254CC2608E28}"/>
            </a:ext>
          </a:extLst>
        </xdr:cNvPr>
        <xdr:cNvSpPr txBox="1"/>
      </xdr:nvSpPr>
      <xdr:spPr>
        <a:xfrm>
          <a:off x="11230737000" y="8168640"/>
          <a:ext cx="166878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توقيع مدير الامتحانات </a:t>
          </a:r>
        </a:p>
      </xdr:txBody>
    </xdr:sp>
    <xdr:clientData/>
  </xdr:twoCellAnchor>
  <xdr:twoCellAnchor>
    <xdr:from>
      <xdr:col>0</xdr:col>
      <xdr:colOff>15240</xdr:colOff>
      <xdr:row>0</xdr:row>
      <xdr:rowOff>7620</xdr:rowOff>
    </xdr:from>
    <xdr:to>
      <xdr:col>8</xdr:col>
      <xdr:colOff>0</xdr:colOff>
      <xdr:row>4</xdr:row>
      <xdr:rowOff>0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C0732B11-6B30-4BEA-8540-212E58BD405A}"/>
            </a:ext>
          </a:extLst>
        </xdr:cNvPr>
        <xdr:cNvSpPr txBox="1"/>
      </xdr:nvSpPr>
      <xdr:spPr>
        <a:xfrm>
          <a:off x="10190784800" y="7620"/>
          <a:ext cx="5839460" cy="72898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ar-SA" sz="2400" b="1">
              <a:solidFill>
                <a:schemeClr val="bg1"/>
              </a:solidFill>
            </a:rPr>
            <a:t>                                                      </a:t>
          </a:r>
          <a:endParaRPr lang="ar-SA" sz="2400" b="1">
            <a:solidFill>
              <a:schemeClr val="bg1"/>
            </a:solidFill>
            <a:latin typeface="Al Qabas Bold" panose="00000800000000000000" pitchFamily="2" charset="-78"/>
            <a:cs typeface="Al Qabas Bold" panose="00000800000000000000" pitchFamily="2" charset="-78"/>
          </a:endParaRPr>
        </a:p>
      </xdr:txBody>
    </xdr:sp>
    <xdr:clientData/>
  </xdr:twoCellAnchor>
  <xdr:twoCellAnchor>
    <xdr:from>
      <xdr:col>0</xdr:col>
      <xdr:colOff>0</xdr:colOff>
      <xdr:row>27</xdr:row>
      <xdr:rowOff>0</xdr:rowOff>
    </xdr:from>
    <xdr:to>
      <xdr:col>1</xdr:col>
      <xdr:colOff>1264920</xdr:colOff>
      <xdr:row>28</xdr:row>
      <xdr:rowOff>167640</xdr:rowOff>
    </xdr:to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7FDF70D7-FBDD-4AE6-811B-F97C65905CCC}"/>
            </a:ext>
          </a:extLst>
        </xdr:cNvPr>
        <xdr:cNvSpPr txBox="1"/>
      </xdr:nvSpPr>
      <xdr:spPr>
        <a:xfrm>
          <a:off x="11234912760" y="8168640"/>
          <a:ext cx="19507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توقيع مدير الجامعة  </a:t>
          </a:r>
        </a:p>
      </xdr:txBody>
    </xdr:sp>
    <xdr:clientData/>
  </xdr:twoCellAnchor>
  <xdr:twoCellAnchor>
    <xdr:from>
      <xdr:col>2</xdr:col>
      <xdr:colOff>91440</xdr:colOff>
      <xdr:row>27</xdr:row>
      <xdr:rowOff>0</xdr:rowOff>
    </xdr:from>
    <xdr:to>
      <xdr:col>5</xdr:col>
      <xdr:colOff>182880</xdr:colOff>
      <xdr:row>29</xdr:row>
      <xdr:rowOff>0</xdr:rowOff>
    </xdr:to>
    <xdr:sp macro="" textlink="">
      <xdr:nvSpPr>
        <xdr:cNvPr id="5" name="مربع نص 4">
          <a:extLst>
            <a:ext uri="{FF2B5EF4-FFF2-40B4-BE49-F238E27FC236}">
              <a16:creationId xmlns:a16="http://schemas.microsoft.com/office/drawing/2014/main" id="{E0136058-16FC-4D49-A6F5-B9AE0F35DB9C}"/>
            </a:ext>
          </a:extLst>
        </xdr:cNvPr>
        <xdr:cNvSpPr txBox="1"/>
      </xdr:nvSpPr>
      <xdr:spPr>
        <a:xfrm>
          <a:off x="11232535320" y="8168640"/>
          <a:ext cx="211836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 b="1" kern="1200"/>
            <a:t>     الختم</a:t>
          </a:r>
          <a:r>
            <a:rPr lang="ar-SA" sz="1200" b="1" kern="1200" baseline="0"/>
            <a:t> الرسمي </a:t>
          </a:r>
          <a:endParaRPr lang="ar-SA" sz="1200" b="1" kern="1200"/>
        </a:p>
      </xdr:txBody>
    </xdr:sp>
    <xdr:clientData/>
  </xdr:twoCellAnchor>
  <xdr:twoCellAnchor>
    <xdr:from>
      <xdr:col>0</xdr:col>
      <xdr:colOff>365760</xdr:colOff>
      <xdr:row>1</xdr:row>
      <xdr:rowOff>91440</xdr:rowOff>
    </xdr:from>
    <xdr:to>
      <xdr:col>2</xdr:col>
      <xdr:colOff>441960</xdr:colOff>
      <xdr:row>3</xdr:row>
      <xdr:rowOff>76200</xdr:rowOff>
    </xdr:to>
    <xdr:sp macro="" textlink="">
      <xdr:nvSpPr>
        <xdr:cNvPr id="6" name="مستطيل 5">
          <a:extLst>
            <a:ext uri="{FF2B5EF4-FFF2-40B4-BE49-F238E27FC236}">
              <a16:creationId xmlns:a16="http://schemas.microsoft.com/office/drawing/2014/main" id="{91D86BC2-119B-4E94-AA3A-9B40FAD54D23}"/>
            </a:ext>
          </a:extLst>
        </xdr:cNvPr>
        <xdr:cNvSpPr/>
      </xdr:nvSpPr>
      <xdr:spPr>
        <a:xfrm>
          <a:off x="11234303160" y="266700"/>
          <a:ext cx="2194560" cy="33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ar-SA" sz="1600" b="1">
              <a:solidFill>
                <a:srgbClr val="002060"/>
              </a:solidFill>
              <a:latin typeface="Al Qabas Bold" panose="00000800000000000000" pitchFamily="2" charset="-78"/>
              <a:cs typeface="Al Qabas Bold" panose="00000800000000000000" pitchFamily="2" charset="-78"/>
            </a:rPr>
            <a:t>كلية</a:t>
          </a:r>
          <a:r>
            <a:rPr lang="ar-SA" sz="1600" b="1" baseline="0">
              <a:solidFill>
                <a:srgbClr val="002060"/>
              </a:solidFill>
              <a:latin typeface="Al Qabas Bold" panose="00000800000000000000" pitchFamily="2" charset="-78"/>
              <a:cs typeface="Al Qabas Bold" panose="00000800000000000000" pitchFamily="2" charset="-78"/>
            </a:rPr>
            <a:t> الحديث الشريف  </a:t>
          </a:r>
          <a:endParaRPr lang="ar-SA" sz="1600" b="1">
            <a:solidFill>
              <a:srgbClr val="002060"/>
            </a:solidFill>
            <a:latin typeface="Al Qabas Bold" panose="00000800000000000000" pitchFamily="2" charset="-78"/>
            <a:cs typeface="Al Qabas Bold" panose="000008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3F6B3-B038-40CF-AAF6-CC97EFF8B50F}" name="الجدول1" displayName="الجدول1" ref="A2:BK68" totalsRowShown="0" headerRowDxfId="72" headerRowBorderDxfId="71" tableBorderDxfId="70" totalsRowBorderDxfId="69">
  <autoFilter ref="A2:BK68" xr:uid="{5CE3F6B3-B038-40CF-AAF6-CC97EFF8B50F}">
    <filterColumn colId="0">
      <filters>
        <filter val="2023013"/>
      </filters>
    </filterColumn>
  </autoFilter>
  <tableColumns count="63">
    <tableColumn id="1" xr3:uid="{8524DFF9-4B42-410C-B0E8-93A4A3EEBBFE}" name="رقم الجامعي " dataDxfId="68"/>
    <tableColumn id="2" xr3:uid="{CEB89810-CDF0-44E0-9C8E-1EA344CB0578}" name="أسماء الطلبة " dataDxfId="67"/>
    <tableColumn id="3" xr3:uid="{2D83AE56-11B3-433F-8CAA-666BE2545CAF}" name="الساعات (م ق)" dataDxfId="66"/>
    <tableColumn id="4" xr3:uid="{63D79D0C-4603-4CA1-85D6-D23AA0AA6886}" name="القرآن الكريم  " dataDxfId="65"/>
    <tableColumn id="5" xr3:uid="{3A2D5FC9-9634-43D9-A0E6-633F11487D86}" name="الوزن (م ق)" dataDxfId="64">
      <calculatedColumnFormula>VLOOKUP(D3,المرجع!$B$4:$C$12,2)</calculatedColumnFormula>
    </tableColumn>
    <tableColumn id="6" xr3:uid="{9B058DB3-FE98-49FC-BFE6-C4B78DB305BB}" name="الرمز (م ق)" dataDxfId="63">
      <calculatedColumnFormula>VLOOKUP(E3,المرجع!$D$4:$E$12,2)</calculatedColumnFormula>
    </tableColumn>
    <tableColumn id="7" xr3:uid="{282394B5-8B48-4D12-B657-25F28562A7CE}" name="النقاط (م ق)" dataDxfId="62">
      <calculatedColumnFormula>E3*C3</calculatedColumnFormula>
    </tableColumn>
    <tableColumn id="8" xr3:uid="{8AE4199C-B4BB-4AC4-B6DF-7FE62F581CEB}" name="الساعات( م ت)" dataDxfId="61"/>
    <tableColumn id="9" xr3:uid="{C52F01E6-7741-4560-8679-96DA2F95B714}" name="التوحيد 4  ( م ت)" dataDxfId="60"/>
    <tableColumn id="10" xr3:uid="{992C78F7-65F1-4EAF-93A5-94FBA451951D}" name="الوزن ( م ت)" dataDxfId="59">
      <calculatedColumnFormula>VLOOKUP(I3,المرجع!$B$4:$C$12,2)</calculatedColumnFormula>
    </tableColumn>
    <tableColumn id="11" xr3:uid="{E73DD94C-20EC-4A69-9F5B-EDD61BDDFF1A}" name="الرمز ( م ت)" dataDxfId="58">
      <calculatedColumnFormula>VLOOKUP(J3,المرجع!$D$4:$E$12,2)</calculatedColumnFormula>
    </tableColumn>
    <tableColumn id="12" xr3:uid="{B1DCB30E-8E81-440A-AC97-FFD1173020A6}" name="النقاط ( م ت)" dataDxfId="57">
      <calculatedColumnFormula>J3*H3</calculatedColumnFormula>
    </tableColumn>
    <tableColumn id="13" xr3:uid="{9ADC1FFC-14F1-4CAD-AD06-06BF0BC1A9B7}" name="الساعات م حت)" dataDxfId="56"/>
    <tableColumn id="14" xr3:uid="{0B14BD03-46C3-4555-9F98-CDCB4CE4C127}" name="الحديث التحليلي" dataDxfId="55"/>
    <tableColumn id="15" xr3:uid="{14EB67E0-B72C-4D33-AB08-6504C0380737}" name="الوزن( م ح ت)" dataDxfId="54">
      <calculatedColumnFormula>VLOOKUP(N3,المرجع!$B$4:$C$12,2)</calculatedColumnFormula>
    </tableColumn>
    <tableColumn id="16" xr3:uid="{38053965-6AED-49D0-AC6C-0C3A2948A657}" name="الرمز( م ح ت)" dataDxfId="53">
      <calculatedColumnFormula>VLOOKUP(O3,المرجع!$D$4:$E$12,2)</calculatedColumnFormula>
    </tableColumn>
    <tableColumn id="17" xr3:uid="{1C52CEE4-120A-40B8-AB11-D0BA62E6B19F}" name="النقاط( م ح ت)" dataDxfId="52">
      <calculatedColumnFormula>O3*M3</calculatedColumnFormula>
    </tableColumn>
    <tableColumn id="18" xr3:uid="{50D73E0A-1BF8-465C-BEC6-516E2A3AC4FE}" name="الساعات (م ف)" dataDxfId="51"/>
    <tableColumn id="19" xr3:uid="{06C2B924-8011-45D5-B44C-2D2DAAE4D40F}" name="الفقه 4" dataDxfId="50"/>
    <tableColumn id="20" xr3:uid="{965244F5-9D21-4C94-92A9-53D0E60FBC92}" name="الوزن (م ف)" dataDxfId="49">
      <calculatedColumnFormula>VLOOKUP(S3,المرجع!$B$4:$C$12,2)</calculatedColumnFormula>
    </tableColumn>
    <tableColumn id="21" xr3:uid="{D3CEF6FC-48D8-40FE-868F-E3BFC3E7466A}" name="الرمز (م ف)" dataDxfId="48">
      <calculatedColumnFormula>VLOOKUP(T3,المرجع!$D$4:$E$12,2)</calculatedColumnFormula>
    </tableColumn>
    <tableColumn id="22" xr3:uid="{9C28554B-AF62-4A29-AC50-B77DE1AB1BC4}" name="النقاط (م ف)" dataDxfId="47">
      <calculatedColumnFormula>T3*R3</calculatedColumnFormula>
    </tableColumn>
    <tableColumn id="23" xr3:uid="{74FBE2D4-77C5-4D55-B41A-7C0244C41934}" name="الساعات(م  ك س)" dataDxfId="46"/>
    <tableColumn id="24" xr3:uid="{C148B19C-52C2-47B0-A613-C2A1ED12079C}" name="كتب السنة3 " dataDxfId="45"/>
    <tableColumn id="25" xr3:uid="{529D3957-1687-47D2-AC9E-4AB25A54875A}" name="الوزن( م ك س)" dataDxfId="44">
      <calculatedColumnFormula>VLOOKUP(X3,المرجع!$B$4:$C$12,2)</calculatedColumnFormula>
    </tableColumn>
    <tableColumn id="26" xr3:uid="{2BA603A1-24AC-43EA-9C20-804C722DC8CF}" name="الرمز(  م ك س)" dataDxfId="43">
      <calculatedColumnFormula>VLOOKUP(Y3,المرجع!$D$4:$E$12,2)</calculatedColumnFormula>
    </tableColumn>
    <tableColumn id="27" xr3:uid="{F73C3BF0-A1DF-434C-B2CE-0C98C242CB4E}" name="النقاط(م  ك س)" dataDxfId="42">
      <calculatedColumnFormula>Y3*W3</calculatedColumnFormula>
    </tableColumn>
    <tableColumn id="28" xr3:uid="{0A0F099F-1369-4F50-879F-A502E6B47730}" name="الساعات ( م ج ت)" dataDxfId="41"/>
    <tableColumn id="29" xr3:uid="{DE4C7188-2A32-4426-84D7-C9F4A1B16640}" name="       الجرح والتعجيل2" dataDxfId="40"/>
    <tableColumn id="30" xr3:uid="{B457AB29-32EF-4809-AB0D-CB00CB848675}" name="الوزن (م  ج ت)" dataDxfId="39">
      <calculatedColumnFormula>VLOOKUP(AC3,المرجع!$B$4:$C$12,2)</calculatedColumnFormula>
    </tableColumn>
    <tableColumn id="31" xr3:uid="{99CC76E7-5658-4653-A983-7510C51E0F32}" name="الرمز  ( م ج ت)" dataDxfId="38">
      <calculatedColumnFormula>VLOOKUP(AD3,المرجع!$D$4:$E$12,2)</calculatedColumnFormula>
    </tableColumn>
    <tableColumn id="32" xr3:uid="{5238235E-C97E-4A4A-8C20-F7F0F93752A4}" name="النقاط ( م ج ت)" dataDxfId="37">
      <calculatedColumnFormula>AD3*AB3</calculatedColumnFormula>
    </tableColumn>
    <tableColumn id="33" xr3:uid="{18B4BF24-4357-4D7E-9B5B-1C2365148910}" name="الساعات (م س)" dataDxfId="36"/>
    <tableColumn id="34" xr3:uid="{5054BEDE-75E6-4A8C-93EF-7E1D9FDA58D6}" name="السيرة النبوية " dataDxfId="35"/>
    <tableColumn id="35" xr3:uid="{EDB5FDF6-5967-4BD0-8DF0-F8F2BCC7F34D}" name="الوزن (م س)" dataDxfId="34">
      <calculatedColumnFormula>VLOOKUP(AH3,المرجع!$B$4:$C$12,2)</calculatedColumnFormula>
    </tableColumn>
    <tableColumn id="36" xr3:uid="{100F9AAB-CE7B-48EB-BE2C-4D0C92059129}" name="الرمز (م س)" dataDxfId="33">
      <calculatedColumnFormula>VLOOKUP(AI3,المرجع!$D$4:$E$12,2)</calculatedColumnFormula>
    </tableColumn>
    <tableColumn id="37" xr3:uid="{93CA991B-6B47-4BB5-AA17-01725BAB3887}" name="النقاط (م س)" dataDxfId="32">
      <calculatedColumnFormula>AI3*AG3</calculatedColumnFormula>
    </tableColumn>
    <tableColumn id="38" xr3:uid="{DD3D8464-C3A1-4474-B810-98927E30271D}" name="الساعات (م د ح)" dataDxfId="31"/>
    <tableColumn id="39" xr3:uid="{5059FDC1-8EC7-476B-90C0-D1C796EC87CB}" name="الدعوة الحسبة " dataDxfId="30"/>
    <tableColumn id="40" xr3:uid="{0C57EA91-1CE0-472F-97E9-FE29C937C466}" name="الوزن (م د ح)" dataDxfId="29">
      <calculatedColumnFormula>VLOOKUP(AM3,المرجع!$B$4:$C$12,2)</calculatedColumnFormula>
    </tableColumn>
    <tableColumn id="41" xr3:uid="{65A713DC-D10E-4058-AE8E-262B2FABC539}" name="الرمز(م د ح)" dataDxfId="28">
      <calculatedColumnFormula>VLOOKUP(AN3,المرجع!$D$4:$E$12,2)</calculatedColumnFormula>
    </tableColumn>
    <tableColumn id="42" xr3:uid="{2B2C1AB9-C5FC-4282-8AD1-C2EFCFCC41A4}" name="النقاط(م د ح)" dataDxfId="27">
      <calculatedColumnFormula>AN3*AL3</calculatedColumnFormula>
    </tableColumn>
    <tableColumn id="43" xr3:uid="{04D7B44A-21A6-42FF-BEF2-E33834390BA2}" name="الساعات (م ح)" dataDxfId="26"/>
    <tableColumn id="44" xr3:uid="{F3142B1E-9F6C-4962-9D61-E24647A9D181}" name="مصطلح الحديث 3" dataDxfId="25"/>
    <tableColumn id="45" xr3:uid="{9C4429E2-6DDA-415E-964A-997D76E94ADE}" name="الوزن (م ح)" dataDxfId="24">
      <calculatedColumnFormula>VLOOKUP(AR3,المرجع!$B$4:$C$12,2)</calculatedColumnFormula>
    </tableColumn>
    <tableColumn id="46" xr3:uid="{089E67B1-990D-44B8-9D1B-08BF6FD01053}" name="الرمز (م ح)" dataDxfId="23">
      <calculatedColumnFormula>VLOOKUP(AS3,المرجع!$D$4:$E$12,2)</calculatedColumnFormula>
    </tableColumn>
    <tableColumn id="47" xr3:uid="{8E7454FE-D9A6-41E7-BCC6-7BDC23F96383}" name="النقاط (م ح)" dataDxfId="22">
      <calculatedColumnFormula>AS3*AQ3</calculatedColumnFormula>
    </tableColumn>
    <tableColumn id="48" xr3:uid="{0CCB43E4-EEF0-4D6B-A294-918EFC284257}" name="الساعات (م ص)" dataDxfId="21"/>
    <tableColumn id="49" xr3:uid="{8135901A-464D-44E3-AEEC-5259C385D2CB}" name="الصرف " dataDxfId="20"/>
    <tableColumn id="50" xr3:uid="{82E2377A-FF2B-4E24-8DAA-4978A2DCDA1A}" name="الوزن  (م ص)" dataDxfId="19">
      <calculatedColumnFormula>VLOOKUP(AW3,المرجع!$B$4:$C$12,2)</calculatedColumnFormula>
    </tableColumn>
    <tableColumn id="51" xr3:uid="{21F2D254-A148-4EE1-A761-BFCB7F611932}" name="الرمز  (م ص)" dataDxfId="18">
      <calculatedColumnFormula>VLOOKUP(AX3,المرجع!$D$4:$E$12,2)</calculatedColumnFormula>
    </tableColumn>
    <tableColumn id="52" xr3:uid="{081DDB19-771E-4B93-A0D0-7066AB149B3D}" name="النقاط (م ص)" dataDxfId="17">
      <calculatedColumnFormula>AX3*AV3</calculatedColumnFormula>
    </tableColumn>
    <tableColumn id="53" xr3:uid="{BAEF4EB0-FE3F-4B8B-9A4A-244DB3E5969A}" name="الساعات (م ENG)" dataDxfId="16"/>
    <tableColumn id="54" xr3:uid="{52EEBFB6-03B3-4227-9998-2F41E534877A}" name="English(3)" dataDxfId="15"/>
    <tableColumn id="55" xr3:uid="{E7727884-9A21-4897-ABCF-36946BEC0465}" name="الوزن (م ENG)" dataDxfId="14">
      <calculatedColumnFormula>VLOOKUP(BB3,المرجع!$B$4:$C$12,2)</calculatedColumnFormula>
    </tableColumn>
    <tableColumn id="56" xr3:uid="{FA5A7C05-D11B-4BDF-8532-FDE024328BFB}" name="الرمز (م ENG)" dataDxfId="13">
      <calculatedColumnFormula>VLOOKUP(BC3,المرجع!$D$4:$E$12,2)</calculatedColumnFormula>
    </tableColumn>
    <tableColumn id="57" xr3:uid="{015039DB-A384-4F1F-9929-DE2D47B73074}" name="النقاط (م ENG)" dataDxfId="12">
      <calculatedColumnFormula>BC3*BA3</calculatedColumnFormula>
    </tableColumn>
    <tableColumn id="58" xr3:uid="{734C5B71-2C01-4ED0-B134-3ABB7D1636CA}" name="مجموع النقاط" dataDxfId="11"/>
    <tableColumn id="59" xr3:uid="{AB16C1C9-9FB0-4C27-AE37-3FD2497E6BE1}" name="مجموع الساعات" dataDxfId="10">
      <calculatedColumnFormula>BA3+AV3+AQ3+AL3+AG3+AB3+W3+R3+M3+H3+C3</calculatedColumnFormula>
    </tableColumn>
    <tableColumn id="60" xr3:uid="{4B759B9C-01A5-4CD3-8E34-D8EA4CD7C7FD}" name="المعدل الفصلي " dataDxfId="9"/>
    <tableColumn id="61" xr3:uid="{795E91C4-70FB-4C00-993C-03384D896570}" name="المعدل التراكمي " dataDxfId="8"/>
    <tableColumn id="62" xr3:uid="{9E04D556-4318-4BE3-A1B3-9A761C8DC4DB}" name="التقدير" dataDxfId="7"/>
    <tableColumn id="63" xr3:uid="{81BA9C56-E22A-49AB-9893-9E0F4CCB049A}" name="الترتيب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09FB-BC2C-47E5-ACDB-2D0C6629E7D1}">
  <dimension ref="B2:BQ99"/>
  <sheetViews>
    <sheetView rightToLeft="1" topLeftCell="AK1" workbookViewId="0">
      <selection activeCell="BC2" sqref="BC2"/>
    </sheetView>
  </sheetViews>
  <sheetFormatPr defaultRowHeight="14.5"/>
  <cols>
    <col min="2" max="2" width="11.90625" customWidth="1"/>
    <col min="3" max="3" width="23.81640625" customWidth="1"/>
    <col min="4" max="5" width="5.08984375" customWidth="1"/>
    <col min="6" max="6" width="5.6328125" customWidth="1"/>
    <col min="7" max="10" width="5.08984375" customWidth="1"/>
    <col min="11" max="11" width="5.6328125" customWidth="1"/>
    <col min="12" max="15" width="5.08984375" customWidth="1"/>
    <col min="16" max="16" width="5.6328125" bestFit="1" customWidth="1"/>
    <col min="17" max="19" width="5.08984375" customWidth="1"/>
    <col min="20" max="20" width="9.1796875" bestFit="1" customWidth="1"/>
    <col min="21" max="21" width="5.6328125" bestFit="1" customWidth="1"/>
    <col min="22" max="25" width="5.08984375" customWidth="1"/>
    <col min="26" max="26" width="5.6328125" bestFit="1" customWidth="1"/>
    <col min="27" max="30" width="5.08984375" customWidth="1"/>
    <col min="31" max="31" width="5.6328125" bestFit="1" customWidth="1"/>
    <col min="32" max="35" width="5.08984375" customWidth="1"/>
    <col min="36" max="36" width="5.6328125" bestFit="1" customWidth="1"/>
    <col min="37" max="40" width="5.08984375" customWidth="1"/>
    <col min="41" max="41" width="5.6328125" customWidth="1"/>
    <col min="42" max="43" width="5.08984375" customWidth="1"/>
    <col min="44" max="44" width="3.26953125" customWidth="1"/>
    <col min="45" max="45" width="5.08984375" customWidth="1"/>
    <col min="46" max="46" width="5.6328125" customWidth="1"/>
    <col min="47" max="48" width="5.08984375" customWidth="1"/>
    <col min="49" max="49" width="4.81640625" customWidth="1"/>
    <col min="50" max="50" width="5.08984375" customWidth="1"/>
    <col min="51" max="51" width="5.6328125" customWidth="1"/>
    <col min="52" max="55" width="5.08984375" customWidth="1"/>
    <col min="56" max="56" width="5.6328125" customWidth="1"/>
    <col min="57" max="60" width="5.08984375" customWidth="1"/>
    <col min="61" max="61" width="5.36328125" customWidth="1"/>
    <col min="62" max="63" width="4.36328125" customWidth="1"/>
    <col min="64" max="64" width="10.90625" bestFit="1" customWidth="1"/>
    <col min="65" max="65" width="6.08984375" customWidth="1"/>
    <col min="67" max="67" width="0" hidden="1" customWidth="1"/>
    <col min="68" max="68" width="13.1796875" customWidth="1"/>
    <col min="69" max="69" width="6.36328125" bestFit="1" customWidth="1"/>
  </cols>
  <sheetData>
    <row r="2" spans="2:69" ht="165.65" customHeight="1">
      <c r="B2" s="68" t="s">
        <v>36</v>
      </c>
      <c r="C2" s="68" t="s">
        <v>37</v>
      </c>
      <c r="D2" s="9" t="s">
        <v>96</v>
      </c>
      <c r="E2" s="93" t="s">
        <v>152</v>
      </c>
      <c r="F2" s="37" t="s">
        <v>97</v>
      </c>
      <c r="G2" s="38" t="s">
        <v>98</v>
      </c>
      <c r="H2" s="39" t="s">
        <v>99</v>
      </c>
      <c r="I2" s="9" t="s">
        <v>96</v>
      </c>
      <c r="J2" s="93" t="s">
        <v>153</v>
      </c>
      <c r="K2" s="37" t="s">
        <v>97</v>
      </c>
      <c r="L2" s="38" t="s">
        <v>98</v>
      </c>
      <c r="M2" s="39" t="s">
        <v>99</v>
      </c>
      <c r="N2" s="9" t="s">
        <v>96</v>
      </c>
      <c r="O2" s="93" t="s">
        <v>154</v>
      </c>
      <c r="P2" s="37" t="s">
        <v>97</v>
      </c>
      <c r="Q2" s="38" t="s">
        <v>98</v>
      </c>
      <c r="R2" s="39" t="s">
        <v>99</v>
      </c>
      <c r="S2" s="9" t="s">
        <v>96</v>
      </c>
      <c r="T2" s="93" t="s">
        <v>155</v>
      </c>
      <c r="U2" s="37" t="s">
        <v>97</v>
      </c>
      <c r="V2" s="38" t="s">
        <v>98</v>
      </c>
      <c r="W2" s="39" t="s">
        <v>99</v>
      </c>
      <c r="X2" s="9" t="s">
        <v>96</v>
      </c>
      <c r="Y2" s="93" t="s">
        <v>156</v>
      </c>
      <c r="Z2" s="37" t="s">
        <v>97</v>
      </c>
      <c r="AA2" s="38" t="s">
        <v>98</v>
      </c>
      <c r="AB2" s="39" t="s">
        <v>99</v>
      </c>
      <c r="AC2" s="9" t="s">
        <v>96</v>
      </c>
      <c r="AD2" s="93" t="s">
        <v>175</v>
      </c>
      <c r="AE2" s="37" t="s">
        <v>97</v>
      </c>
      <c r="AF2" s="38" t="s">
        <v>98</v>
      </c>
      <c r="AG2" s="39" t="s">
        <v>99</v>
      </c>
      <c r="AH2" s="9" t="s">
        <v>96</v>
      </c>
      <c r="AI2" s="93" t="s">
        <v>157</v>
      </c>
      <c r="AJ2" s="37" t="s">
        <v>97</v>
      </c>
      <c r="AK2" s="38" t="s">
        <v>98</v>
      </c>
      <c r="AL2" s="39" t="s">
        <v>99</v>
      </c>
      <c r="AM2" s="9" t="s">
        <v>96</v>
      </c>
      <c r="AN2" s="93" t="s">
        <v>158</v>
      </c>
      <c r="AO2" s="37" t="s">
        <v>97</v>
      </c>
      <c r="AP2" s="38" t="s">
        <v>98</v>
      </c>
      <c r="AQ2" s="39" t="s">
        <v>99</v>
      </c>
      <c r="AR2" s="9" t="s">
        <v>96</v>
      </c>
      <c r="AS2" s="93" t="s">
        <v>159</v>
      </c>
      <c r="AT2" s="37" t="s">
        <v>97</v>
      </c>
      <c r="AU2" s="38" t="s">
        <v>98</v>
      </c>
      <c r="AV2" s="39" t="s">
        <v>99</v>
      </c>
      <c r="AW2" s="9" t="s">
        <v>96</v>
      </c>
      <c r="AX2" s="93" t="s">
        <v>160</v>
      </c>
      <c r="AY2" s="37" t="s">
        <v>97</v>
      </c>
      <c r="AZ2" s="38" t="s">
        <v>98</v>
      </c>
      <c r="BA2" s="39" t="s">
        <v>99</v>
      </c>
      <c r="BB2" s="9" t="s">
        <v>96</v>
      </c>
      <c r="BC2" s="93" t="s">
        <v>161</v>
      </c>
      <c r="BD2" s="37" t="s">
        <v>97</v>
      </c>
      <c r="BE2" s="38" t="s">
        <v>98</v>
      </c>
      <c r="BF2" s="39" t="s">
        <v>99</v>
      </c>
      <c r="BG2" s="9" t="s">
        <v>96</v>
      </c>
      <c r="BH2" s="93" t="s">
        <v>162</v>
      </c>
      <c r="BI2" s="37" t="s">
        <v>97</v>
      </c>
      <c r="BJ2" s="38" t="s">
        <v>98</v>
      </c>
      <c r="BK2" s="39" t="s">
        <v>99</v>
      </c>
      <c r="BL2" s="71" t="s">
        <v>100</v>
      </c>
      <c r="BM2" s="71" t="s">
        <v>101</v>
      </c>
      <c r="BN2" s="71" t="s">
        <v>102</v>
      </c>
      <c r="BO2" s="71" t="s">
        <v>103</v>
      </c>
      <c r="BP2" s="71" t="s">
        <v>104</v>
      </c>
      <c r="BQ2" s="71" t="s">
        <v>105</v>
      </c>
    </row>
    <row r="3" spans="2:69" ht="28.5">
      <c r="B3" s="66">
        <v>2023002</v>
      </c>
      <c r="C3" s="70" t="s">
        <v>0</v>
      </c>
      <c r="D3" s="21">
        <v>1</v>
      </c>
      <c r="E3" s="67">
        <v>98</v>
      </c>
      <c r="F3" s="65">
        <f>VLOOKUP(E3,المرجع!$B$3:$C$12,2)</f>
        <v>5</v>
      </c>
      <c r="G3" s="44" t="str">
        <f>VLOOKUP(F3,المرجع!$D$3:$E$12,2)</f>
        <v xml:space="preserve">أ+ </v>
      </c>
      <c r="H3" s="40">
        <f t="shared" ref="H3:H34" si="0">F3*D3</f>
        <v>5</v>
      </c>
      <c r="I3" s="21">
        <v>2</v>
      </c>
      <c r="J3" s="67">
        <v>98</v>
      </c>
      <c r="K3" s="65">
        <f>VLOOKUP(J3,المرجع!$B$3:$C$12,2)</f>
        <v>5</v>
      </c>
      <c r="L3" s="44" t="str">
        <f>VLOOKUP(K3,المرجع!$D$3:$E$12,2)</f>
        <v xml:space="preserve">أ+ </v>
      </c>
      <c r="M3" s="40">
        <f t="shared" ref="M3:M34" si="1">K3*I3</f>
        <v>10</v>
      </c>
      <c r="N3" s="21">
        <v>2</v>
      </c>
      <c r="O3" s="67">
        <v>90</v>
      </c>
      <c r="P3" s="65">
        <f>VLOOKUP(O3,المرجع!$B$3:$C$12,2)</f>
        <v>4.75</v>
      </c>
      <c r="Q3" s="44" t="str">
        <f>VLOOKUP(P3,المرجع!$D$3:$E$12,2)</f>
        <v>أ</v>
      </c>
      <c r="R3" s="40">
        <f t="shared" ref="R3:R34" si="2">P3*N3</f>
        <v>9.5</v>
      </c>
      <c r="S3" s="21">
        <v>2</v>
      </c>
      <c r="T3" s="67">
        <v>99</v>
      </c>
      <c r="U3" s="65">
        <f>VLOOKUP(T3,المرجع!$B$3:$C$12,2)</f>
        <v>5</v>
      </c>
      <c r="V3" s="44" t="str">
        <f>VLOOKUP(U3,المرجع!$D$3:$E$12,2)</f>
        <v xml:space="preserve">أ+ </v>
      </c>
      <c r="W3" s="40">
        <f t="shared" ref="W3:W34" si="3">U3*S3</f>
        <v>10</v>
      </c>
      <c r="X3" s="21">
        <v>2</v>
      </c>
      <c r="Y3" s="67">
        <v>100</v>
      </c>
      <c r="Z3" s="65">
        <f>VLOOKUP(Y3,المرجع!$B$3:$C$12,2)</f>
        <v>5</v>
      </c>
      <c r="AA3" s="44" t="str">
        <f>VLOOKUP(Z3,المرجع!$D$3:$E$12,2)</f>
        <v xml:space="preserve">أ+ </v>
      </c>
      <c r="AB3" s="40">
        <f t="shared" ref="AB3:AB34" si="4">Z3*X3</f>
        <v>10</v>
      </c>
      <c r="AC3" s="21">
        <v>2</v>
      </c>
      <c r="AD3" s="67">
        <v>84</v>
      </c>
      <c r="AE3" s="65">
        <f>VLOOKUP(AD3,المرجع!$B$3:$C$12,2)</f>
        <v>4</v>
      </c>
      <c r="AF3" s="44" t="str">
        <f>VLOOKUP(AE3,المرجع!$D$3:$E$12,2)</f>
        <v>ب</v>
      </c>
      <c r="AG3" s="40">
        <f t="shared" ref="AG3:AG34" si="5">AE3*AC3</f>
        <v>8</v>
      </c>
      <c r="AH3" s="21">
        <v>2</v>
      </c>
      <c r="AI3" s="67">
        <v>89</v>
      </c>
      <c r="AJ3" s="65">
        <f>VLOOKUP(AI3,المرجع!$B$3:$C$12,2)</f>
        <v>4.5</v>
      </c>
      <c r="AK3" s="44" t="str">
        <f>VLOOKUP(AJ3,المرجع!$D$3:$E$12,2)</f>
        <v>ب+</v>
      </c>
      <c r="AL3" s="40">
        <f t="shared" ref="AL3:AL34" si="6">AJ3*AH3</f>
        <v>9</v>
      </c>
      <c r="AM3" s="21">
        <v>2</v>
      </c>
      <c r="AN3" s="67">
        <v>95</v>
      </c>
      <c r="AO3" s="65">
        <f>VLOOKUP(AN3,المرجع!$B$3:$C$12,2)</f>
        <v>5</v>
      </c>
      <c r="AP3" s="44" t="str">
        <f>VLOOKUP(AO3,المرجع!$D$3:$E$12,2)</f>
        <v xml:space="preserve">أ+ </v>
      </c>
      <c r="AQ3" s="40">
        <f t="shared" ref="AQ3:AQ34" si="7">AO3*AM3</f>
        <v>10</v>
      </c>
      <c r="AR3" s="21">
        <v>2</v>
      </c>
      <c r="AS3" s="67">
        <v>84</v>
      </c>
      <c r="AT3" s="65">
        <f>VLOOKUP(AS3,المرجع!$B$3:$C$12,2)</f>
        <v>4</v>
      </c>
      <c r="AU3" s="44" t="str">
        <f>VLOOKUP(AT3,المرجع!$D$3:$E$12,2)</f>
        <v>ب</v>
      </c>
      <c r="AV3" s="40">
        <f t="shared" ref="AV3:AV34" si="8">AT3*AR3</f>
        <v>8</v>
      </c>
      <c r="AW3" s="21">
        <v>2</v>
      </c>
      <c r="AX3" s="67">
        <v>90</v>
      </c>
      <c r="AY3" s="65">
        <f>VLOOKUP(AX3,المرجع!$B$3:$C$12,2)</f>
        <v>4.75</v>
      </c>
      <c r="AZ3" s="44" t="str">
        <f>VLOOKUP(AY3,المرجع!$D$3:$E$12,2)</f>
        <v>أ</v>
      </c>
      <c r="BA3" s="40">
        <f t="shared" ref="BA3:BA34" si="9">AY3*AW3</f>
        <v>9.5</v>
      </c>
      <c r="BB3" s="21">
        <v>2</v>
      </c>
      <c r="BC3" s="67">
        <v>95</v>
      </c>
      <c r="BD3" s="65">
        <f>VLOOKUP(BC3,المرجع!$B$3:$C$12,2)</f>
        <v>5</v>
      </c>
      <c r="BE3" s="44" t="str">
        <f>VLOOKUP(BD3,المرجع!$D$3:$E$12,2)</f>
        <v xml:space="preserve">أ+ </v>
      </c>
      <c r="BF3" s="40">
        <f>BD3*BB3</f>
        <v>10</v>
      </c>
      <c r="BG3" s="21">
        <v>2</v>
      </c>
      <c r="BH3" s="67">
        <v>96</v>
      </c>
      <c r="BI3" s="65">
        <f>VLOOKUP(BH3,المرجع!$B$3:$C$12,2)</f>
        <v>5</v>
      </c>
      <c r="BJ3" s="44" t="str">
        <f>VLOOKUP(BI3,المرجع!$D$3:$E$12,2)</f>
        <v xml:space="preserve">أ+ </v>
      </c>
      <c r="BK3" s="40">
        <f t="shared" ref="BK3:BK34" si="10">BI3*BG3</f>
        <v>10</v>
      </c>
      <c r="BL3" s="72">
        <f>-BK3+BF3+BA3+AV3+AQ3+AL3+AG3+AB3+W3+R3+M3+H3</f>
        <v>89</v>
      </c>
      <c r="BM3" s="73">
        <f t="shared" ref="BM3:BM34" si="11">SUM(BG3+BB3+AW3+AR3+AM3+AH3+AC3+X3+S3+N3+I3+D3)</f>
        <v>23</v>
      </c>
      <c r="BN3" s="74">
        <f t="shared" ref="BN3:BN34" si="12">BL3/BM3</f>
        <v>3.8695652173913042</v>
      </c>
      <c r="BO3" s="75"/>
      <c r="BP3" s="76" t="str">
        <f>VLOOKUP(BN3,المرجع!$D$3:$F$12,3)</f>
        <v xml:space="preserve">جيد جدا </v>
      </c>
      <c r="BQ3" s="77">
        <f t="shared" ref="BQ3:BQ34" si="13">RANK(BN3,$BN$3:$BN$98)</f>
        <v>2</v>
      </c>
    </row>
    <row r="4" spans="2:69" ht="28.5">
      <c r="B4" s="66">
        <v>2023035</v>
      </c>
      <c r="C4" s="70" t="s">
        <v>183</v>
      </c>
      <c r="D4" s="21">
        <v>1</v>
      </c>
      <c r="E4" s="67">
        <v>95</v>
      </c>
      <c r="F4" s="65">
        <f>VLOOKUP(E4,المرجع!$B$3:$C$12,2)</f>
        <v>5</v>
      </c>
      <c r="G4" s="44" t="str">
        <f>VLOOKUP(F4,المرجع!$D$3:$E$12,2)</f>
        <v xml:space="preserve">أ+ </v>
      </c>
      <c r="H4" s="40">
        <f t="shared" si="0"/>
        <v>5</v>
      </c>
      <c r="I4" s="21">
        <v>2</v>
      </c>
      <c r="J4" s="67">
        <v>100</v>
      </c>
      <c r="K4" s="65">
        <f>VLOOKUP(J4,المرجع!$B$3:$C$12,2)</f>
        <v>5</v>
      </c>
      <c r="L4" s="44" t="str">
        <f>VLOOKUP(K4,المرجع!$D$3:$E$12,2)</f>
        <v xml:space="preserve">أ+ </v>
      </c>
      <c r="M4" s="40">
        <f t="shared" si="1"/>
        <v>10</v>
      </c>
      <c r="N4" s="21">
        <v>2</v>
      </c>
      <c r="O4" s="67">
        <v>95</v>
      </c>
      <c r="P4" s="65">
        <f>VLOOKUP(O4,المرجع!$B$3:$C$12,2)</f>
        <v>5</v>
      </c>
      <c r="Q4" s="44" t="str">
        <f>VLOOKUP(P4,المرجع!$D$3:$E$12,2)</f>
        <v xml:space="preserve">أ+ </v>
      </c>
      <c r="R4" s="40">
        <f t="shared" si="2"/>
        <v>10</v>
      </c>
      <c r="S4" s="21">
        <v>2</v>
      </c>
      <c r="T4" s="67">
        <v>97</v>
      </c>
      <c r="U4" s="65">
        <f>VLOOKUP(T4,المرجع!$B$3:$C$12,2)</f>
        <v>5</v>
      </c>
      <c r="V4" s="44" t="str">
        <f>VLOOKUP(U4,المرجع!$D$3:$E$12,2)</f>
        <v xml:space="preserve">أ+ </v>
      </c>
      <c r="W4" s="40">
        <f t="shared" si="3"/>
        <v>10</v>
      </c>
      <c r="X4" s="21">
        <v>2</v>
      </c>
      <c r="Y4" s="67">
        <v>100</v>
      </c>
      <c r="Z4" s="65">
        <f>VLOOKUP(Y4,المرجع!$B$3:$C$12,2)</f>
        <v>5</v>
      </c>
      <c r="AA4" s="44" t="str">
        <f>VLOOKUP(Z4,المرجع!$D$3:$E$12,2)</f>
        <v xml:space="preserve">أ+ </v>
      </c>
      <c r="AB4" s="40">
        <f t="shared" si="4"/>
        <v>10</v>
      </c>
      <c r="AC4" s="21">
        <v>2</v>
      </c>
      <c r="AD4" s="67">
        <v>96</v>
      </c>
      <c r="AE4" s="65">
        <f>VLOOKUP(AD4,المرجع!$B$3:$C$12,2)</f>
        <v>5</v>
      </c>
      <c r="AF4" s="44" t="str">
        <f>VLOOKUP(AE4,المرجع!$D$3:$E$12,2)</f>
        <v xml:space="preserve">أ+ </v>
      </c>
      <c r="AG4" s="40">
        <f t="shared" si="5"/>
        <v>10</v>
      </c>
      <c r="AH4" s="21">
        <v>2</v>
      </c>
      <c r="AI4" s="67">
        <v>98</v>
      </c>
      <c r="AJ4" s="65">
        <f>VLOOKUP(AI4,المرجع!$B$3:$C$12,2)</f>
        <v>5</v>
      </c>
      <c r="AK4" s="44" t="str">
        <f>VLOOKUP(AJ4,المرجع!$D$3:$E$12,2)</f>
        <v xml:space="preserve">أ+ </v>
      </c>
      <c r="AL4" s="40">
        <f t="shared" si="6"/>
        <v>10</v>
      </c>
      <c r="AM4" s="21">
        <v>2</v>
      </c>
      <c r="AN4" s="67">
        <v>93</v>
      </c>
      <c r="AO4" s="65">
        <f>VLOOKUP(AN4,المرجع!$B$3:$C$12,2)</f>
        <v>4.75</v>
      </c>
      <c r="AP4" s="44" t="str">
        <f>VLOOKUP(AO4,المرجع!$D$3:$E$12,2)</f>
        <v>أ</v>
      </c>
      <c r="AQ4" s="40">
        <f t="shared" si="7"/>
        <v>9.5</v>
      </c>
      <c r="AR4" s="21">
        <v>2</v>
      </c>
      <c r="AS4" s="67">
        <v>93</v>
      </c>
      <c r="AT4" s="65">
        <f>VLOOKUP(AS4,المرجع!$B$3:$C$12,2)</f>
        <v>4.75</v>
      </c>
      <c r="AU4" s="44" t="str">
        <f>VLOOKUP(AT4,المرجع!$D$3:$E$12,2)</f>
        <v>أ</v>
      </c>
      <c r="AV4" s="40">
        <f t="shared" si="8"/>
        <v>9.5</v>
      </c>
      <c r="AW4" s="21">
        <v>2</v>
      </c>
      <c r="AX4" s="67">
        <v>65</v>
      </c>
      <c r="AY4" s="65">
        <f>VLOOKUP(AX4,المرجع!$B$3:$C$12,2)</f>
        <v>2.5</v>
      </c>
      <c r="AZ4" s="44" t="str">
        <f>VLOOKUP(AY4,المرجع!$D$3:$E$12,2)</f>
        <v>د+</v>
      </c>
      <c r="BA4" s="40">
        <f t="shared" si="9"/>
        <v>5</v>
      </c>
      <c r="BB4" s="21">
        <v>2</v>
      </c>
      <c r="BC4" s="67">
        <v>100</v>
      </c>
      <c r="BD4" s="65">
        <f>VLOOKUP(BC4,المرجع!$B$3:$C$12,2)</f>
        <v>5</v>
      </c>
      <c r="BE4" s="44" t="str">
        <f>VLOOKUP(BD4,المرجع!$D$3:$E$12,2)</f>
        <v xml:space="preserve">أ+ </v>
      </c>
      <c r="BF4" s="40">
        <f t="shared" ref="BF4:BF34" si="14">BD4*BB4</f>
        <v>10</v>
      </c>
      <c r="BG4" s="21">
        <v>2</v>
      </c>
      <c r="BH4" s="67">
        <v>100</v>
      </c>
      <c r="BI4" s="65">
        <f>VLOOKUP(BH4,المرجع!$B$3:$C$12,2)</f>
        <v>5</v>
      </c>
      <c r="BJ4" s="44" t="str">
        <f>VLOOKUP(BI4,المرجع!$D$3:$E$12,2)</f>
        <v xml:space="preserve">أ+ </v>
      </c>
      <c r="BK4" s="40">
        <f t="shared" si="10"/>
        <v>10</v>
      </c>
      <c r="BL4" s="72">
        <f t="shared" ref="BL4:BL67" si="15">-BK4+BF4+BA4+AV4+AQ4+AL4+AG4+AB4+W4+R4+M4+H4</f>
        <v>89</v>
      </c>
      <c r="BM4" s="73">
        <f t="shared" si="11"/>
        <v>23</v>
      </c>
      <c r="BN4" s="74">
        <f t="shared" si="12"/>
        <v>3.8695652173913042</v>
      </c>
      <c r="BO4" s="75"/>
      <c r="BP4" s="76" t="str">
        <f>VLOOKUP(BN4,المرجع!$D$3:$F$12,3)</f>
        <v xml:space="preserve">جيد جدا </v>
      </c>
      <c r="BQ4" s="77">
        <f t="shared" si="13"/>
        <v>2</v>
      </c>
    </row>
    <row r="5" spans="2:69" ht="28.5">
      <c r="B5" s="66">
        <v>2023085</v>
      </c>
      <c r="C5" s="70" t="s">
        <v>85</v>
      </c>
      <c r="D5" s="21">
        <v>1</v>
      </c>
      <c r="E5" s="67">
        <v>95</v>
      </c>
      <c r="F5" s="65">
        <f>VLOOKUP(E5,المرجع!$B$3:$C$12,2)</f>
        <v>5</v>
      </c>
      <c r="G5" s="44" t="str">
        <f>VLOOKUP(F5,المرجع!$D$3:$E$12,2)</f>
        <v xml:space="preserve">أ+ </v>
      </c>
      <c r="H5" s="40">
        <f t="shared" si="0"/>
        <v>5</v>
      </c>
      <c r="I5" s="21">
        <v>2</v>
      </c>
      <c r="J5" s="67">
        <v>100</v>
      </c>
      <c r="K5" s="65">
        <f>VLOOKUP(J5,المرجع!$B$3:$C$12,2)</f>
        <v>5</v>
      </c>
      <c r="L5" s="44" t="str">
        <f>VLOOKUP(K5,المرجع!$D$3:$E$12,2)</f>
        <v xml:space="preserve">أ+ </v>
      </c>
      <c r="M5" s="40">
        <f t="shared" si="1"/>
        <v>10</v>
      </c>
      <c r="N5" s="21">
        <v>2</v>
      </c>
      <c r="O5" s="67">
        <v>94</v>
      </c>
      <c r="P5" s="65">
        <f>VLOOKUP(O5,المرجع!$B$3:$C$12,2)</f>
        <v>4.75</v>
      </c>
      <c r="Q5" s="44" t="str">
        <f>VLOOKUP(P5,المرجع!$D$3:$E$12,2)</f>
        <v>أ</v>
      </c>
      <c r="R5" s="40">
        <f t="shared" si="2"/>
        <v>9.5</v>
      </c>
      <c r="S5" s="21">
        <v>2</v>
      </c>
      <c r="T5" s="67">
        <v>99</v>
      </c>
      <c r="U5" s="65">
        <f>VLOOKUP(T5,المرجع!$B$3:$C$12,2)</f>
        <v>5</v>
      </c>
      <c r="V5" s="44" t="str">
        <f>VLOOKUP(U5,المرجع!$D$3:$E$12,2)</f>
        <v xml:space="preserve">أ+ </v>
      </c>
      <c r="W5" s="40">
        <f t="shared" si="3"/>
        <v>10</v>
      </c>
      <c r="X5" s="21">
        <v>2</v>
      </c>
      <c r="Y5" s="67">
        <v>99</v>
      </c>
      <c r="Z5" s="65">
        <f>VLOOKUP(Y5,المرجع!$B$3:$C$12,2)</f>
        <v>5</v>
      </c>
      <c r="AA5" s="44" t="str">
        <f>VLOOKUP(Z5,المرجع!$D$3:$E$12,2)</f>
        <v xml:space="preserve">أ+ </v>
      </c>
      <c r="AB5" s="40">
        <f t="shared" si="4"/>
        <v>10</v>
      </c>
      <c r="AC5" s="21">
        <v>2</v>
      </c>
      <c r="AD5" s="67">
        <v>95</v>
      </c>
      <c r="AE5" s="65">
        <f>VLOOKUP(AD5,المرجع!$B$3:$C$12,2)</f>
        <v>5</v>
      </c>
      <c r="AF5" s="44" t="str">
        <f>VLOOKUP(AE5,المرجع!$D$3:$E$12,2)</f>
        <v xml:space="preserve">أ+ </v>
      </c>
      <c r="AG5" s="40">
        <f t="shared" si="5"/>
        <v>10</v>
      </c>
      <c r="AH5" s="21">
        <v>2</v>
      </c>
      <c r="AI5" s="67">
        <v>99</v>
      </c>
      <c r="AJ5" s="65">
        <f>VLOOKUP(AI5,المرجع!$B$3:$C$12,2)</f>
        <v>5</v>
      </c>
      <c r="AK5" s="44" t="str">
        <f>VLOOKUP(AJ5,المرجع!$D$3:$E$12,2)</f>
        <v xml:space="preserve">أ+ </v>
      </c>
      <c r="AL5" s="40">
        <f t="shared" si="6"/>
        <v>10</v>
      </c>
      <c r="AM5" s="21">
        <v>2</v>
      </c>
      <c r="AN5" s="67">
        <v>96</v>
      </c>
      <c r="AO5" s="65">
        <f>VLOOKUP(AN5,المرجع!$B$3:$C$12,2)</f>
        <v>5</v>
      </c>
      <c r="AP5" s="44" t="str">
        <f>VLOOKUP(AO5,المرجع!$D$3:$E$12,2)</f>
        <v xml:space="preserve">أ+ </v>
      </c>
      <c r="AQ5" s="40">
        <f t="shared" si="7"/>
        <v>10</v>
      </c>
      <c r="AR5" s="21">
        <v>2</v>
      </c>
      <c r="AS5" s="67">
        <v>100</v>
      </c>
      <c r="AT5" s="65">
        <f>VLOOKUP(AS5,المرجع!$B$3:$C$12,2)</f>
        <v>5</v>
      </c>
      <c r="AU5" s="44" t="str">
        <f>VLOOKUP(AT5,المرجع!$D$3:$E$12,2)</f>
        <v xml:space="preserve">أ+ </v>
      </c>
      <c r="AV5" s="40">
        <f t="shared" si="8"/>
        <v>10</v>
      </c>
      <c r="AW5" s="21">
        <v>2</v>
      </c>
      <c r="AX5" s="67">
        <v>55</v>
      </c>
      <c r="AY5" s="65">
        <f>VLOOKUP(AX5,المرجع!$B$3:$C$12,2)</f>
        <v>2</v>
      </c>
      <c r="AZ5" s="44" t="str">
        <f>VLOOKUP(AY5,المرجع!$D$3:$E$12,2)</f>
        <v>د</v>
      </c>
      <c r="BA5" s="40">
        <f t="shared" si="9"/>
        <v>4</v>
      </c>
      <c r="BB5" s="21">
        <v>2</v>
      </c>
      <c r="BC5" s="67">
        <v>100</v>
      </c>
      <c r="BD5" s="65">
        <f>VLOOKUP(BC5,المرجع!$B$3:$C$12,2)</f>
        <v>5</v>
      </c>
      <c r="BE5" s="44" t="str">
        <f>VLOOKUP(BD5,المرجع!$D$3:$E$12,2)</f>
        <v xml:space="preserve">أ+ </v>
      </c>
      <c r="BF5" s="40">
        <f t="shared" si="14"/>
        <v>10</v>
      </c>
      <c r="BG5" s="21">
        <v>2</v>
      </c>
      <c r="BH5" s="67">
        <v>100</v>
      </c>
      <c r="BI5" s="65">
        <f>VLOOKUP(BH5,المرجع!$B$3:$C$12,2)</f>
        <v>5</v>
      </c>
      <c r="BJ5" s="44" t="str">
        <f>VLOOKUP(BI5,المرجع!$D$3:$E$12,2)</f>
        <v xml:space="preserve">أ+ </v>
      </c>
      <c r="BK5" s="40">
        <f t="shared" si="10"/>
        <v>10</v>
      </c>
      <c r="BL5" s="72">
        <f t="shared" si="15"/>
        <v>88.5</v>
      </c>
      <c r="BM5" s="73">
        <f t="shared" si="11"/>
        <v>23</v>
      </c>
      <c r="BN5" s="74">
        <f t="shared" si="12"/>
        <v>3.847826086956522</v>
      </c>
      <c r="BO5" s="75"/>
      <c r="BP5" s="76" t="str">
        <f>VLOOKUP(BN5,المرجع!$D$3:$F$12,3)</f>
        <v xml:space="preserve">جيد جدا </v>
      </c>
      <c r="BQ5" s="77">
        <f t="shared" si="13"/>
        <v>5</v>
      </c>
    </row>
    <row r="6" spans="2:69" ht="28.5">
      <c r="B6" s="66">
        <v>2023097</v>
      </c>
      <c r="C6" s="70" t="s">
        <v>48</v>
      </c>
      <c r="D6" s="21">
        <v>1</v>
      </c>
      <c r="E6" s="67">
        <v>96</v>
      </c>
      <c r="F6" s="65">
        <f>VLOOKUP(E6,المرجع!$B$3:$C$12,2)</f>
        <v>5</v>
      </c>
      <c r="G6" s="44" t="str">
        <f>VLOOKUP(F6,المرجع!$D$3:$E$12,2)</f>
        <v xml:space="preserve">أ+ </v>
      </c>
      <c r="H6" s="40">
        <f t="shared" si="0"/>
        <v>5</v>
      </c>
      <c r="I6" s="21">
        <v>2</v>
      </c>
      <c r="J6" s="67">
        <v>100</v>
      </c>
      <c r="K6" s="65">
        <f>VLOOKUP(J6,المرجع!$B$3:$C$12,2)</f>
        <v>5</v>
      </c>
      <c r="L6" s="44" t="str">
        <f>VLOOKUP(K6,المرجع!$D$3:$E$12,2)</f>
        <v xml:space="preserve">أ+ </v>
      </c>
      <c r="M6" s="40">
        <f t="shared" si="1"/>
        <v>10</v>
      </c>
      <c r="N6" s="21">
        <v>2</v>
      </c>
      <c r="O6" s="67">
        <v>90</v>
      </c>
      <c r="P6" s="65">
        <f>VLOOKUP(O6,المرجع!$B$3:$C$12,2)</f>
        <v>4.75</v>
      </c>
      <c r="Q6" s="44" t="str">
        <f>VLOOKUP(P6,المرجع!$D$3:$E$12,2)</f>
        <v>أ</v>
      </c>
      <c r="R6" s="40">
        <f t="shared" si="2"/>
        <v>9.5</v>
      </c>
      <c r="S6" s="21">
        <v>2</v>
      </c>
      <c r="T6" s="67">
        <v>98</v>
      </c>
      <c r="U6" s="65">
        <f>VLOOKUP(T6,المرجع!$B$3:$C$12,2)</f>
        <v>5</v>
      </c>
      <c r="V6" s="44" t="str">
        <f>VLOOKUP(U6,المرجع!$D$3:$E$12,2)</f>
        <v xml:space="preserve">أ+ </v>
      </c>
      <c r="W6" s="40">
        <f t="shared" si="3"/>
        <v>10</v>
      </c>
      <c r="X6" s="21">
        <v>2</v>
      </c>
      <c r="Y6" s="67">
        <v>100</v>
      </c>
      <c r="Z6" s="65">
        <f>VLOOKUP(Y6,المرجع!$B$3:$C$12,2)</f>
        <v>5</v>
      </c>
      <c r="AA6" s="44" t="str">
        <f>VLOOKUP(Z6,المرجع!$D$3:$E$12,2)</f>
        <v xml:space="preserve">أ+ </v>
      </c>
      <c r="AB6" s="40">
        <f t="shared" si="4"/>
        <v>10</v>
      </c>
      <c r="AC6" s="21">
        <v>2</v>
      </c>
      <c r="AD6" s="67">
        <v>93</v>
      </c>
      <c r="AE6" s="65">
        <f>VLOOKUP(AD6,المرجع!$B$3:$C$12,2)</f>
        <v>4.75</v>
      </c>
      <c r="AF6" s="44" t="str">
        <f>VLOOKUP(AE6,المرجع!$D$3:$E$12,2)</f>
        <v>أ</v>
      </c>
      <c r="AG6" s="40">
        <f t="shared" si="5"/>
        <v>9.5</v>
      </c>
      <c r="AH6" s="21">
        <v>2</v>
      </c>
      <c r="AI6" s="67">
        <v>100</v>
      </c>
      <c r="AJ6" s="65">
        <f>VLOOKUP(AI6,المرجع!$B$3:$C$12,2)</f>
        <v>5</v>
      </c>
      <c r="AK6" s="44" t="str">
        <f>VLOOKUP(AJ6,المرجع!$D$3:$E$12,2)</f>
        <v xml:space="preserve">أ+ </v>
      </c>
      <c r="AL6" s="40">
        <f t="shared" si="6"/>
        <v>10</v>
      </c>
      <c r="AM6" s="21">
        <v>2</v>
      </c>
      <c r="AN6" s="67">
        <v>94</v>
      </c>
      <c r="AO6" s="65">
        <f>VLOOKUP(AN6,المرجع!$B$3:$C$12,2)</f>
        <v>4.75</v>
      </c>
      <c r="AP6" s="44" t="str">
        <f>VLOOKUP(AO6,المرجع!$D$3:$E$12,2)</f>
        <v>أ</v>
      </c>
      <c r="AQ6" s="40">
        <f t="shared" si="7"/>
        <v>9.5</v>
      </c>
      <c r="AR6" s="21">
        <v>2</v>
      </c>
      <c r="AS6" s="67">
        <v>86</v>
      </c>
      <c r="AT6" s="65">
        <f>VLOOKUP(AS6,المرجع!$B$3:$C$12,2)</f>
        <v>4.5</v>
      </c>
      <c r="AU6" s="44" t="str">
        <f>VLOOKUP(AT6,المرجع!$D$3:$E$12,2)</f>
        <v>ب+</v>
      </c>
      <c r="AV6" s="40">
        <f t="shared" si="8"/>
        <v>9</v>
      </c>
      <c r="AW6" s="21">
        <v>2</v>
      </c>
      <c r="AX6" s="67">
        <v>80</v>
      </c>
      <c r="AY6" s="65">
        <f>VLOOKUP(AX6,المرجع!$B$3:$C$12,2)</f>
        <v>4</v>
      </c>
      <c r="AZ6" s="44" t="str">
        <f>VLOOKUP(AY6,المرجع!$D$3:$E$12,2)</f>
        <v>ب</v>
      </c>
      <c r="BA6" s="40">
        <f t="shared" si="9"/>
        <v>8</v>
      </c>
      <c r="BB6" s="21">
        <v>2</v>
      </c>
      <c r="BC6" s="67">
        <v>98</v>
      </c>
      <c r="BD6" s="65">
        <f>VLOOKUP(BC6,المرجع!$B$3:$C$12,2)</f>
        <v>5</v>
      </c>
      <c r="BE6" s="44" t="str">
        <f>VLOOKUP(BD6,المرجع!$D$3:$E$12,2)</f>
        <v xml:space="preserve">أ+ </v>
      </c>
      <c r="BF6" s="40">
        <f t="shared" si="14"/>
        <v>10</v>
      </c>
      <c r="BG6" s="21">
        <v>2</v>
      </c>
      <c r="BH6" s="67">
        <v>66</v>
      </c>
      <c r="BI6" s="65">
        <f>VLOOKUP(BH6,المرجع!$B$3:$C$12,2)</f>
        <v>2.5</v>
      </c>
      <c r="BJ6" s="44" t="str">
        <f>VLOOKUP(BI6,المرجع!$D$3:$E$12,2)</f>
        <v>د+</v>
      </c>
      <c r="BK6" s="40">
        <f t="shared" si="10"/>
        <v>5</v>
      </c>
      <c r="BL6" s="72">
        <f t="shared" si="15"/>
        <v>95.5</v>
      </c>
      <c r="BM6" s="73">
        <f t="shared" si="11"/>
        <v>23</v>
      </c>
      <c r="BN6" s="74">
        <f t="shared" si="12"/>
        <v>4.1521739130434785</v>
      </c>
      <c r="BO6" s="75"/>
      <c r="BP6" s="76" t="str">
        <f>VLOOKUP(BN6,المرجع!$D$3:$F$12,3)</f>
        <v>جيد جد مرتفع</v>
      </c>
      <c r="BQ6" s="77">
        <f t="shared" si="13"/>
        <v>1</v>
      </c>
    </row>
    <row r="7" spans="2:69" ht="28.5">
      <c r="B7" s="66">
        <v>2023027</v>
      </c>
      <c r="C7" s="70" t="s">
        <v>2</v>
      </c>
      <c r="D7" s="21">
        <v>1</v>
      </c>
      <c r="E7" s="67">
        <v>100</v>
      </c>
      <c r="F7" s="65">
        <f>VLOOKUP(E7,المرجع!$B$3:$C$12,2)</f>
        <v>5</v>
      </c>
      <c r="G7" s="44" t="str">
        <f>VLOOKUP(F7,المرجع!$D$3:$E$12,2)</f>
        <v xml:space="preserve">أ+ </v>
      </c>
      <c r="H7" s="40">
        <f t="shared" si="0"/>
        <v>5</v>
      </c>
      <c r="I7" s="21">
        <v>2</v>
      </c>
      <c r="J7" s="67">
        <v>100</v>
      </c>
      <c r="K7" s="65">
        <f>VLOOKUP(J7,المرجع!$B$3:$C$12,2)</f>
        <v>5</v>
      </c>
      <c r="L7" s="44" t="str">
        <f>VLOOKUP(K7,المرجع!$D$3:$E$12,2)</f>
        <v xml:space="preserve">أ+ </v>
      </c>
      <c r="M7" s="40">
        <f t="shared" si="1"/>
        <v>10</v>
      </c>
      <c r="N7" s="21">
        <v>2</v>
      </c>
      <c r="O7" s="67">
        <v>67</v>
      </c>
      <c r="P7" s="65">
        <f>VLOOKUP(O7,المرجع!$B$3:$C$12,2)</f>
        <v>2.5</v>
      </c>
      <c r="Q7" s="44" t="str">
        <f>VLOOKUP(P7,المرجع!$D$3:$E$12,2)</f>
        <v>د+</v>
      </c>
      <c r="R7" s="40">
        <f t="shared" si="2"/>
        <v>5</v>
      </c>
      <c r="S7" s="21">
        <v>2</v>
      </c>
      <c r="T7" s="67">
        <v>100</v>
      </c>
      <c r="U7" s="65">
        <f>VLOOKUP(T7,المرجع!$B$3:$C$12,2)</f>
        <v>5</v>
      </c>
      <c r="V7" s="44" t="str">
        <f>VLOOKUP(U7,المرجع!$D$3:$E$12,2)</f>
        <v xml:space="preserve">أ+ </v>
      </c>
      <c r="W7" s="40">
        <f t="shared" si="3"/>
        <v>10</v>
      </c>
      <c r="X7" s="21">
        <v>2</v>
      </c>
      <c r="Y7" s="67">
        <v>100</v>
      </c>
      <c r="Z7" s="65">
        <f>VLOOKUP(Y7,المرجع!$B$3:$C$12,2)</f>
        <v>5</v>
      </c>
      <c r="AA7" s="44" t="str">
        <f>VLOOKUP(Z7,المرجع!$D$3:$E$12,2)</f>
        <v xml:space="preserve">أ+ </v>
      </c>
      <c r="AB7" s="40">
        <f t="shared" si="4"/>
        <v>10</v>
      </c>
      <c r="AC7" s="21">
        <v>2</v>
      </c>
      <c r="AD7" s="67">
        <v>93</v>
      </c>
      <c r="AE7" s="65">
        <f>VLOOKUP(AD7,المرجع!$B$3:$C$12,2)</f>
        <v>4.75</v>
      </c>
      <c r="AF7" s="44" t="str">
        <f>VLOOKUP(AE7,المرجع!$D$3:$E$12,2)</f>
        <v>أ</v>
      </c>
      <c r="AG7" s="40">
        <f t="shared" si="5"/>
        <v>9.5</v>
      </c>
      <c r="AH7" s="21">
        <v>2</v>
      </c>
      <c r="AI7" s="67">
        <v>98</v>
      </c>
      <c r="AJ7" s="65">
        <f>VLOOKUP(AI7,المرجع!$B$3:$C$12,2)</f>
        <v>5</v>
      </c>
      <c r="AK7" s="44" t="str">
        <f>VLOOKUP(AJ7,المرجع!$D$3:$E$12,2)</f>
        <v xml:space="preserve">أ+ </v>
      </c>
      <c r="AL7" s="40">
        <f t="shared" si="6"/>
        <v>10</v>
      </c>
      <c r="AM7" s="21">
        <v>2</v>
      </c>
      <c r="AN7" s="67">
        <v>94</v>
      </c>
      <c r="AO7" s="65">
        <f>VLOOKUP(AN7,المرجع!$B$3:$C$12,2)</f>
        <v>4.75</v>
      </c>
      <c r="AP7" s="44" t="str">
        <f>VLOOKUP(AO7,المرجع!$D$3:$E$12,2)</f>
        <v>أ</v>
      </c>
      <c r="AQ7" s="40">
        <f t="shared" si="7"/>
        <v>9.5</v>
      </c>
      <c r="AR7" s="21">
        <v>2</v>
      </c>
      <c r="AS7" s="67">
        <v>89</v>
      </c>
      <c r="AT7" s="65">
        <f>VLOOKUP(AS7,المرجع!$B$3:$C$12,2)</f>
        <v>4.5</v>
      </c>
      <c r="AU7" s="44" t="str">
        <f>VLOOKUP(AT7,المرجع!$D$3:$E$12,2)</f>
        <v>ب+</v>
      </c>
      <c r="AV7" s="40">
        <f t="shared" si="8"/>
        <v>9</v>
      </c>
      <c r="AW7" s="21">
        <v>2</v>
      </c>
      <c r="AX7" s="67">
        <v>85</v>
      </c>
      <c r="AY7" s="65">
        <f>VLOOKUP(AX7,المرجع!$B$3:$C$12,2)</f>
        <v>4.5</v>
      </c>
      <c r="AZ7" s="44" t="str">
        <f>VLOOKUP(AY7,المرجع!$D$3:$E$12,2)</f>
        <v>ب+</v>
      </c>
      <c r="BA7" s="40">
        <f t="shared" si="9"/>
        <v>9</v>
      </c>
      <c r="BB7" s="21">
        <v>2</v>
      </c>
      <c r="BC7" s="67">
        <v>96</v>
      </c>
      <c r="BD7" s="65">
        <f>VLOOKUP(BC7,المرجع!$B$3:$C$12,2)</f>
        <v>5</v>
      </c>
      <c r="BE7" s="44" t="str">
        <f>VLOOKUP(BD7,المرجع!$D$3:$E$12,2)</f>
        <v xml:space="preserve">أ+ </v>
      </c>
      <c r="BF7" s="40">
        <f t="shared" si="14"/>
        <v>10</v>
      </c>
      <c r="BG7" s="21">
        <v>2</v>
      </c>
      <c r="BH7" s="67">
        <v>83</v>
      </c>
      <c r="BI7" s="65">
        <f>VLOOKUP(BH7,المرجع!$B$3:$C$12,2)</f>
        <v>4</v>
      </c>
      <c r="BJ7" s="44" t="str">
        <f>VLOOKUP(BI7,المرجع!$D$3:$E$12,2)</f>
        <v>ب</v>
      </c>
      <c r="BK7" s="40">
        <f t="shared" si="10"/>
        <v>8</v>
      </c>
      <c r="BL7" s="72">
        <f t="shared" si="15"/>
        <v>89</v>
      </c>
      <c r="BM7" s="73">
        <f t="shared" si="11"/>
        <v>23</v>
      </c>
      <c r="BN7" s="74">
        <f t="shared" si="12"/>
        <v>3.8695652173913042</v>
      </c>
      <c r="BO7" s="75"/>
      <c r="BP7" s="76" t="str">
        <f>VLOOKUP(BN7,المرجع!$D$3:$F$12,3)</f>
        <v xml:space="preserve">جيد جدا </v>
      </c>
      <c r="BQ7" s="77">
        <f t="shared" si="13"/>
        <v>2</v>
      </c>
    </row>
    <row r="8" spans="2:69" ht="28.5">
      <c r="B8" s="66">
        <v>2023023</v>
      </c>
      <c r="C8" s="70" t="s">
        <v>87</v>
      </c>
      <c r="D8" s="21">
        <v>1</v>
      </c>
      <c r="E8" s="67">
        <v>95</v>
      </c>
      <c r="F8" s="65">
        <f>VLOOKUP(E8,المرجع!$B$3:$C$12,2)</f>
        <v>5</v>
      </c>
      <c r="G8" s="44" t="str">
        <f>VLOOKUP(F8,المرجع!$D$3:$E$12,2)</f>
        <v xml:space="preserve">أ+ </v>
      </c>
      <c r="H8" s="40">
        <f t="shared" si="0"/>
        <v>5</v>
      </c>
      <c r="I8" s="21">
        <v>2</v>
      </c>
      <c r="J8" s="67">
        <v>100</v>
      </c>
      <c r="K8" s="65">
        <f>VLOOKUP(J8,المرجع!$B$3:$C$12,2)</f>
        <v>5</v>
      </c>
      <c r="L8" s="44" t="str">
        <f>VLOOKUP(K8,المرجع!$D$3:$E$12,2)</f>
        <v xml:space="preserve">أ+ </v>
      </c>
      <c r="M8" s="40">
        <f t="shared" si="1"/>
        <v>10</v>
      </c>
      <c r="N8" s="21">
        <v>2</v>
      </c>
      <c r="O8" s="67">
        <v>60</v>
      </c>
      <c r="P8" s="65">
        <f>VLOOKUP(O8,المرجع!$B$3:$C$12,2)</f>
        <v>2</v>
      </c>
      <c r="Q8" s="44" t="str">
        <f>VLOOKUP(P8,المرجع!$D$3:$E$12,2)</f>
        <v>د</v>
      </c>
      <c r="R8" s="40">
        <f t="shared" si="2"/>
        <v>4</v>
      </c>
      <c r="S8" s="21">
        <v>2</v>
      </c>
      <c r="T8" s="67">
        <v>96</v>
      </c>
      <c r="U8" s="65">
        <f>VLOOKUP(T8,المرجع!$B$3:$C$12,2)</f>
        <v>5</v>
      </c>
      <c r="V8" s="44" t="str">
        <f>VLOOKUP(U8,المرجع!$D$3:$E$12,2)</f>
        <v xml:space="preserve">أ+ </v>
      </c>
      <c r="W8" s="40">
        <f t="shared" si="3"/>
        <v>10</v>
      </c>
      <c r="X8" s="21">
        <v>2</v>
      </c>
      <c r="Y8" s="67">
        <v>99</v>
      </c>
      <c r="Z8" s="65">
        <f>VLOOKUP(Y8,المرجع!$B$3:$C$12,2)</f>
        <v>5</v>
      </c>
      <c r="AA8" s="44" t="str">
        <f>VLOOKUP(Z8,المرجع!$D$3:$E$12,2)</f>
        <v xml:space="preserve">أ+ </v>
      </c>
      <c r="AB8" s="40">
        <f t="shared" si="4"/>
        <v>10</v>
      </c>
      <c r="AC8" s="21">
        <v>2</v>
      </c>
      <c r="AD8" s="67">
        <v>80</v>
      </c>
      <c r="AE8" s="65">
        <f>VLOOKUP(AD8,المرجع!$B$3:$C$12,2)</f>
        <v>4</v>
      </c>
      <c r="AF8" s="44" t="str">
        <f>VLOOKUP(AE8,المرجع!$D$3:$E$12,2)</f>
        <v>ب</v>
      </c>
      <c r="AG8" s="40">
        <f t="shared" si="5"/>
        <v>8</v>
      </c>
      <c r="AH8" s="21">
        <v>2</v>
      </c>
      <c r="AI8" s="67">
        <v>89</v>
      </c>
      <c r="AJ8" s="65">
        <f>VLOOKUP(AI8,المرجع!$B$3:$C$12,2)</f>
        <v>4.5</v>
      </c>
      <c r="AK8" s="44" t="str">
        <f>VLOOKUP(AJ8,المرجع!$D$3:$E$12,2)</f>
        <v>ب+</v>
      </c>
      <c r="AL8" s="40">
        <f t="shared" si="6"/>
        <v>9</v>
      </c>
      <c r="AM8" s="21">
        <v>2</v>
      </c>
      <c r="AN8" s="67">
        <v>88</v>
      </c>
      <c r="AO8" s="65">
        <f>VLOOKUP(AN8,المرجع!$B$3:$C$12,2)</f>
        <v>4.5</v>
      </c>
      <c r="AP8" s="44" t="str">
        <f>VLOOKUP(AO8,المرجع!$D$3:$E$12,2)</f>
        <v>ب+</v>
      </c>
      <c r="AQ8" s="40">
        <f t="shared" si="7"/>
        <v>9</v>
      </c>
      <c r="AR8" s="21">
        <v>2</v>
      </c>
      <c r="AS8" s="67">
        <v>86</v>
      </c>
      <c r="AT8" s="65">
        <f>VLOOKUP(AS8,المرجع!$B$3:$C$12,2)</f>
        <v>4.5</v>
      </c>
      <c r="AU8" s="44" t="str">
        <f>VLOOKUP(AT8,المرجع!$D$3:$E$12,2)</f>
        <v>ب+</v>
      </c>
      <c r="AV8" s="40">
        <f t="shared" si="8"/>
        <v>9</v>
      </c>
      <c r="AW8" s="21">
        <v>2</v>
      </c>
      <c r="AX8" s="67">
        <v>80</v>
      </c>
      <c r="AY8" s="65">
        <f>VLOOKUP(AX8,المرجع!$B$3:$C$12,2)</f>
        <v>4</v>
      </c>
      <c r="AZ8" s="44" t="str">
        <f>VLOOKUP(AY8,المرجع!$D$3:$E$12,2)</f>
        <v>ب</v>
      </c>
      <c r="BA8" s="40">
        <f t="shared" si="9"/>
        <v>8</v>
      </c>
      <c r="BB8" s="21">
        <v>2</v>
      </c>
      <c r="BC8" s="67">
        <v>95</v>
      </c>
      <c r="BD8" s="65">
        <f>VLOOKUP(BC8,المرجع!$B$3:$C$12,2)</f>
        <v>5</v>
      </c>
      <c r="BE8" s="44" t="str">
        <f>VLOOKUP(BD8,المرجع!$D$3:$E$12,2)</f>
        <v xml:space="preserve">أ+ </v>
      </c>
      <c r="BF8" s="40">
        <f t="shared" si="14"/>
        <v>10</v>
      </c>
      <c r="BG8" s="21">
        <v>2</v>
      </c>
      <c r="BH8" s="67">
        <v>100</v>
      </c>
      <c r="BI8" s="65">
        <f>VLOOKUP(BH8,المرجع!$B$3:$C$12,2)</f>
        <v>5</v>
      </c>
      <c r="BJ8" s="44" t="str">
        <f>VLOOKUP(BI8,المرجع!$D$3:$E$12,2)</f>
        <v xml:space="preserve">أ+ </v>
      </c>
      <c r="BK8" s="40">
        <f t="shared" si="10"/>
        <v>10</v>
      </c>
      <c r="BL8" s="72">
        <f t="shared" si="15"/>
        <v>82</v>
      </c>
      <c r="BM8" s="73">
        <f t="shared" si="11"/>
        <v>23</v>
      </c>
      <c r="BN8" s="74">
        <f t="shared" si="12"/>
        <v>3.5652173913043477</v>
      </c>
      <c r="BO8" s="75"/>
      <c r="BP8" s="76" t="str">
        <f>VLOOKUP(BN8,المرجع!$D$3:$F$12,3)</f>
        <v xml:space="preserve">جيد مرتفع </v>
      </c>
      <c r="BQ8" s="77">
        <f t="shared" si="13"/>
        <v>9</v>
      </c>
    </row>
    <row r="9" spans="2:69" ht="28.5">
      <c r="B9" s="66">
        <v>2023050</v>
      </c>
      <c r="C9" s="70" t="s">
        <v>163</v>
      </c>
      <c r="D9" s="21">
        <v>1</v>
      </c>
      <c r="E9" s="67">
        <v>98</v>
      </c>
      <c r="F9" s="65">
        <f>VLOOKUP(E9,المرجع!$B$3:$C$12,2)</f>
        <v>5</v>
      </c>
      <c r="G9" s="44" t="str">
        <f>VLOOKUP(F9,المرجع!$D$3:$E$12,2)</f>
        <v xml:space="preserve">أ+ </v>
      </c>
      <c r="H9" s="40">
        <f t="shared" si="0"/>
        <v>5</v>
      </c>
      <c r="I9" s="21">
        <v>2</v>
      </c>
      <c r="J9" s="67">
        <v>100</v>
      </c>
      <c r="K9" s="65">
        <f>VLOOKUP(J9,المرجع!$B$3:$C$12,2)</f>
        <v>5</v>
      </c>
      <c r="L9" s="44" t="str">
        <f>VLOOKUP(K9,المرجع!$D$3:$E$12,2)</f>
        <v xml:space="preserve">أ+ </v>
      </c>
      <c r="M9" s="40">
        <f t="shared" si="1"/>
        <v>10</v>
      </c>
      <c r="N9" s="21">
        <v>2</v>
      </c>
      <c r="O9" s="67">
        <v>65</v>
      </c>
      <c r="P9" s="65">
        <f>VLOOKUP(O9,المرجع!$B$3:$C$12,2)</f>
        <v>2.5</v>
      </c>
      <c r="Q9" s="44" t="str">
        <f>VLOOKUP(P9,المرجع!$D$3:$E$12,2)</f>
        <v>د+</v>
      </c>
      <c r="R9" s="40">
        <f t="shared" si="2"/>
        <v>5</v>
      </c>
      <c r="S9" s="21">
        <v>2</v>
      </c>
      <c r="T9" s="67">
        <v>100</v>
      </c>
      <c r="U9" s="65">
        <f>VLOOKUP(T9,المرجع!$B$3:$C$12,2)</f>
        <v>5</v>
      </c>
      <c r="V9" s="44" t="str">
        <f>VLOOKUP(U9,المرجع!$D$3:$E$12,2)</f>
        <v xml:space="preserve">أ+ </v>
      </c>
      <c r="W9" s="40">
        <f t="shared" si="3"/>
        <v>10</v>
      </c>
      <c r="X9" s="21">
        <v>2</v>
      </c>
      <c r="Y9" s="67">
        <v>100</v>
      </c>
      <c r="Z9" s="65">
        <f>VLOOKUP(Y9,المرجع!$B$3:$C$12,2)</f>
        <v>5</v>
      </c>
      <c r="AA9" s="44" t="str">
        <f>VLOOKUP(Z9,المرجع!$D$3:$E$12,2)</f>
        <v xml:space="preserve">أ+ </v>
      </c>
      <c r="AB9" s="40">
        <f t="shared" si="4"/>
        <v>10</v>
      </c>
      <c r="AC9" s="21">
        <v>2</v>
      </c>
      <c r="AD9" s="67">
        <v>97</v>
      </c>
      <c r="AE9" s="65">
        <f>VLOOKUP(AD9,المرجع!$B$3:$C$12,2)</f>
        <v>5</v>
      </c>
      <c r="AF9" s="44" t="str">
        <f>VLOOKUP(AE9,المرجع!$D$3:$E$12,2)</f>
        <v xml:space="preserve">أ+ </v>
      </c>
      <c r="AG9" s="40">
        <f t="shared" si="5"/>
        <v>10</v>
      </c>
      <c r="AH9" s="21">
        <v>2</v>
      </c>
      <c r="AI9" s="67">
        <v>88</v>
      </c>
      <c r="AJ9" s="65">
        <f>VLOOKUP(AI9,المرجع!$B$3:$C$12,2)</f>
        <v>4.5</v>
      </c>
      <c r="AK9" s="44" t="str">
        <f>VLOOKUP(AJ9,المرجع!$D$3:$E$12,2)</f>
        <v>ب+</v>
      </c>
      <c r="AL9" s="40">
        <f t="shared" si="6"/>
        <v>9</v>
      </c>
      <c r="AM9" s="21">
        <v>2</v>
      </c>
      <c r="AN9" s="67">
        <v>90</v>
      </c>
      <c r="AO9" s="65">
        <f>VLOOKUP(AN9,المرجع!$B$3:$C$12,2)</f>
        <v>4.75</v>
      </c>
      <c r="AP9" s="44" t="str">
        <f>VLOOKUP(AO9,المرجع!$D$3:$E$12,2)</f>
        <v>أ</v>
      </c>
      <c r="AQ9" s="40">
        <f t="shared" si="7"/>
        <v>9.5</v>
      </c>
      <c r="AR9" s="21">
        <v>2</v>
      </c>
      <c r="AS9" s="67">
        <v>86</v>
      </c>
      <c r="AT9" s="65">
        <f>VLOOKUP(AS9,المرجع!$B$3:$C$12,2)</f>
        <v>4.5</v>
      </c>
      <c r="AU9" s="44" t="str">
        <f>VLOOKUP(AT9,المرجع!$D$3:$E$12,2)</f>
        <v>ب+</v>
      </c>
      <c r="AV9" s="40">
        <f t="shared" si="8"/>
        <v>9</v>
      </c>
      <c r="AW9" s="21">
        <v>2</v>
      </c>
      <c r="AX9" s="67">
        <v>60</v>
      </c>
      <c r="AY9" s="65">
        <f>VLOOKUP(AX9,المرجع!$B$3:$C$12,2)</f>
        <v>2</v>
      </c>
      <c r="AZ9" s="44" t="str">
        <f>VLOOKUP(AY9,المرجع!$D$3:$E$12,2)</f>
        <v>د</v>
      </c>
      <c r="BA9" s="40">
        <f t="shared" si="9"/>
        <v>4</v>
      </c>
      <c r="BB9" s="21">
        <v>2</v>
      </c>
      <c r="BC9" s="67">
        <v>86</v>
      </c>
      <c r="BD9" s="65">
        <f>VLOOKUP(BC9,المرجع!$B$3:$C$12,2)</f>
        <v>4.5</v>
      </c>
      <c r="BE9" s="44" t="str">
        <f>VLOOKUP(BD9,المرجع!$D$3:$E$12,2)</f>
        <v>ب+</v>
      </c>
      <c r="BF9" s="40">
        <f t="shared" si="14"/>
        <v>9</v>
      </c>
      <c r="BG9" s="21">
        <v>2</v>
      </c>
      <c r="BH9" s="67">
        <v>98</v>
      </c>
      <c r="BI9" s="65">
        <f>VLOOKUP(BH9,المرجع!$B$3:$C$12,2)</f>
        <v>5</v>
      </c>
      <c r="BJ9" s="44" t="str">
        <f>VLOOKUP(BI9,المرجع!$D$3:$E$12,2)</f>
        <v xml:space="preserve">أ+ </v>
      </c>
      <c r="BK9" s="40">
        <f t="shared" si="10"/>
        <v>10</v>
      </c>
      <c r="BL9" s="72">
        <f t="shared" si="15"/>
        <v>80.5</v>
      </c>
      <c r="BM9" s="73">
        <f t="shared" si="11"/>
        <v>23</v>
      </c>
      <c r="BN9" s="74">
        <f t="shared" si="12"/>
        <v>3.5</v>
      </c>
      <c r="BO9" s="75"/>
      <c r="BP9" s="76" t="str">
        <f>VLOOKUP(BN9,المرجع!$D$3:$F$12,3)</f>
        <v xml:space="preserve">جيد مرتفع </v>
      </c>
      <c r="BQ9" s="77">
        <f t="shared" si="13"/>
        <v>12</v>
      </c>
    </row>
    <row r="10" spans="2:69" ht="28.5">
      <c r="B10" s="66">
        <v>2023041</v>
      </c>
      <c r="C10" s="70" t="s">
        <v>90</v>
      </c>
      <c r="D10" s="21">
        <v>1</v>
      </c>
      <c r="E10" s="67">
        <v>95</v>
      </c>
      <c r="F10" s="65">
        <f>VLOOKUP(E10,المرجع!$B$3:$C$12,2)</f>
        <v>5</v>
      </c>
      <c r="G10" s="44" t="str">
        <f>VLOOKUP(F10,المرجع!$D$3:$E$12,2)</f>
        <v xml:space="preserve">أ+ </v>
      </c>
      <c r="H10" s="40">
        <f t="shared" si="0"/>
        <v>5</v>
      </c>
      <c r="I10" s="21">
        <v>2</v>
      </c>
      <c r="J10" s="67">
        <v>100</v>
      </c>
      <c r="K10" s="65">
        <f>VLOOKUP(J10,المرجع!$B$3:$C$12,2)</f>
        <v>5</v>
      </c>
      <c r="L10" s="44" t="str">
        <f>VLOOKUP(K10,المرجع!$D$3:$E$12,2)</f>
        <v xml:space="preserve">أ+ </v>
      </c>
      <c r="M10" s="40">
        <f t="shared" si="1"/>
        <v>10</v>
      </c>
      <c r="N10" s="21">
        <v>2</v>
      </c>
      <c r="O10" s="67">
        <v>89</v>
      </c>
      <c r="P10" s="65">
        <f>VLOOKUP(O10,المرجع!$B$3:$C$12,2)</f>
        <v>4.5</v>
      </c>
      <c r="Q10" s="44" t="str">
        <f>VLOOKUP(P10,المرجع!$D$3:$E$12,2)</f>
        <v>ب+</v>
      </c>
      <c r="R10" s="40">
        <f t="shared" si="2"/>
        <v>9</v>
      </c>
      <c r="S10" s="21">
        <v>2</v>
      </c>
      <c r="T10" s="67">
        <v>98</v>
      </c>
      <c r="U10" s="65">
        <f>VLOOKUP(T10,المرجع!$B$3:$C$12,2)</f>
        <v>5</v>
      </c>
      <c r="V10" s="44" t="str">
        <f>VLOOKUP(U10,المرجع!$D$3:$E$12,2)</f>
        <v xml:space="preserve">أ+ </v>
      </c>
      <c r="W10" s="40">
        <f t="shared" si="3"/>
        <v>10</v>
      </c>
      <c r="X10" s="21">
        <v>2</v>
      </c>
      <c r="Y10" s="67">
        <v>98</v>
      </c>
      <c r="Z10" s="65">
        <f>VLOOKUP(Y10,المرجع!$B$3:$C$12,2)</f>
        <v>5</v>
      </c>
      <c r="AA10" s="44" t="str">
        <f>VLOOKUP(Z10,المرجع!$D$3:$E$12,2)</f>
        <v xml:space="preserve">أ+ </v>
      </c>
      <c r="AB10" s="40">
        <f t="shared" si="4"/>
        <v>10</v>
      </c>
      <c r="AC10" s="21">
        <v>2</v>
      </c>
      <c r="AD10" s="67">
        <v>87</v>
      </c>
      <c r="AE10" s="65">
        <f>VLOOKUP(AD10,المرجع!$B$3:$C$12,2)</f>
        <v>4.5</v>
      </c>
      <c r="AF10" s="44" t="str">
        <f>VLOOKUP(AE10,المرجع!$D$3:$E$12,2)</f>
        <v>ب+</v>
      </c>
      <c r="AG10" s="40">
        <f t="shared" si="5"/>
        <v>9</v>
      </c>
      <c r="AH10" s="21">
        <v>2</v>
      </c>
      <c r="AI10" s="67">
        <v>76</v>
      </c>
      <c r="AJ10" s="65">
        <f>VLOOKUP(AI10,المرجع!$B$3:$C$12,2)</f>
        <v>3.5</v>
      </c>
      <c r="AK10" s="44" t="str">
        <f>VLOOKUP(AJ10,المرجع!$D$3:$E$12,2)</f>
        <v>ج+</v>
      </c>
      <c r="AL10" s="40">
        <f t="shared" si="6"/>
        <v>7</v>
      </c>
      <c r="AM10" s="21">
        <v>2</v>
      </c>
      <c r="AN10" s="67">
        <v>79</v>
      </c>
      <c r="AO10" s="65">
        <f>VLOOKUP(AN10,المرجع!$B$3:$C$12,2)</f>
        <v>3.5</v>
      </c>
      <c r="AP10" s="44" t="str">
        <f>VLOOKUP(AO10,المرجع!$D$3:$E$12,2)</f>
        <v>ج+</v>
      </c>
      <c r="AQ10" s="40">
        <f t="shared" si="7"/>
        <v>7</v>
      </c>
      <c r="AR10" s="21">
        <v>2</v>
      </c>
      <c r="AS10" s="67">
        <v>78</v>
      </c>
      <c r="AT10" s="65">
        <f>VLOOKUP(AS10,المرجع!$B$3:$C$12,2)</f>
        <v>3.5</v>
      </c>
      <c r="AU10" s="44" t="str">
        <f>VLOOKUP(AT10,المرجع!$D$3:$E$12,2)</f>
        <v>ج+</v>
      </c>
      <c r="AV10" s="40">
        <f t="shared" si="8"/>
        <v>7</v>
      </c>
      <c r="AW10" s="21">
        <v>2</v>
      </c>
      <c r="AX10" s="67">
        <v>75</v>
      </c>
      <c r="AY10" s="65">
        <f>VLOOKUP(AX10,المرجع!$B$3:$C$12,2)</f>
        <v>3.5</v>
      </c>
      <c r="AZ10" s="44" t="str">
        <f>VLOOKUP(AY10,المرجع!$D$3:$E$12,2)</f>
        <v>ج+</v>
      </c>
      <c r="BA10" s="40">
        <f t="shared" si="9"/>
        <v>7</v>
      </c>
      <c r="BB10" s="21">
        <v>2</v>
      </c>
      <c r="BC10" s="67">
        <v>100</v>
      </c>
      <c r="BD10" s="65">
        <f>VLOOKUP(BC10,المرجع!$B$3:$C$12,2)</f>
        <v>5</v>
      </c>
      <c r="BE10" s="44" t="str">
        <f>VLOOKUP(BD10,المرجع!$D$3:$E$12,2)</f>
        <v xml:space="preserve">أ+ </v>
      </c>
      <c r="BF10" s="40">
        <f t="shared" si="14"/>
        <v>10</v>
      </c>
      <c r="BG10" s="21">
        <v>2</v>
      </c>
      <c r="BH10" s="67">
        <v>94</v>
      </c>
      <c r="BI10" s="65">
        <f>VLOOKUP(BH10,المرجع!$B$3:$C$12,2)</f>
        <v>4.75</v>
      </c>
      <c r="BJ10" s="44" t="str">
        <f>VLOOKUP(BI10,المرجع!$D$3:$E$12,2)</f>
        <v>أ</v>
      </c>
      <c r="BK10" s="40">
        <f t="shared" si="10"/>
        <v>9.5</v>
      </c>
      <c r="BL10" s="72">
        <f t="shared" si="15"/>
        <v>81.5</v>
      </c>
      <c r="BM10" s="73">
        <f t="shared" si="11"/>
        <v>23</v>
      </c>
      <c r="BN10" s="74">
        <f t="shared" si="12"/>
        <v>3.5434782608695654</v>
      </c>
      <c r="BO10" s="75"/>
      <c r="BP10" s="76" t="str">
        <f>VLOOKUP(BN10,المرجع!$D$3:$F$12,3)</f>
        <v xml:space="preserve">جيد مرتفع </v>
      </c>
      <c r="BQ10" s="77">
        <f t="shared" si="13"/>
        <v>10</v>
      </c>
    </row>
    <row r="11" spans="2:69" ht="28.5">
      <c r="B11" s="66">
        <v>2023084</v>
      </c>
      <c r="C11" s="70" t="s">
        <v>88</v>
      </c>
      <c r="D11" s="21">
        <v>1</v>
      </c>
      <c r="E11" s="67">
        <v>95</v>
      </c>
      <c r="F11" s="65">
        <f>VLOOKUP(E11,المرجع!$B$3:$C$12,2)</f>
        <v>5</v>
      </c>
      <c r="G11" s="44" t="str">
        <f>VLOOKUP(F11,المرجع!$D$3:$E$12,2)</f>
        <v xml:space="preserve">أ+ </v>
      </c>
      <c r="H11" s="40">
        <f t="shared" si="0"/>
        <v>5</v>
      </c>
      <c r="I11" s="21">
        <v>2</v>
      </c>
      <c r="J11" s="67">
        <v>100</v>
      </c>
      <c r="K11" s="65">
        <f>VLOOKUP(J11,المرجع!$B$3:$C$12,2)</f>
        <v>5</v>
      </c>
      <c r="L11" s="44" t="str">
        <f>VLOOKUP(K11,المرجع!$D$3:$E$12,2)</f>
        <v xml:space="preserve">أ+ </v>
      </c>
      <c r="M11" s="40">
        <f t="shared" si="1"/>
        <v>10</v>
      </c>
      <c r="N11" s="21">
        <v>2</v>
      </c>
      <c r="O11" s="67">
        <v>91</v>
      </c>
      <c r="P11" s="65">
        <f>VLOOKUP(O11,المرجع!$B$3:$C$12,2)</f>
        <v>4.75</v>
      </c>
      <c r="Q11" s="44" t="str">
        <f>VLOOKUP(P11,المرجع!$D$3:$E$12,2)</f>
        <v>أ</v>
      </c>
      <c r="R11" s="40">
        <f t="shared" si="2"/>
        <v>9.5</v>
      </c>
      <c r="S11" s="21">
        <v>2</v>
      </c>
      <c r="T11" s="67">
        <v>100</v>
      </c>
      <c r="U11" s="65">
        <f>VLOOKUP(T11,المرجع!$B$3:$C$12,2)</f>
        <v>5</v>
      </c>
      <c r="V11" s="44" t="str">
        <f>VLOOKUP(U11,المرجع!$D$3:$E$12,2)</f>
        <v xml:space="preserve">أ+ </v>
      </c>
      <c r="W11" s="40">
        <f t="shared" si="3"/>
        <v>10</v>
      </c>
      <c r="X11" s="21">
        <v>2</v>
      </c>
      <c r="Y11" s="67">
        <v>90</v>
      </c>
      <c r="Z11" s="65">
        <f>VLOOKUP(Y11,المرجع!$B$3:$C$12,2)</f>
        <v>4.75</v>
      </c>
      <c r="AA11" s="44" t="str">
        <f>VLOOKUP(Z11,المرجع!$D$3:$E$12,2)</f>
        <v>أ</v>
      </c>
      <c r="AB11" s="40">
        <f t="shared" si="4"/>
        <v>9.5</v>
      </c>
      <c r="AC11" s="21">
        <v>2</v>
      </c>
      <c r="AD11" s="67">
        <v>73</v>
      </c>
      <c r="AE11" s="65">
        <f>VLOOKUP(AD11,المرجع!$B$3:$C$12,2)</f>
        <v>3</v>
      </c>
      <c r="AF11" s="44" t="str">
        <f>VLOOKUP(AE11,المرجع!$D$3:$E$12,2)</f>
        <v>ج</v>
      </c>
      <c r="AG11" s="40">
        <f t="shared" si="5"/>
        <v>6</v>
      </c>
      <c r="AH11" s="21">
        <v>2</v>
      </c>
      <c r="AI11" s="67">
        <v>83</v>
      </c>
      <c r="AJ11" s="65">
        <f>VLOOKUP(AI11,المرجع!$B$3:$C$12,2)</f>
        <v>4</v>
      </c>
      <c r="AK11" s="44" t="str">
        <f>VLOOKUP(AJ11,المرجع!$D$3:$E$12,2)</f>
        <v>ب</v>
      </c>
      <c r="AL11" s="40">
        <f t="shared" si="6"/>
        <v>8</v>
      </c>
      <c r="AM11" s="21">
        <v>2</v>
      </c>
      <c r="AN11" s="67">
        <v>91</v>
      </c>
      <c r="AO11" s="65">
        <f>VLOOKUP(AN11,المرجع!$B$3:$C$12,2)</f>
        <v>4.75</v>
      </c>
      <c r="AP11" s="44" t="str">
        <f>VLOOKUP(AO11,المرجع!$D$3:$E$12,2)</f>
        <v>أ</v>
      </c>
      <c r="AQ11" s="40">
        <f t="shared" si="7"/>
        <v>9.5</v>
      </c>
      <c r="AR11" s="21">
        <v>2</v>
      </c>
      <c r="AS11" s="67">
        <v>75</v>
      </c>
      <c r="AT11" s="65">
        <f>VLOOKUP(AS11,المرجع!$B$3:$C$12,2)</f>
        <v>3.5</v>
      </c>
      <c r="AU11" s="44" t="str">
        <f>VLOOKUP(AT11,المرجع!$D$3:$E$12,2)</f>
        <v>ج+</v>
      </c>
      <c r="AV11" s="40">
        <f t="shared" si="8"/>
        <v>7</v>
      </c>
      <c r="AW11" s="21">
        <v>2</v>
      </c>
      <c r="AX11" s="67">
        <v>60</v>
      </c>
      <c r="AY11" s="65">
        <f>VLOOKUP(AX11,المرجع!$B$3:$C$12,2)</f>
        <v>2</v>
      </c>
      <c r="AZ11" s="44" t="str">
        <f>VLOOKUP(AY11,المرجع!$D$3:$E$12,2)</f>
        <v>د</v>
      </c>
      <c r="BA11" s="40">
        <f t="shared" si="9"/>
        <v>4</v>
      </c>
      <c r="BB11" s="21">
        <v>2</v>
      </c>
      <c r="BC11" s="67">
        <v>100</v>
      </c>
      <c r="BD11" s="65">
        <f>VLOOKUP(BC11,المرجع!$B$3:$C$12,2)</f>
        <v>5</v>
      </c>
      <c r="BE11" s="44" t="str">
        <f>VLOOKUP(BD11,المرجع!$D$3:$E$12,2)</f>
        <v xml:space="preserve">أ+ </v>
      </c>
      <c r="BF11" s="40">
        <f t="shared" si="14"/>
        <v>10</v>
      </c>
      <c r="BG11" s="21">
        <v>2</v>
      </c>
      <c r="BH11" s="67">
        <v>98</v>
      </c>
      <c r="BI11" s="65">
        <f>VLOOKUP(BH11,المرجع!$B$3:$C$12,2)</f>
        <v>5</v>
      </c>
      <c r="BJ11" s="44" t="str">
        <f>VLOOKUP(BI11,المرجع!$D$3:$E$12,2)</f>
        <v xml:space="preserve">أ+ </v>
      </c>
      <c r="BK11" s="40">
        <f t="shared" si="10"/>
        <v>10</v>
      </c>
      <c r="BL11" s="72">
        <f t="shared" si="15"/>
        <v>78.5</v>
      </c>
      <c r="BM11" s="73">
        <f t="shared" si="11"/>
        <v>23</v>
      </c>
      <c r="BN11" s="74">
        <f t="shared" si="12"/>
        <v>3.4130434782608696</v>
      </c>
      <c r="BO11" s="75"/>
      <c r="BP11" s="76" t="str">
        <f>VLOOKUP(BN11,المرجع!$D$3:$F$12,3)</f>
        <v xml:space="preserve">جيد مرتفع </v>
      </c>
      <c r="BQ11" s="77">
        <f t="shared" si="13"/>
        <v>15</v>
      </c>
    </row>
    <row r="12" spans="2:69" ht="28.5">
      <c r="B12" s="66">
        <v>2023087</v>
      </c>
      <c r="C12" s="70" t="s">
        <v>51</v>
      </c>
      <c r="D12" s="21">
        <v>1</v>
      </c>
      <c r="E12" s="67">
        <v>92</v>
      </c>
      <c r="F12" s="65">
        <f>VLOOKUP(E12,المرجع!$B$3:$C$12,2)</f>
        <v>4.75</v>
      </c>
      <c r="G12" s="44" t="str">
        <f>VLOOKUP(F12,المرجع!$D$3:$E$12,2)</f>
        <v>أ</v>
      </c>
      <c r="H12" s="40">
        <f t="shared" si="0"/>
        <v>4.75</v>
      </c>
      <c r="I12" s="21">
        <v>2</v>
      </c>
      <c r="J12" s="67">
        <v>100</v>
      </c>
      <c r="K12" s="65">
        <f>VLOOKUP(J12,المرجع!$B$3:$C$12,2)</f>
        <v>5</v>
      </c>
      <c r="L12" s="44" t="str">
        <f>VLOOKUP(K12,المرجع!$D$3:$E$12,2)</f>
        <v xml:space="preserve">أ+ </v>
      </c>
      <c r="M12" s="40">
        <f t="shared" si="1"/>
        <v>10</v>
      </c>
      <c r="N12" s="21">
        <v>2</v>
      </c>
      <c r="O12" s="67">
        <v>83</v>
      </c>
      <c r="P12" s="65">
        <f>VLOOKUP(O12,المرجع!$B$3:$C$12,2)</f>
        <v>4</v>
      </c>
      <c r="Q12" s="44" t="str">
        <f>VLOOKUP(P12,المرجع!$D$3:$E$12,2)</f>
        <v>ب</v>
      </c>
      <c r="R12" s="40">
        <f t="shared" si="2"/>
        <v>8</v>
      </c>
      <c r="S12" s="21">
        <v>2</v>
      </c>
      <c r="T12" s="67">
        <v>97</v>
      </c>
      <c r="U12" s="65">
        <f>VLOOKUP(T12,المرجع!$B$3:$C$12,2)</f>
        <v>5</v>
      </c>
      <c r="V12" s="44" t="str">
        <f>VLOOKUP(U12,المرجع!$D$3:$E$12,2)</f>
        <v xml:space="preserve">أ+ </v>
      </c>
      <c r="W12" s="40">
        <f t="shared" si="3"/>
        <v>10</v>
      </c>
      <c r="X12" s="21">
        <v>2</v>
      </c>
      <c r="Y12" s="67">
        <v>100</v>
      </c>
      <c r="Z12" s="65">
        <f>VLOOKUP(Y12,المرجع!$B$3:$C$12,2)</f>
        <v>5</v>
      </c>
      <c r="AA12" s="44" t="str">
        <f>VLOOKUP(Z12,المرجع!$D$3:$E$12,2)</f>
        <v xml:space="preserve">أ+ </v>
      </c>
      <c r="AB12" s="40">
        <f t="shared" si="4"/>
        <v>10</v>
      </c>
      <c r="AC12" s="21">
        <v>2</v>
      </c>
      <c r="AD12" s="67">
        <v>76</v>
      </c>
      <c r="AE12" s="65">
        <f>VLOOKUP(AD12,المرجع!$B$3:$C$12,2)</f>
        <v>3.5</v>
      </c>
      <c r="AF12" s="44" t="str">
        <f>VLOOKUP(AE12,المرجع!$D$3:$E$12,2)</f>
        <v>ج+</v>
      </c>
      <c r="AG12" s="40">
        <f t="shared" si="5"/>
        <v>7</v>
      </c>
      <c r="AH12" s="21">
        <v>2</v>
      </c>
      <c r="AI12" s="67">
        <v>84</v>
      </c>
      <c r="AJ12" s="65">
        <f>VLOOKUP(AI12,المرجع!$B$3:$C$12,2)</f>
        <v>4</v>
      </c>
      <c r="AK12" s="44" t="str">
        <f>VLOOKUP(AJ12,المرجع!$D$3:$E$12,2)</f>
        <v>ب</v>
      </c>
      <c r="AL12" s="40">
        <f t="shared" si="6"/>
        <v>8</v>
      </c>
      <c r="AM12" s="21">
        <v>2</v>
      </c>
      <c r="AN12" s="67">
        <v>90</v>
      </c>
      <c r="AO12" s="65">
        <f>VLOOKUP(AN12,المرجع!$B$3:$C$12,2)</f>
        <v>4.75</v>
      </c>
      <c r="AP12" s="44" t="str">
        <f>VLOOKUP(AO12,المرجع!$D$3:$E$12,2)</f>
        <v>أ</v>
      </c>
      <c r="AQ12" s="40">
        <f t="shared" si="7"/>
        <v>9.5</v>
      </c>
      <c r="AR12" s="21">
        <v>2</v>
      </c>
      <c r="AS12" s="67">
        <v>93</v>
      </c>
      <c r="AT12" s="65">
        <f>VLOOKUP(AS12,المرجع!$B$3:$C$12,2)</f>
        <v>4.75</v>
      </c>
      <c r="AU12" s="44" t="str">
        <f>VLOOKUP(AT12,المرجع!$D$3:$E$12,2)</f>
        <v>أ</v>
      </c>
      <c r="AV12" s="40">
        <f t="shared" si="8"/>
        <v>9.5</v>
      </c>
      <c r="AW12" s="21">
        <v>2</v>
      </c>
      <c r="AX12" s="67">
        <v>65</v>
      </c>
      <c r="AY12" s="65">
        <f>VLOOKUP(AX12,المرجع!$B$3:$C$12,2)</f>
        <v>2.5</v>
      </c>
      <c r="AZ12" s="44" t="str">
        <f>VLOOKUP(AY12,المرجع!$D$3:$E$12,2)</f>
        <v>د+</v>
      </c>
      <c r="BA12" s="40">
        <f t="shared" si="9"/>
        <v>5</v>
      </c>
      <c r="BB12" s="21">
        <v>2</v>
      </c>
      <c r="BC12" s="67">
        <v>86</v>
      </c>
      <c r="BD12" s="65">
        <f>VLOOKUP(BC12,المرجع!$B$3:$C$12,2)</f>
        <v>4.5</v>
      </c>
      <c r="BE12" s="44" t="str">
        <f>VLOOKUP(BD12,المرجع!$D$3:$E$12,2)</f>
        <v>ب+</v>
      </c>
      <c r="BF12" s="40">
        <f t="shared" si="14"/>
        <v>9</v>
      </c>
      <c r="BG12" s="21">
        <v>2</v>
      </c>
      <c r="BH12" s="67">
        <v>81</v>
      </c>
      <c r="BI12" s="65">
        <f>VLOOKUP(BH12,المرجع!$B$3:$C$12,2)</f>
        <v>4</v>
      </c>
      <c r="BJ12" s="44" t="str">
        <f>VLOOKUP(BI12,المرجع!$D$3:$E$12,2)</f>
        <v>ب</v>
      </c>
      <c r="BK12" s="40">
        <f t="shared" si="10"/>
        <v>8</v>
      </c>
      <c r="BL12" s="72">
        <f t="shared" si="15"/>
        <v>82.75</v>
      </c>
      <c r="BM12" s="73">
        <f t="shared" si="11"/>
        <v>23</v>
      </c>
      <c r="BN12" s="74">
        <f t="shared" si="12"/>
        <v>3.597826086956522</v>
      </c>
      <c r="BO12" s="75"/>
      <c r="BP12" s="76" t="str">
        <f>VLOOKUP(BN12,المرجع!$D$3:$F$12,3)</f>
        <v xml:space="preserve">جيد مرتفع </v>
      </c>
      <c r="BQ12" s="77">
        <f t="shared" si="13"/>
        <v>7</v>
      </c>
    </row>
    <row r="13" spans="2:69" ht="28.5">
      <c r="B13" s="66">
        <v>2023051</v>
      </c>
      <c r="C13" s="70" t="s">
        <v>4</v>
      </c>
      <c r="D13" s="21">
        <v>1</v>
      </c>
      <c r="E13" s="67">
        <v>95</v>
      </c>
      <c r="F13" s="65">
        <f>VLOOKUP(E13,المرجع!$B$3:$C$12,2)</f>
        <v>5</v>
      </c>
      <c r="G13" s="44" t="str">
        <f>VLOOKUP(F13,المرجع!$D$3:$E$12,2)</f>
        <v xml:space="preserve">أ+ </v>
      </c>
      <c r="H13" s="40">
        <f t="shared" si="0"/>
        <v>5</v>
      </c>
      <c r="I13" s="21">
        <v>2</v>
      </c>
      <c r="J13" s="67">
        <v>100</v>
      </c>
      <c r="K13" s="65">
        <f>VLOOKUP(J13,المرجع!$B$3:$C$12,2)</f>
        <v>5</v>
      </c>
      <c r="L13" s="44" t="str">
        <f>VLOOKUP(K13,المرجع!$D$3:$E$12,2)</f>
        <v xml:space="preserve">أ+ </v>
      </c>
      <c r="M13" s="40">
        <f t="shared" si="1"/>
        <v>10</v>
      </c>
      <c r="N13" s="21">
        <v>2</v>
      </c>
      <c r="O13" s="67">
        <v>70</v>
      </c>
      <c r="P13" s="65">
        <f>VLOOKUP(O13,المرجع!$B$3:$C$12,2)</f>
        <v>3</v>
      </c>
      <c r="Q13" s="44" t="str">
        <f>VLOOKUP(P13,المرجع!$D$3:$E$12,2)</f>
        <v>ج</v>
      </c>
      <c r="R13" s="40">
        <f t="shared" si="2"/>
        <v>6</v>
      </c>
      <c r="S13" s="21">
        <v>2</v>
      </c>
      <c r="T13" s="67">
        <v>100</v>
      </c>
      <c r="U13" s="65">
        <f>VLOOKUP(T13,المرجع!$B$3:$C$12,2)</f>
        <v>5</v>
      </c>
      <c r="V13" s="44" t="str">
        <f>VLOOKUP(U13,المرجع!$D$3:$E$12,2)</f>
        <v xml:space="preserve">أ+ </v>
      </c>
      <c r="W13" s="40">
        <f t="shared" si="3"/>
        <v>10</v>
      </c>
      <c r="X13" s="21">
        <v>2</v>
      </c>
      <c r="Y13" s="67">
        <v>100</v>
      </c>
      <c r="Z13" s="65">
        <f>VLOOKUP(Y13,المرجع!$B$3:$C$12,2)</f>
        <v>5</v>
      </c>
      <c r="AA13" s="44" t="str">
        <f>VLOOKUP(Z13,المرجع!$D$3:$E$12,2)</f>
        <v xml:space="preserve">أ+ </v>
      </c>
      <c r="AB13" s="40">
        <f t="shared" si="4"/>
        <v>10</v>
      </c>
      <c r="AC13" s="21">
        <v>2</v>
      </c>
      <c r="AD13" s="67">
        <v>95</v>
      </c>
      <c r="AE13" s="65">
        <f>VLOOKUP(AD13,المرجع!$B$3:$C$12,2)</f>
        <v>5</v>
      </c>
      <c r="AF13" s="44" t="str">
        <f>VLOOKUP(AE13,المرجع!$D$3:$E$12,2)</f>
        <v xml:space="preserve">أ+ </v>
      </c>
      <c r="AG13" s="40">
        <f t="shared" si="5"/>
        <v>10</v>
      </c>
      <c r="AH13" s="21">
        <v>2</v>
      </c>
      <c r="AI13" s="67">
        <v>85</v>
      </c>
      <c r="AJ13" s="65">
        <f>VLOOKUP(AI13,المرجع!$B$3:$C$12,2)</f>
        <v>4.5</v>
      </c>
      <c r="AK13" s="44" t="str">
        <f>VLOOKUP(AJ13,المرجع!$D$3:$E$12,2)</f>
        <v>ب+</v>
      </c>
      <c r="AL13" s="40">
        <f t="shared" si="6"/>
        <v>9</v>
      </c>
      <c r="AM13" s="21">
        <v>2</v>
      </c>
      <c r="AN13" s="67">
        <v>90</v>
      </c>
      <c r="AO13" s="65">
        <f>VLOOKUP(AN13,المرجع!$B$3:$C$12,2)</f>
        <v>4.75</v>
      </c>
      <c r="AP13" s="44" t="str">
        <f>VLOOKUP(AO13,المرجع!$D$3:$E$12,2)</f>
        <v>أ</v>
      </c>
      <c r="AQ13" s="40">
        <f t="shared" si="7"/>
        <v>9.5</v>
      </c>
      <c r="AR13" s="21">
        <v>2</v>
      </c>
      <c r="AS13" s="67">
        <v>79</v>
      </c>
      <c r="AT13" s="65">
        <f>VLOOKUP(AS13,المرجع!$B$3:$C$12,2)</f>
        <v>3.5</v>
      </c>
      <c r="AU13" s="44" t="str">
        <f>VLOOKUP(AT13,المرجع!$D$3:$E$12,2)</f>
        <v>ج+</v>
      </c>
      <c r="AV13" s="40">
        <f t="shared" si="8"/>
        <v>7</v>
      </c>
      <c r="AW13" s="21">
        <v>2</v>
      </c>
      <c r="AX13" s="67">
        <v>65</v>
      </c>
      <c r="AY13" s="65">
        <f>VLOOKUP(AX13,المرجع!$B$3:$C$12,2)</f>
        <v>2.5</v>
      </c>
      <c r="AZ13" s="44" t="str">
        <f>VLOOKUP(AY13,المرجع!$D$3:$E$12,2)</f>
        <v>د+</v>
      </c>
      <c r="BA13" s="40">
        <f t="shared" si="9"/>
        <v>5</v>
      </c>
      <c r="BB13" s="21">
        <v>2</v>
      </c>
      <c r="BC13" s="67">
        <v>80</v>
      </c>
      <c r="BD13" s="65">
        <f>VLOOKUP(BC13,المرجع!$B$3:$C$12,2)</f>
        <v>4</v>
      </c>
      <c r="BE13" s="44" t="str">
        <f>VLOOKUP(BD13,المرجع!$D$3:$E$12,2)</f>
        <v>ب</v>
      </c>
      <c r="BF13" s="40">
        <f t="shared" si="14"/>
        <v>8</v>
      </c>
      <c r="BG13" s="21">
        <v>2</v>
      </c>
      <c r="BH13" s="67">
        <v>84</v>
      </c>
      <c r="BI13" s="65">
        <f>VLOOKUP(BH13,المرجع!$B$3:$C$12,2)</f>
        <v>4</v>
      </c>
      <c r="BJ13" s="44" t="str">
        <f>VLOOKUP(BI13,المرجع!$D$3:$E$12,2)</f>
        <v>ب</v>
      </c>
      <c r="BK13" s="40">
        <f t="shared" si="10"/>
        <v>8</v>
      </c>
      <c r="BL13" s="72">
        <f t="shared" si="15"/>
        <v>81.5</v>
      </c>
      <c r="BM13" s="73">
        <f t="shared" si="11"/>
        <v>23</v>
      </c>
      <c r="BN13" s="74">
        <f t="shared" si="12"/>
        <v>3.5434782608695654</v>
      </c>
      <c r="BO13" s="75"/>
      <c r="BP13" s="76" t="str">
        <f>VLOOKUP(BN13,المرجع!$D$3:$F$12,3)</f>
        <v xml:space="preserve">جيد مرتفع </v>
      </c>
      <c r="BQ13" s="77">
        <f t="shared" si="13"/>
        <v>10</v>
      </c>
    </row>
    <row r="14" spans="2:69" ht="28.5">
      <c r="B14" s="66">
        <v>2023072</v>
      </c>
      <c r="C14" s="70" t="s">
        <v>58</v>
      </c>
      <c r="D14" s="21">
        <v>1</v>
      </c>
      <c r="E14" s="67">
        <v>98</v>
      </c>
      <c r="F14" s="65">
        <f>VLOOKUP(E14,المرجع!$B$3:$C$12,2)</f>
        <v>5</v>
      </c>
      <c r="G14" s="44" t="str">
        <f>VLOOKUP(F14,المرجع!$D$3:$E$12,2)</f>
        <v xml:space="preserve">أ+ </v>
      </c>
      <c r="H14" s="40">
        <f t="shared" si="0"/>
        <v>5</v>
      </c>
      <c r="I14" s="21">
        <v>2</v>
      </c>
      <c r="J14" s="67">
        <v>100</v>
      </c>
      <c r="K14" s="65">
        <f>VLOOKUP(J14,المرجع!$B$3:$C$12,2)</f>
        <v>5</v>
      </c>
      <c r="L14" s="44" t="str">
        <f>VLOOKUP(K14,المرجع!$D$3:$E$12,2)</f>
        <v xml:space="preserve">أ+ </v>
      </c>
      <c r="M14" s="40">
        <f t="shared" si="1"/>
        <v>10</v>
      </c>
      <c r="N14" s="21">
        <v>2</v>
      </c>
      <c r="O14" s="67">
        <v>50</v>
      </c>
      <c r="P14" s="65">
        <f>VLOOKUP(O14,المرجع!$B$3:$C$12,2)</f>
        <v>2</v>
      </c>
      <c r="Q14" s="44" t="str">
        <f>VLOOKUP(P14,المرجع!$D$3:$E$12,2)</f>
        <v>د</v>
      </c>
      <c r="R14" s="40">
        <f t="shared" si="2"/>
        <v>4</v>
      </c>
      <c r="S14" s="21">
        <v>2</v>
      </c>
      <c r="T14" s="67">
        <v>100</v>
      </c>
      <c r="U14" s="65">
        <f>VLOOKUP(T14,المرجع!$B$3:$C$12,2)</f>
        <v>5</v>
      </c>
      <c r="V14" s="44" t="str">
        <f>VLOOKUP(U14,المرجع!$D$3:$E$12,2)</f>
        <v xml:space="preserve">أ+ </v>
      </c>
      <c r="W14" s="40">
        <f t="shared" si="3"/>
        <v>10</v>
      </c>
      <c r="X14" s="21">
        <v>2</v>
      </c>
      <c r="Y14" s="67">
        <v>100</v>
      </c>
      <c r="Z14" s="65">
        <f>VLOOKUP(Y14,المرجع!$B$3:$C$12,2)</f>
        <v>5</v>
      </c>
      <c r="AA14" s="44" t="str">
        <f>VLOOKUP(Z14,المرجع!$D$3:$E$12,2)</f>
        <v xml:space="preserve">أ+ </v>
      </c>
      <c r="AB14" s="40">
        <f t="shared" si="4"/>
        <v>10</v>
      </c>
      <c r="AC14" s="21">
        <v>2</v>
      </c>
      <c r="AD14" s="67">
        <v>91</v>
      </c>
      <c r="AE14" s="65">
        <f>VLOOKUP(AD14,المرجع!$B$3:$C$12,2)</f>
        <v>4.75</v>
      </c>
      <c r="AF14" s="44" t="str">
        <f>VLOOKUP(AE14,المرجع!$D$3:$E$12,2)</f>
        <v>أ</v>
      </c>
      <c r="AG14" s="40">
        <f t="shared" si="5"/>
        <v>9.5</v>
      </c>
      <c r="AH14" s="21">
        <v>2</v>
      </c>
      <c r="AI14" s="67">
        <v>83</v>
      </c>
      <c r="AJ14" s="65">
        <f>VLOOKUP(AI14,المرجع!$B$3:$C$12,2)</f>
        <v>4</v>
      </c>
      <c r="AK14" s="44" t="str">
        <f>VLOOKUP(AJ14,المرجع!$D$3:$E$12,2)</f>
        <v>ب</v>
      </c>
      <c r="AL14" s="40">
        <f t="shared" si="6"/>
        <v>8</v>
      </c>
      <c r="AM14" s="21">
        <v>2</v>
      </c>
      <c r="AN14" s="67">
        <v>94</v>
      </c>
      <c r="AO14" s="65">
        <f>VLOOKUP(AN14,المرجع!$B$3:$C$12,2)</f>
        <v>4.75</v>
      </c>
      <c r="AP14" s="44" t="str">
        <f>VLOOKUP(AO14,المرجع!$D$3:$E$12,2)</f>
        <v>أ</v>
      </c>
      <c r="AQ14" s="40">
        <f t="shared" si="7"/>
        <v>9.5</v>
      </c>
      <c r="AR14" s="21">
        <v>2</v>
      </c>
      <c r="AS14" s="67">
        <v>83</v>
      </c>
      <c r="AT14" s="65">
        <f>VLOOKUP(AS14,المرجع!$B$3:$C$12,2)</f>
        <v>4</v>
      </c>
      <c r="AU14" s="44" t="str">
        <f>VLOOKUP(AT14,المرجع!$D$3:$E$12,2)</f>
        <v>ب</v>
      </c>
      <c r="AV14" s="40">
        <f t="shared" si="8"/>
        <v>8</v>
      </c>
      <c r="AW14" s="21">
        <v>2</v>
      </c>
      <c r="AX14" s="67">
        <v>75</v>
      </c>
      <c r="AY14" s="65">
        <f>VLOOKUP(AX14,المرجع!$B$3:$C$12,2)</f>
        <v>3.5</v>
      </c>
      <c r="AZ14" s="44" t="str">
        <f>VLOOKUP(AY14,المرجع!$D$3:$E$12,2)</f>
        <v>ج+</v>
      </c>
      <c r="BA14" s="40">
        <f t="shared" si="9"/>
        <v>7</v>
      </c>
      <c r="BB14" s="21">
        <v>2</v>
      </c>
      <c r="BC14" s="67">
        <v>94</v>
      </c>
      <c r="BD14" s="65">
        <f>VLOOKUP(BC14,المرجع!$B$3:$C$12,2)</f>
        <v>4.75</v>
      </c>
      <c r="BE14" s="44" t="str">
        <f>VLOOKUP(BD14,المرجع!$D$3:$E$12,2)</f>
        <v>أ</v>
      </c>
      <c r="BF14" s="40">
        <f t="shared" si="14"/>
        <v>9.5</v>
      </c>
      <c r="BG14" s="21">
        <v>2</v>
      </c>
      <c r="BH14" s="67">
        <v>75</v>
      </c>
      <c r="BI14" s="65">
        <f>VLOOKUP(BH14,المرجع!$B$3:$C$12,2)</f>
        <v>3.5</v>
      </c>
      <c r="BJ14" s="44" t="str">
        <f>VLOOKUP(BI14,المرجع!$D$3:$E$12,2)</f>
        <v>ج+</v>
      </c>
      <c r="BK14" s="40">
        <f t="shared" si="10"/>
        <v>7</v>
      </c>
      <c r="BL14" s="72">
        <f t="shared" si="15"/>
        <v>83.5</v>
      </c>
      <c r="BM14" s="73">
        <f t="shared" si="11"/>
        <v>23</v>
      </c>
      <c r="BN14" s="74">
        <f t="shared" si="12"/>
        <v>3.6304347826086958</v>
      </c>
      <c r="BO14" s="75"/>
      <c r="BP14" s="76" t="str">
        <f>VLOOKUP(BN14,المرجع!$D$3:$F$12,3)</f>
        <v xml:space="preserve">جيد جدا </v>
      </c>
      <c r="BQ14" s="77">
        <f t="shared" si="13"/>
        <v>6</v>
      </c>
    </row>
    <row r="15" spans="2:69" ht="28.5">
      <c r="B15" s="66">
        <v>2023090</v>
      </c>
      <c r="C15" s="70" t="s">
        <v>49</v>
      </c>
      <c r="D15" s="21">
        <v>1</v>
      </c>
      <c r="E15" s="67">
        <v>96</v>
      </c>
      <c r="F15" s="65">
        <f>VLOOKUP(E15,المرجع!$B$3:$C$12,2)</f>
        <v>5</v>
      </c>
      <c r="G15" s="44" t="str">
        <f>VLOOKUP(F15,المرجع!$D$3:$E$12,2)</f>
        <v xml:space="preserve">أ+ </v>
      </c>
      <c r="H15" s="40">
        <f t="shared" si="0"/>
        <v>5</v>
      </c>
      <c r="I15" s="21">
        <v>2</v>
      </c>
      <c r="J15" s="67">
        <v>95</v>
      </c>
      <c r="K15" s="65">
        <f>VLOOKUP(J15,المرجع!$B$3:$C$12,2)</f>
        <v>5</v>
      </c>
      <c r="L15" s="44" t="str">
        <f>VLOOKUP(K15,المرجع!$D$3:$E$12,2)</f>
        <v xml:space="preserve">أ+ </v>
      </c>
      <c r="M15" s="40">
        <f t="shared" si="1"/>
        <v>10</v>
      </c>
      <c r="N15" s="21">
        <v>2</v>
      </c>
      <c r="O15" s="67">
        <v>74</v>
      </c>
      <c r="P15" s="65">
        <f>VLOOKUP(O15,المرجع!$B$3:$C$12,2)</f>
        <v>3</v>
      </c>
      <c r="Q15" s="44" t="str">
        <f>VLOOKUP(P15,المرجع!$D$3:$E$12,2)</f>
        <v>ج</v>
      </c>
      <c r="R15" s="40">
        <f t="shared" si="2"/>
        <v>6</v>
      </c>
      <c r="S15" s="21">
        <v>2</v>
      </c>
      <c r="T15" s="67">
        <v>100</v>
      </c>
      <c r="U15" s="65">
        <f>VLOOKUP(T15,المرجع!$B$3:$C$12,2)</f>
        <v>5</v>
      </c>
      <c r="V15" s="44" t="str">
        <f>VLOOKUP(U15,المرجع!$D$3:$E$12,2)</f>
        <v xml:space="preserve">أ+ </v>
      </c>
      <c r="W15" s="40">
        <f t="shared" si="3"/>
        <v>10</v>
      </c>
      <c r="X15" s="21">
        <v>2</v>
      </c>
      <c r="Y15" s="67">
        <v>100</v>
      </c>
      <c r="Z15" s="65">
        <f>VLOOKUP(Y15,المرجع!$B$3:$C$12,2)</f>
        <v>5</v>
      </c>
      <c r="AA15" s="44" t="str">
        <f>VLOOKUP(Z15,المرجع!$D$3:$E$12,2)</f>
        <v xml:space="preserve">أ+ </v>
      </c>
      <c r="AB15" s="40">
        <f t="shared" si="4"/>
        <v>10</v>
      </c>
      <c r="AC15" s="21">
        <v>2</v>
      </c>
      <c r="AD15" s="67">
        <v>77</v>
      </c>
      <c r="AE15" s="65">
        <f>VLOOKUP(AD15,المرجع!$B$3:$C$12,2)</f>
        <v>3.5</v>
      </c>
      <c r="AF15" s="44" t="str">
        <f>VLOOKUP(AE15,المرجع!$D$3:$E$12,2)</f>
        <v>ج+</v>
      </c>
      <c r="AG15" s="40">
        <f t="shared" si="5"/>
        <v>7</v>
      </c>
      <c r="AH15" s="21">
        <v>2</v>
      </c>
      <c r="AI15" s="67">
        <v>100</v>
      </c>
      <c r="AJ15" s="65">
        <f>VLOOKUP(AI15,المرجع!$B$3:$C$12,2)</f>
        <v>5</v>
      </c>
      <c r="AK15" s="44" t="str">
        <f>VLOOKUP(AJ15,المرجع!$D$3:$E$12,2)</f>
        <v xml:space="preserve">أ+ </v>
      </c>
      <c r="AL15" s="40">
        <f t="shared" si="6"/>
        <v>10</v>
      </c>
      <c r="AM15" s="21">
        <v>2</v>
      </c>
      <c r="AN15" s="67">
        <v>90</v>
      </c>
      <c r="AO15" s="65">
        <f>VLOOKUP(AN15,المرجع!$B$3:$C$12,2)</f>
        <v>4.75</v>
      </c>
      <c r="AP15" s="44" t="str">
        <f>VLOOKUP(AO15,المرجع!$D$3:$E$12,2)</f>
        <v>أ</v>
      </c>
      <c r="AQ15" s="40">
        <f t="shared" si="7"/>
        <v>9.5</v>
      </c>
      <c r="AR15" s="21">
        <v>2</v>
      </c>
      <c r="AS15" s="67">
        <v>79</v>
      </c>
      <c r="AT15" s="65">
        <f>VLOOKUP(AS15,المرجع!$B$3:$C$12,2)</f>
        <v>3.5</v>
      </c>
      <c r="AU15" s="44" t="str">
        <f>VLOOKUP(AT15,المرجع!$D$3:$E$12,2)</f>
        <v>ج+</v>
      </c>
      <c r="AV15" s="40">
        <f t="shared" si="8"/>
        <v>7</v>
      </c>
      <c r="AW15" s="21">
        <v>2</v>
      </c>
      <c r="AX15" s="67">
        <v>70</v>
      </c>
      <c r="AY15" s="65">
        <f>VLOOKUP(AX15,المرجع!$B$3:$C$12,2)</f>
        <v>3</v>
      </c>
      <c r="AZ15" s="44" t="str">
        <f>VLOOKUP(AY15,المرجع!$D$3:$E$12,2)</f>
        <v>ج</v>
      </c>
      <c r="BA15" s="40">
        <f t="shared" si="9"/>
        <v>6</v>
      </c>
      <c r="BB15" s="21">
        <v>2</v>
      </c>
      <c r="BC15" s="67">
        <v>78</v>
      </c>
      <c r="BD15" s="65">
        <f>VLOOKUP(BC15,المرجع!$B$3:$C$12,2)</f>
        <v>3.5</v>
      </c>
      <c r="BE15" s="44" t="str">
        <f>VLOOKUP(BD15,المرجع!$D$3:$E$12,2)</f>
        <v>ج+</v>
      </c>
      <c r="BF15" s="40">
        <f t="shared" si="14"/>
        <v>7</v>
      </c>
      <c r="BG15" s="21">
        <v>2</v>
      </c>
      <c r="BH15" s="67">
        <v>88</v>
      </c>
      <c r="BI15" s="65">
        <f>VLOOKUP(BH15,المرجع!$B$3:$C$12,2)</f>
        <v>4.5</v>
      </c>
      <c r="BJ15" s="44" t="str">
        <f>VLOOKUP(BI15,المرجع!$D$3:$E$12,2)</f>
        <v>ب+</v>
      </c>
      <c r="BK15" s="40">
        <f t="shared" si="10"/>
        <v>9</v>
      </c>
      <c r="BL15" s="72">
        <f t="shared" si="15"/>
        <v>78.5</v>
      </c>
      <c r="BM15" s="73">
        <f t="shared" si="11"/>
        <v>23</v>
      </c>
      <c r="BN15" s="74">
        <f t="shared" si="12"/>
        <v>3.4130434782608696</v>
      </c>
      <c r="BO15" s="75"/>
      <c r="BP15" s="76" t="str">
        <f>VLOOKUP(BN15,المرجع!$D$3:$F$12,3)</f>
        <v xml:space="preserve">جيد مرتفع </v>
      </c>
      <c r="BQ15" s="77">
        <f t="shared" si="13"/>
        <v>15</v>
      </c>
    </row>
    <row r="16" spans="2:69" ht="28.5">
      <c r="B16" s="66">
        <v>2023038</v>
      </c>
      <c r="C16" s="70" t="s">
        <v>5</v>
      </c>
      <c r="D16" s="21">
        <v>1</v>
      </c>
      <c r="E16" s="67">
        <v>99</v>
      </c>
      <c r="F16" s="65">
        <f>VLOOKUP(E16,المرجع!$B$3:$C$12,2)</f>
        <v>5</v>
      </c>
      <c r="G16" s="44" t="str">
        <f>VLOOKUP(F16,المرجع!$D$3:$E$12,2)</f>
        <v xml:space="preserve">أ+ </v>
      </c>
      <c r="H16" s="40">
        <f t="shared" si="0"/>
        <v>5</v>
      </c>
      <c r="I16" s="21">
        <v>2</v>
      </c>
      <c r="J16" s="67">
        <v>100</v>
      </c>
      <c r="K16" s="65">
        <f>VLOOKUP(J16,المرجع!$B$3:$C$12,2)</f>
        <v>5</v>
      </c>
      <c r="L16" s="44" t="str">
        <f>VLOOKUP(K16,المرجع!$D$3:$E$12,2)</f>
        <v xml:space="preserve">أ+ </v>
      </c>
      <c r="M16" s="40">
        <f t="shared" si="1"/>
        <v>10</v>
      </c>
      <c r="N16" s="21">
        <v>2</v>
      </c>
      <c r="O16" s="67">
        <v>70</v>
      </c>
      <c r="P16" s="65">
        <f>VLOOKUP(O16,المرجع!$B$3:$C$12,2)</f>
        <v>3</v>
      </c>
      <c r="Q16" s="44" t="str">
        <f>VLOOKUP(P16,المرجع!$D$3:$E$12,2)</f>
        <v>ج</v>
      </c>
      <c r="R16" s="40">
        <f t="shared" si="2"/>
        <v>6</v>
      </c>
      <c r="S16" s="21">
        <v>2</v>
      </c>
      <c r="T16" s="67">
        <v>100</v>
      </c>
      <c r="U16" s="65">
        <f>VLOOKUP(T16,المرجع!$B$3:$C$12,2)</f>
        <v>5</v>
      </c>
      <c r="V16" s="44" t="str">
        <f>VLOOKUP(U16,المرجع!$D$3:$E$12,2)</f>
        <v xml:space="preserve">أ+ </v>
      </c>
      <c r="W16" s="40">
        <f t="shared" si="3"/>
        <v>10</v>
      </c>
      <c r="X16" s="21">
        <v>2</v>
      </c>
      <c r="Y16" s="67">
        <v>100</v>
      </c>
      <c r="Z16" s="65">
        <f>VLOOKUP(Y16,المرجع!$B$3:$C$12,2)</f>
        <v>5</v>
      </c>
      <c r="AA16" s="44" t="str">
        <f>VLOOKUP(Z16,المرجع!$D$3:$E$12,2)</f>
        <v xml:space="preserve">أ+ </v>
      </c>
      <c r="AB16" s="40">
        <f t="shared" si="4"/>
        <v>10</v>
      </c>
      <c r="AC16" s="21">
        <v>2</v>
      </c>
      <c r="AD16" s="67">
        <v>86</v>
      </c>
      <c r="AE16" s="65">
        <f>VLOOKUP(AD16,المرجع!$B$3:$C$12,2)</f>
        <v>4.5</v>
      </c>
      <c r="AF16" s="44" t="str">
        <f>VLOOKUP(AE16,المرجع!$D$3:$E$12,2)</f>
        <v>ب+</v>
      </c>
      <c r="AG16" s="40">
        <f t="shared" si="5"/>
        <v>9</v>
      </c>
      <c r="AH16" s="21">
        <v>2</v>
      </c>
      <c r="AI16" s="67">
        <v>95</v>
      </c>
      <c r="AJ16" s="65">
        <f>VLOOKUP(AI16,المرجع!$B$3:$C$12,2)</f>
        <v>5</v>
      </c>
      <c r="AK16" s="44" t="str">
        <f>VLOOKUP(AJ16,المرجع!$D$3:$E$12,2)</f>
        <v xml:space="preserve">أ+ </v>
      </c>
      <c r="AL16" s="40">
        <f t="shared" si="6"/>
        <v>10</v>
      </c>
      <c r="AM16" s="21">
        <v>2</v>
      </c>
      <c r="AN16" s="67">
        <v>87</v>
      </c>
      <c r="AO16" s="65">
        <f>VLOOKUP(AN16,المرجع!$B$3:$C$12,2)</f>
        <v>4.5</v>
      </c>
      <c r="AP16" s="44" t="str">
        <f>VLOOKUP(AO16,المرجع!$D$3:$E$12,2)</f>
        <v>ب+</v>
      </c>
      <c r="AQ16" s="40">
        <f t="shared" si="7"/>
        <v>9</v>
      </c>
      <c r="AR16" s="21">
        <v>2</v>
      </c>
      <c r="AS16" s="67">
        <v>68</v>
      </c>
      <c r="AT16" s="65">
        <f>VLOOKUP(AS16,المرجع!$B$3:$C$12,2)</f>
        <v>2.5</v>
      </c>
      <c r="AU16" s="44" t="str">
        <f>VLOOKUP(AT16,المرجع!$D$3:$E$12,2)</f>
        <v>د+</v>
      </c>
      <c r="AV16" s="40">
        <f t="shared" si="8"/>
        <v>5</v>
      </c>
      <c r="AW16" s="21">
        <v>2</v>
      </c>
      <c r="AX16" s="67">
        <v>60</v>
      </c>
      <c r="AY16" s="65">
        <f>VLOOKUP(AX16,المرجع!$B$3:$C$12,2)</f>
        <v>2</v>
      </c>
      <c r="AZ16" s="44" t="str">
        <f>VLOOKUP(AY16,المرجع!$D$3:$E$12,2)</f>
        <v>د</v>
      </c>
      <c r="BA16" s="40">
        <f t="shared" si="9"/>
        <v>4</v>
      </c>
      <c r="BB16" s="21">
        <v>2</v>
      </c>
      <c r="BC16" s="67">
        <v>98</v>
      </c>
      <c r="BD16" s="65">
        <f>VLOOKUP(BC16,المرجع!$B$3:$C$12,2)</f>
        <v>5</v>
      </c>
      <c r="BE16" s="44" t="str">
        <f>VLOOKUP(BD16,المرجع!$D$3:$E$12,2)</f>
        <v xml:space="preserve">أ+ </v>
      </c>
      <c r="BF16" s="40">
        <f t="shared" si="14"/>
        <v>10</v>
      </c>
      <c r="BG16" s="21">
        <v>2</v>
      </c>
      <c r="BH16" s="67">
        <v>84</v>
      </c>
      <c r="BI16" s="65">
        <f>VLOOKUP(BH16,المرجع!$B$3:$C$12,2)</f>
        <v>4</v>
      </c>
      <c r="BJ16" s="44" t="str">
        <f>VLOOKUP(BI16,المرجع!$D$3:$E$12,2)</f>
        <v>ب</v>
      </c>
      <c r="BK16" s="40">
        <f t="shared" si="10"/>
        <v>8</v>
      </c>
      <c r="BL16" s="72">
        <f t="shared" si="15"/>
        <v>80</v>
      </c>
      <c r="BM16" s="73">
        <f t="shared" si="11"/>
        <v>23</v>
      </c>
      <c r="BN16" s="74">
        <f t="shared" si="12"/>
        <v>3.4782608695652173</v>
      </c>
      <c r="BO16" s="75"/>
      <c r="BP16" s="76" t="str">
        <f>VLOOKUP(BN16,المرجع!$D$3:$F$12,3)</f>
        <v xml:space="preserve">جيد مرتفع </v>
      </c>
      <c r="BQ16" s="77">
        <f t="shared" si="13"/>
        <v>13</v>
      </c>
    </row>
    <row r="17" spans="2:69" ht="28.5">
      <c r="B17" s="66">
        <v>2023069</v>
      </c>
      <c r="C17" s="70" t="s">
        <v>50</v>
      </c>
      <c r="D17" s="21">
        <v>1</v>
      </c>
      <c r="E17" s="67">
        <v>97</v>
      </c>
      <c r="F17" s="65">
        <f>VLOOKUP(E17,المرجع!$B$3:$C$12,2)</f>
        <v>5</v>
      </c>
      <c r="G17" s="44" t="str">
        <f>VLOOKUP(F17,المرجع!$D$3:$E$12,2)</f>
        <v xml:space="preserve">أ+ </v>
      </c>
      <c r="H17" s="40">
        <f t="shared" si="0"/>
        <v>5</v>
      </c>
      <c r="I17" s="21">
        <v>2</v>
      </c>
      <c r="J17" s="67">
        <v>100</v>
      </c>
      <c r="K17" s="65">
        <f>VLOOKUP(J17,المرجع!$B$3:$C$12,2)</f>
        <v>5</v>
      </c>
      <c r="L17" s="44" t="str">
        <f>VLOOKUP(K17,المرجع!$D$3:$E$12,2)</f>
        <v xml:space="preserve">أ+ </v>
      </c>
      <c r="M17" s="40">
        <f t="shared" si="1"/>
        <v>10</v>
      </c>
      <c r="N17" s="21">
        <v>2</v>
      </c>
      <c r="O17" s="67">
        <v>65</v>
      </c>
      <c r="P17" s="65">
        <f>VLOOKUP(O17,المرجع!$B$3:$C$12,2)</f>
        <v>2.5</v>
      </c>
      <c r="Q17" s="44" t="str">
        <f>VLOOKUP(P17,المرجع!$D$3:$E$12,2)</f>
        <v>د+</v>
      </c>
      <c r="R17" s="40">
        <f t="shared" si="2"/>
        <v>5</v>
      </c>
      <c r="S17" s="21">
        <v>2</v>
      </c>
      <c r="T17" s="67">
        <v>100</v>
      </c>
      <c r="U17" s="65">
        <f>VLOOKUP(T17,المرجع!$B$3:$C$12,2)</f>
        <v>5</v>
      </c>
      <c r="V17" s="44" t="str">
        <f>VLOOKUP(U17,المرجع!$D$3:$E$12,2)</f>
        <v xml:space="preserve">أ+ </v>
      </c>
      <c r="W17" s="40">
        <f t="shared" si="3"/>
        <v>10</v>
      </c>
      <c r="X17" s="21">
        <v>2</v>
      </c>
      <c r="Y17" s="67">
        <v>100</v>
      </c>
      <c r="Z17" s="65">
        <f>VLOOKUP(Y17,المرجع!$B$3:$C$12,2)</f>
        <v>5</v>
      </c>
      <c r="AA17" s="44" t="str">
        <f>VLOOKUP(Z17,المرجع!$D$3:$E$12,2)</f>
        <v xml:space="preserve">أ+ </v>
      </c>
      <c r="AB17" s="40">
        <f t="shared" si="4"/>
        <v>10</v>
      </c>
      <c r="AC17" s="21">
        <v>2</v>
      </c>
      <c r="AD17" s="67">
        <v>85</v>
      </c>
      <c r="AE17" s="65">
        <f>VLOOKUP(AD17,المرجع!$B$3:$C$12,2)</f>
        <v>4.5</v>
      </c>
      <c r="AF17" s="44" t="str">
        <f>VLOOKUP(AE17,المرجع!$D$3:$E$12,2)</f>
        <v>ب+</v>
      </c>
      <c r="AG17" s="40">
        <f t="shared" si="5"/>
        <v>9</v>
      </c>
      <c r="AH17" s="21">
        <v>2</v>
      </c>
      <c r="AI17" s="67">
        <v>95</v>
      </c>
      <c r="AJ17" s="65">
        <f>VLOOKUP(AI17,المرجع!$B$3:$C$12,2)</f>
        <v>5</v>
      </c>
      <c r="AK17" s="44" t="str">
        <f>VLOOKUP(AJ17,المرجع!$D$3:$E$12,2)</f>
        <v xml:space="preserve">أ+ </v>
      </c>
      <c r="AL17" s="40">
        <f t="shared" si="6"/>
        <v>10</v>
      </c>
      <c r="AM17" s="21">
        <v>2</v>
      </c>
      <c r="AN17" s="67">
        <v>93</v>
      </c>
      <c r="AO17" s="65">
        <f>VLOOKUP(AN17,المرجع!$B$3:$C$12,2)</f>
        <v>4.75</v>
      </c>
      <c r="AP17" s="44" t="str">
        <f>VLOOKUP(AO17,المرجع!$D$3:$E$12,2)</f>
        <v>أ</v>
      </c>
      <c r="AQ17" s="40">
        <f t="shared" si="7"/>
        <v>9.5</v>
      </c>
      <c r="AR17" s="21">
        <v>2</v>
      </c>
      <c r="AS17" s="67">
        <v>80</v>
      </c>
      <c r="AT17" s="65">
        <f>VLOOKUP(AS17,المرجع!$B$3:$C$12,2)</f>
        <v>4</v>
      </c>
      <c r="AU17" s="44" t="str">
        <f>VLOOKUP(AT17,المرجع!$D$3:$E$12,2)</f>
        <v>ب</v>
      </c>
      <c r="AV17" s="40">
        <f t="shared" si="8"/>
        <v>8</v>
      </c>
      <c r="AW17" s="21">
        <v>2</v>
      </c>
      <c r="AX17" s="67">
        <v>60</v>
      </c>
      <c r="AY17" s="65">
        <f>VLOOKUP(AX17,المرجع!$B$3:$C$12,2)</f>
        <v>2</v>
      </c>
      <c r="AZ17" s="44" t="str">
        <f>VLOOKUP(AY17,المرجع!$D$3:$E$12,2)</f>
        <v>د</v>
      </c>
      <c r="BA17" s="40">
        <f t="shared" si="9"/>
        <v>4</v>
      </c>
      <c r="BB17" s="21">
        <v>2</v>
      </c>
      <c r="BC17" s="67">
        <v>78</v>
      </c>
      <c r="BD17" s="65">
        <f>VLOOKUP(BC17,المرجع!$B$3:$C$12,2)</f>
        <v>3.5</v>
      </c>
      <c r="BE17" s="44" t="str">
        <f>VLOOKUP(BD17,المرجع!$D$3:$E$12,2)</f>
        <v>ج+</v>
      </c>
      <c r="BF17" s="40">
        <f t="shared" si="14"/>
        <v>7</v>
      </c>
      <c r="BG17" s="21">
        <v>2</v>
      </c>
      <c r="BH17" s="67">
        <v>83</v>
      </c>
      <c r="BI17" s="65">
        <f>VLOOKUP(BH17,المرجع!$B$3:$C$12,2)</f>
        <v>4</v>
      </c>
      <c r="BJ17" s="44" t="str">
        <f>VLOOKUP(BI17,المرجع!$D$3:$E$12,2)</f>
        <v>ب</v>
      </c>
      <c r="BK17" s="40">
        <f t="shared" si="10"/>
        <v>8</v>
      </c>
      <c r="BL17" s="72">
        <f t="shared" si="15"/>
        <v>79.5</v>
      </c>
      <c r="BM17" s="73">
        <f t="shared" si="11"/>
        <v>23</v>
      </c>
      <c r="BN17" s="74">
        <f t="shared" si="12"/>
        <v>3.4565217391304346</v>
      </c>
      <c r="BO17" s="75"/>
      <c r="BP17" s="76" t="str">
        <f>VLOOKUP(BN17,المرجع!$D$3:$F$12,3)</f>
        <v xml:space="preserve">جيد مرتفع </v>
      </c>
      <c r="BQ17" s="77">
        <f t="shared" si="13"/>
        <v>14</v>
      </c>
    </row>
    <row r="18" spans="2:69" ht="28.5">
      <c r="B18" s="66">
        <v>2023062</v>
      </c>
      <c r="C18" s="70" t="s">
        <v>47</v>
      </c>
      <c r="D18" s="21">
        <v>1</v>
      </c>
      <c r="E18" s="67">
        <v>93</v>
      </c>
      <c r="F18" s="65">
        <f>VLOOKUP(E18,المرجع!$B$3:$C$12,2)</f>
        <v>4.75</v>
      </c>
      <c r="G18" s="44" t="str">
        <f>VLOOKUP(F18,المرجع!$D$3:$E$12,2)</f>
        <v>أ</v>
      </c>
      <c r="H18" s="40">
        <f t="shared" si="0"/>
        <v>4.75</v>
      </c>
      <c r="I18" s="21">
        <v>2</v>
      </c>
      <c r="J18" s="67">
        <v>92</v>
      </c>
      <c r="K18" s="65">
        <f>VLOOKUP(J18,المرجع!$B$3:$C$12,2)</f>
        <v>4.75</v>
      </c>
      <c r="L18" s="44" t="str">
        <f>VLOOKUP(K18,المرجع!$D$3:$E$12,2)</f>
        <v>أ</v>
      </c>
      <c r="M18" s="40">
        <f t="shared" si="1"/>
        <v>9.5</v>
      </c>
      <c r="N18" s="21">
        <v>2</v>
      </c>
      <c r="O18" s="67">
        <v>82</v>
      </c>
      <c r="P18" s="65">
        <f>VLOOKUP(O18,المرجع!$B$3:$C$12,2)</f>
        <v>4</v>
      </c>
      <c r="Q18" s="44" t="str">
        <f>VLOOKUP(P18,المرجع!$D$3:$E$12,2)</f>
        <v>ب</v>
      </c>
      <c r="R18" s="40">
        <f t="shared" si="2"/>
        <v>8</v>
      </c>
      <c r="S18" s="21">
        <v>2</v>
      </c>
      <c r="T18" s="67">
        <v>100</v>
      </c>
      <c r="U18" s="65">
        <f>VLOOKUP(T18,المرجع!$B$3:$C$12,2)</f>
        <v>5</v>
      </c>
      <c r="V18" s="44" t="str">
        <f>VLOOKUP(U18,المرجع!$D$3:$E$12,2)</f>
        <v xml:space="preserve">أ+ </v>
      </c>
      <c r="W18" s="40">
        <f t="shared" si="3"/>
        <v>10</v>
      </c>
      <c r="X18" s="21">
        <v>2</v>
      </c>
      <c r="Y18" s="67">
        <v>95</v>
      </c>
      <c r="Z18" s="65">
        <f>VLOOKUP(Y18,المرجع!$B$3:$C$12,2)</f>
        <v>5</v>
      </c>
      <c r="AA18" s="44" t="str">
        <f>VLOOKUP(Z18,المرجع!$D$3:$E$12,2)</f>
        <v xml:space="preserve">أ+ </v>
      </c>
      <c r="AB18" s="40">
        <f t="shared" si="4"/>
        <v>10</v>
      </c>
      <c r="AC18" s="21">
        <v>2</v>
      </c>
      <c r="AD18" s="67">
        <v>97</v>
      </c>
      <c r="AE18" s="65">
        <f>VLOOKUP(AD18,المرجع!$B$3:$C$12,2)</f>
        <v>5</v>
      </c>
      <c r="AF18" s="44" t="str">
        <f>VLOOKUP(AE18,المرجع!$D$3:$E$12,2)</f>
        <v xml:space="preserve">أ+ </v>
      </c>
      <c r="AG18" s="40">
        <f t="shared" si="5"/>
        <v>10</v>
      </c>
      <c r="AH18" s="21">
        <v>2</v>
      </c>
      <c r="AI18" s="67">
        <v>70</v>
      </c>
      <c r="AJ18" s="65">
        <f>VLOOKUP(AI18,المرجع!$B$3:$C$12,2)</f>
        <v>3</v>
      </c>
      <c r="AK18" s="44" t="str">
        <f>VLOOKUP(AJ18,المرجع!$D$3:$E$12,2)</f>
        <v>ج</v>
      </c>
      <c r="AL18" s="40">
        <f t="shared" si="6"/>
        <v>6</v>
      </c>
      <c r="AM18" s="21">
        <v>2</v>
      </c>
      <c r="AN18" s="67">
        <v>83</v>
      </c>
      <c r="AO18" s="65">
        <f>VLOOKUP(AN18,المرجع!$B$3:$C$12,2)</f>
        <v>4</v>
      </c>
      <c r="AP18" s="44" t="str">
        <f>VLOOKUP(AO18,المرجع!$D$3:$E$12,2)</f>
        <v>ب</v>
      </c>
      <c r="AQ18" s="40">
        <f t="shared" si="7"/>
        <v>8</v>
      </c>
      <c r="AR18" s="21">
        <v>2</v>
      </c>
      <c r="AS18" s="67">
        <v>69</v>
      </c>
      <c r="AT18" s="65">
        <f>VLOOKUP(AS18,المرجع!$B$3:$C$12,2)</f>
        <v>2.5</v>
      </c>
      <c r="AU18" s="44" t="str">
        <f>VLOOKUP(AT18,المرجع!$D$3:$E$12,2)</f>
        <v>د+</v>
      </c>
      <c r="AV18" s="40">
        <f t="shared" si="8"/>
        <v>5</v>
      </c>
      <c r="AW18" s="21">
        <v>2</v>
      </c>
      <c r="AX18" s="67">
        <v>70</v>
      </c>
      <c r="AY18" s="65">
        <f>VLOOKUP(AX18,المرجع!$B$3:$C$12,2)</f>
        <v>3</v>
      </c>
      <c r="AZ18" s="44" t="str">
        <f>VLOOKUP(AY18,المرجع!$D$3:$E$12,2)</f>
        <v>ج</v>
      </c>
      <c r="BA18" s="40">
        <f t="shared" si="9"/>
        <v>6</v>
      </c>
      <c r="BB18" s="21">
        <v>2</v>
      </c>
      <c r="BC18" s="67">
        <v>97</v>
      </c>
      <c r="BD18" s="65">
        <f>VLOOKUP(BC18,المرجع!$B$3:$C$12,2)</f>
        <v>5</v>
      </c>
      <c r="BE18" s="44" t="str">
        <f>VLOOKUP(BD18,المرجع!$D$3:$E$12,2)</f>
        <v xml:space="preserve">أ+ </v>
      </c>
      <c r="BF18" s="40">
        <f t="shared" si="14"/>
        <v>10</v>
      </c>
      <c r="BG18" s="21">
        <v>2</v>
      </c>
      <c r="BH18" s="67">
        <v>89</v>
      </c>
      <c r="BI18" s="65">
        <f>VLOOKUP(BH18,المرجع!$B$3:$C$12,2)</f>
        <v>4.5</v>
      </c>
      <c r="BJ18" s="44" t="str">
        <f>VLOOKUP(BI18,المرجع!$D$3:$E$12,2)</f>
        <v>ب+</v>
      </c>
      <c r="BK18" s="40">
        <f t="shared" si="10"/>
        <v>9</v>
      </c>
      <c r="BL18" s="72">
        <f t="shared" si="15"/>
        <v>78.25</v>
      </c>
      <c r="BM18" s="73">
        <f t="shared" si="11"/>
        <v>23</v>
      </c>
      <c r="BN18" s="74">
        <f t="shared" si="12"/>
        <v>3.402173913043478</v>
      </c>
      <c r="BO18" s="75"/>
      <c r="BP18" s="76" t="str">
        <f>VLOOKUP(BN18,المرجع!$D$3:$F$12,3)</f>
        <v xml:space="preserve">جيد مرتفع </v>
      </c>
      <c r="BQ18" s="77">
        <f t="shared" si="13"/>
        <v>17</v>
      </c>
    </row>
    <row r="19" spans="2:69" ht="28.5">
      <c r="B19" s="66">
        <v>2023113</v>
      </c>
      <c r="C19" s="70" t="s">
        <v>54</v>
      </c>
      <c r="D19" s="21">
        <v>1</v>
      </c>
      <c r="E19" s="67">
        <v>92</v>
      </c>
      <c r="F19" s="65">
        <f>VLOOKUP(E19,المرجع!$B$3:$C$12,2)</f>
        <v>4.75</v>
      </c>
      <c r="G19" s="44" t="str">
        <f>VLOOKUP(F19,المرجع!$D$3:$E$12,2)</f>
        <v>أ</v>
      </c>
      <c r="H19" s="40">
        <f t="shared" si="0"/>
        <v>4.75</v>
      </c>
      <c r="I19" s="21">
        <v>2</v>
      </c>
      <c r="J19" s="67">
        <v>98</v>
      </c>
      <c r="K19" s="65">
        <f>VLOOKUP(J19,المرجع!$B$3:$C$12,2)</f>
        <v>5</v>
      </c>
      <c r="L19" s="44" t="str">
        <f>VLOOKUP(K19,المرجع!$D$3:$E$12,2)</f>
        <v xml:space="preserve">أ+ </v>
      </c>
      <c r="M19" s="40">
        <f t="shared" si="1"/>
        <v>10</v>
      </c>
      <c r="N19" s="21">
        <v>2</v>
      </c>
      <c r="O19" s="67">
        <v>80</v>
      </c>
      <c r="P19" s="65">
        <f>VLOOKUP(O19,المرجع!$B$3:$C$12,2)</f>
        <v>4</v>
      </c>
      <c r="Q19" s="44" t="str">
        <f>VLOOKUP(P19,المرجع!$D$3:$E$12,2)</f>
        <v>ب</v>
      </c>
      <c r="R19" s="40">
        <f t="shared" si="2"/>
        <v>8</v>
      </c>
      <c r="S19" s="21">
        <v>2</v>
      </c>
      <c r="T19" s="67">
        <v>100</v>
      </c>
      <c r="U19" s="65">
        <f>VLOOKUP(T19,المرجع!$B$3:$C$12,2)</f>
        <v>5</v>
      </c>
      <c r="V19" s="44" t="str">
        <f>VLOOKUP(U19,المرجع!$D$3:$E$12,2)</f>
        <v xml:space="preserve">أ+ </v>
      </c>
      <c r="W19" s="40">
        <f t="shared" si="3"/>
        <v>10</v>
      </c>
      <c r="X19" s="21">
        <v>2</v>
      </c>
      <c r="Y19" s="67">
        <v>90</v>
      </c>
      <c r="Z19" s="65">
        <f>VLOOKUP(Y19,المرجع!$B$3:$C$12,2)</f>
        <v>4.75</v>
      </c>
      <c r="AA19" s="44" t="str">
        <f>VLOOKUP(Z19,المرجع!$D$3:$E$12,2)</f>
        <v>أ</v>
      </c>
      <c r="AB19" s="40">
        <f t="shared" si="4"/>
        <v>9.5</v>
      </c>
      <c r="AC19" s="21">
        <v>2</v>
      </c>
      <c r="AD19" s="67">
        <v>70</v>
      </c>
      <c r="AE19" s="65">
        <f>VLOOKUP(AD19,المرجع!$B$3:$C$12,2)</f>
        <v>3</v>
      </c>
      <c r="AF19" s="44" t="str">
        <f>VLOOKUP(AE19,المرجع!$D$3:$E$12,2)</f>
        <v>ج</v>
      </c>
      <c r="AG19" s="40">
        <f t="shared" si="5"/>
        <v>6</v>
      </c>
      <c r="AH19" s="21">
        <v>2</v>
      </c>
      <c r="AI19" s="67">
        <v>91</v>
      </c>
      <c r="AJ19" s="65">
        <f>VLOOKUP(AI19,المرجع!$B$3:$C$12,2)</f>
        <v>4.75</v>
      </c>
      <c r="AK19" s="44" t="str">
        <f>VLOOKUP(AJ19,المرجع!$D$3:$E$12,2)</f>
        <v>أ</v>
      </c>
      <c r="AL19" s="40">
        <f t="shared" si="6"/>
        <v>9.5</v>
      </c>
      <c r="AM19" s="21">
        <v>2</v>
      </c>
      <c r="AN19" s="67">
        <v>89</v>
      </c>
      <c r="AO19" s="65">
        <f>VLOOKUP(AN19,المرجع!$B$3:$C$12,2)</f>
        <v>4.5</v>
      </c>
      <c r="AP19" s="44" t="str">
        <f>VLOOKUP(AO19,المرجع!$D$3:$E$12,2)</f>
        <v>ب+</v>
      </c>
      <c r="AQ19" s="40">
        <f t="shared" si="7"/>
        <v>9</v>
      </c>
      <c r="AR19" s="21">
        <v>2</v>
      </c>
      <c r="AS19" s="67">
        <v>79</v>
      </c>
      <c r="AT19" s="65">
        <f>VLOOKUP(AS19,المرجع!$B$3:$C$12,2)</f>
        <v>3.5</v>
      </c>
      <c r="AU19" s="44" t="str">
        <f>VLOOKUP(AT19,المرجع!$D$3:$E$12,2)</f>
        <v>ج+</v>
      </c>
      <c r="AV19" s="40">
        <f t="shared" si="8"/>
        <v>7</v>
      </c>
      <c r="AW19" s="21">
        <v>2</v>
      </c>
      <c r="AX19" s="67">
        <v>65</v>
      </c>
      <c r="AY19" s="65">
        <f>VLOOKUP(AX19,المرجع!$B$3:$C$12,2)</f>
        <v>2.5</v>
      </c>
      <c r="AZ19" s="44" t="str">
        <f>VLOOKUP(AY19,المرجع!$D$3:$E$12,2)</f>
        <v>د+</v>
      </c>
      <c r="BA19" s="40">
        <f t="shared" si="9"/>
        <v>5</v>
      </c>
      <c r="BB19" s="21">
        <v>2</v>
      </c>
      <c r="BC19" s="67">
        <v>92</v>
      </c>
      <c r="BD19" s="65">
        <f>VLOOKUP(BC19,المرجع!$B$3:$C$12,2)</f>
        <v>4.75</v>
      </c>
      <c r="BE19" s="44" t="str">
        <f>VLOOKUP(BD19,المرجع!$D$3:$E$12,2)</f>
        <v>أ</v>
      </c>
      <c r="BF19" s="40">
        <f t="shared" si="14"/>
        <v>9.5</v>
      </c>
      <c r="BG19" s="21">
        <v>2</v>
      </c>
      <c r="BH19" s="67">
        <v>71</v>
      </c>
      <c r="BI19" s="65">
        <f>VLOOKUP(BH19,المرجع!$B$3:$C$12,2)</f>
        <v>3</v>
      </c>
      <c r="BJ19" s="44" t="str">
        <f>VLOOKUP(BI19,المرجع!$D$3:$E$12,2)</f>
        <v>ج</v>
      </c>
      <c r="BK19" s="40">
        <f t="shared" si="10"/>
        <v>6</v>
      </c>
      <c r="BL19" s="72">
        <f t="shared" si="15"/>
        <v>82.25</v>
      </c>
      <c r="BM19" s="73">
        <f t="shared" si="11"/>
        <v>23</v>
      </c>
      <c r="BN19" s="74">
        <f t="shared" si="12"/>
        <v>3.5760869565217392</v>
      </c>
      <c r="BO19" s="75"/>
      <c r="BP19" s="76" t="str">
        <f>VLOOKUP(BN19,المرجع!$D$3:$F$12,3)</f>
        <v xml:space="preserve">جيد مرتفع </v>
      </c>
      <c r="BQ19" s="77">
        <f t="shared" si="13"/>
        <v>8</v>
      </c>
    </row>
    <row r="20" spans="2:69" ht="28.5">
      <c r="B20" s="66">
        <v>2023065</v>
      </c>
      <c r="C20" s="70" t="s">
        <v>57</v>
      </c>
      <c r="D20" s="21">
        <v>1</v>
      </c>
      <c r="E20" s="67">
        <v>98</v>
      </c>
      <c r="F20" s="65">
        <f>VLOOKUP(E20,المرجع!$B$3:$C$12,2)</f>
        <v>5</v>
      </c>
      <c r="G20" s="44" t="str">
        <f>VLOOKUP(F20,المرجع!$D$3:$E$12,2)</f>
        <v xml:space="preserve">أ+ </v>
      </c>
      <c r="H20" s="40">
        <f t="shared" si="0"/>
        <v>5</v>
      </c>
      <c r="I20" s="21">
        <v>2</v>
      </c>
      <c r="J20" s="67">
        <v>98</v>
      </c>
      <c r="K20" s="65">
        <f>VLOOKUP(J20,المرجع!$B$3:$C$12,2)</f>
        <v>5</v>
      </c>
      <c r="L20" s="44" t="str">
        <f>VLOOKUP(K20,المرجع!$D$3:$E$12,2)</f>
        <v xml:space="preserve">أ+ </v>
      </c>
      <c r="M20" s="40">
        <f t="shared" si="1"/>
        <v>10</v>
      </c>
      <c r="N20" s="21">
        <v>2</v>
      </c>
      <c r="O20" s="67">
        <v>50</v>
      </c>
      <c r="P20" s="65">
        <f>VLOOKUP(O20,المرجع!$B$3:$C$12,2)</f>
        <v>2</v>
      </c>
      <c r="Q20" s="44" t="str">
        <f>VLOOKUP(P20,المرجع!$D$3:$E$12,2)</f>
        <v>د</v>
      </c>
      <c r="R20" s="40">
        <f t="shared" si="2"/>
        <v>4</v>
      </c>
      <c r="S20" s="21">
        <v>2</v>
      </c>
      <c r="T20" s="67">
        <v>100</v>
      </c>
      <c r="U20" s="65">
        <f>VLOOKUP(T20,المرجع!$B$3:$C$12,2)</f>
        <v>5</v>
      </c>
      <c r="V20" s="44" t="str">
        <f>VLOOKUP(U20,المرجع!$D$3:$E$12,2)</f>
        <v xml:space="preserve">أ+ </v>
      </c>
      <c r="W20" s="40">
        <f t="shared" si="3"/>
        <v>10</v>
      </c>
      <c r="X20" s="21">
        <v>2</v>
      </c>
      <c r="Y20" s="67">
        <v>100</v>
      </c>
      <c r="Z20" s="65">
        <f>VLOOKUP(Y20,المرجع!$B$3:$C$12,2)</f>
        <v>5</v>
      </c>
      <c r="AA20" s="44" t="str">
        <f>VLOOKUP(Z20,المرجع!$D$3:$E$12,2)</f>
        <v xml:space="preserve">أ+ </v>
      </c>
      <c r="AB20" s="40">
        <f t="shared" si="4"/>
        <v>10</v>
      </c>
      <c r="AC20" s="21">
        <v>2</v>
      </c>
      <c r="AD20" s="67">
        <v>64</v>
      </c>
      <c r="AE20" s="65">
        <f>VLOOKUP(AD20,المرجع!$B$3:$C$12,2)</f>
        <v>2</v>
      </c>
      <c r="AF20" s="44" t="str">
        <f>VLOOKUP(AE20,المرجع!$D$3:$E$12,2)</f>
        <v>د</v>
      </c>
      <c r="AG20" s="40">
        <f t="shared" si="5"/>
        <v>4</v>
      </c>
      <c r="AH20" s="21">
        <v>2</v>
      </c>
      <c r="AI20" s="67">
        <v>89</v>
      </c>
      <c r="AJ20" s="65">
        <f>VLOOKUP(AI20,المرجع!$B$3:$C$12,2)</f>
        <v>4.5</v>
      </c>
      <c r="AK20" s="44" t="str">
        <f>VLOOKUP(AJ20,المرجع!$D$3:$E$12,2)</f>
        <v>ب+</v>
      </c>
      <c r="AL20" s="40">
        <f t="shared" si="6"/>
        <v>9</v>
      </c>
      <c r="AM20" s="21">
        <v>2</v>
      </c>
      <c r="AN20" s="67">
        <v>89</v>
      </c>
      <c r="AO20" s="65">
        <f>VLOOKUP(AN20,المرجع!$B$3:$C$12,2)</f>
        <v>4.5</v>
      </c>
      <c r="AP20" s="44" t="str">
        <f>VLOOKUP(AO20,المرجع!$D$3:$E$12,2)</f>
        <v>ب+</v>
      </c>
      <c r="AQ20" s="40">
        <f t="shared" si="7"/>
        <v>9</v>
      </c>
      <c r="AR20" s="21">
        <v>2</v>
      </c>
      <c r="AS20" s="67">
        <v>69</v>
      </c>
      <c r="AT20" s="65">
        <f>VLOOKUP(AS20,المرجع!$B$3:$C$12,2)</f>
        <v>2.5</v>
      </c>
      <c r="AU20" s="44" t="str">
        <f>VLOOKUP(AT20,المرجع!$D$3:$E$12,2)</f>
        <v>د+</v>
      </c>
      <c r="AV20" s="40">
        <f t="shared" si="8"/>
        <v>5</v>
      </c>
      <c r="AW20" s="21">
        <v>2</v>
      </c>
      <c r="AX20" s="67">
        <v>85</v>
      </c>
      <c r="AY20" s="65">
        <f>VLOOKUP(AX20,المرجع!$B$3:$C$12,2)</f>
        <v>4.5</v>
      </c>
      <c r="AZ20" s="44" t="str">
        <f>VLOOKUP(AY20,المرجع!$D$3:$E$12,2)</f>
        <v>ب+</v>
      </c>
      <c r="BA20" s="40">
        <f t="shared" si="9"/>
        <v>9</v>
      </c>
      <c r="BB20" s="21">
        <v>2</v>
      </c>
      <c r="BC20" s="67">
        <v>81</v>
      </c>
      <c r="BD20" s="65">
        <f>VLOOKUP(BC20,المرجع!$B$3:$C$12,2)</f>
        <v>4</v>
      </c>
      <c r="BE20" s="44" t="str">
        <f>VLOOKUP(BD20,المرجع!$D$3:$E$12,2)</f>
        <v>ب</v>
      </c>
      <c r="BF20" s="40">
        <f t="shared" si="14"/>
        <v>8</v>
      </c>
      <c r="BG20" s="21">
        <v>2</v>
      </c>
      <c r="BH20" s="67">
        <v>98</v>
      </c>
      <c r="BI20" s="65">
        <f>VLOOKUP(BH20,المرجع!$B$3:$C$12,2)</f>
        <v>5</v>
      </c>
      <c r="BJ20" s="44" t="str">
        <f>VLOOKUP(BI20,المرجع!$D$3:$E$12,2)</f>
        <v xml:space="preserve">أ+ </v>
      </c>
      <c r="BK20" s="40">
        <f t="shared" si="10"/>
        <v>10</v>
      </c>
      <c r="BL20" s="72">
        <f t="shared" si="15"/>
        <v>73</v>
      </c>
      <c r="BM20" s="73">
        <f t="shared" si="11"/>
        <v>23</v>
      </c>
      <c r="BN20" s="74">
        <f t="shared" si="12"/>
        <v>3.1739130434782608</v>
      </c>
      <c r="BO20" s="75"/>
      <c r="BP20" s="76" t="str">
        <f>VLOOKUP(BN20,المرجع!$D$3:$F$12,3)</f>
        <v xml:space="preserve">جيد مرتفع </v>
      </c>
      <c r="BQ20" s="77">
        <f t="shared" si="13"/>
        <v>22</v>
      </c>
    </row>
    <row r="21" spans="2:69" ht="28.5">
      <c r="B21" s="66">
        <v>2023056</v>
      </c>
      <c r="C21" s="70" t="s">
        <v>3</v>
      </c>
      <c r="D21" s="21">
        <v>1</v>
      </c>
      <c r="E21" s="67">
        <v>94</v>
      </c>
      <c r="F21" s="65">
        <f>VLOOKUP(E21,المرجع!$B$3:$C$12,2)</f>
        <v>4.75</v>
      </c>
      <c r="G21" s="44" t="str">
        <f>VLOOKUP(F21,المرجع!$D$3:$E$12,2)</f>
        <v>أ</v>
      </c>
      <c r="H21" s="40">
        <f t="shared" si="0"/>
        <v>4.75</v>
      </c>
      <c r="I21" s="21">
        <v>2</v>
      </c>
      <c r="J21" s="67">
        <v>100</v>
      </c>
      <c r="K21" s="65">
        <f>VLOOKUP(J21,المرجع!$B$3:$C$12,2)</f>
        <v>5</v>
      </c>
      <c r="L21" s="44" t="str">
        <f>VLOOKUP(K21,المرجع!$D$3:$E$12,2)</f>
        <v xml:space="preserve">أ+ </v>
      </c>
      <c r="M21" s="40">
        <f t="shared" si="1"/>
        <v>10</v>
      </c>
      <c r="N21" s="21">
        <v>2</v>
      </c>
      <c r="O21" s="67">
        <v>55</v>
      </c>
      <c r="P21" s="65">
        <f>VLOOKUP(O21,المرجع!$B$3:$C$12,2)</f>
        <v>2</v>
      </c>
      <c r="Q21" s="44" t="str">
        <f>VLOOKUP(P21,المرجع!$D$3:$E$12,2)</f>
        <v>د</v>
      </c>
      <c r="R21" s="40">
        <f t="shared" si="2"/>
        <v>4</v>
      </c>
      <c r="S21" s="21">
        <v>2</v>
      </c>
      <c r="T21" s="67">
        <v>95</v>
      </c>
      <c r="U21" s="65">
        <f>VLOOKUP(T21,المرجع!$B$3:$C$12,2)</f>
        <v>5</v>
      </c>
      <c r="V21" s="44" t="str">
        <f>VLOOKUP(U21,المرجع!$D$3:$E$12,2)</f>
        <v xml:space="preserve">أ+ </v>
      </c>
      <c r="W21" s="40">
        <f t="shared" si="3"/>
        <v>10</v>
      </c>
      <c r="X21" s="21">
        <v>2</v>
      </c>
      <c r="Y21" s="67">
        <v>100</v>
      </c>
      <c r="Z21" s="65">
        <f>VLOOKUP(Y21,المرجع!$B$3:$C$12,2)</f>
        <v>5</v>
      </c>
      <c r="AA21" s="44" t="str">
        <f>VLOOKUP(Z21,المرجع!$D$3:$E$12,2)</f>
        <v xml:space="preserve">أ+ </v>
      </c>
      <c r="AB21" s="40">
        <f t="shared" si="4"/>
        <v>10</v>
      </c>
      <c r="AC21" s="21">
        <v>2</v>
      </c>
      <c r="AD21" s="67">
        <v>93</v>
      </c>
      <c r="AE21" s="65">
        <f>VLOOKUP(AD21,المرجع!$B$3:$C$12,2)</f>
        <v>4.75</v>
      </c>
      <c r="AF21" s="44" t="str">
        <f>VLOOKUP(AE21,المرجع!$D$3:$E$12,2)</f>
        <v>أ</v>
      </c>
      <c r="AG21" s="40">
        <f t="shared" si="5"/>
        <v>9.5</v>
      </c>
      <c r="AH21" s="21">
        <v>2</v>
      </c>
      <c r="AI21" s="67">
        <v>78</v>
      </c>
      <c r="AJ21" s="65">
        <f>VLOOKUP(AI21,المرجع!$B$3:$C$12,2)</f>
        <v>3.5</v>
      </c>
      <c r="AK21" s="44" t="str">
        <f>VLOOKUP(AJ21,المرجع!$D$3:$E$12,2)</f>
        <v>ج+</v>
      </c>
      <c r="AL21" s="40">
        <f t="shared" si="6"/>
        <v>7</v>
      </c>
      <c r="AM21" s="21">
        <v>2</v>
      </c>
      <c r="AN21" s="67">
        <v>73</v>
      </c>
      <c r="AO21" s="65">
        <f>VLOOKUP(AN21,المرجع!$B$3:$C$12,2)</f>
        <v>3</v>
      </c>
      <c r="AP21" s="44" t="str">
        <f>VLOOKUP(AO21,المرجع!$D$3:$E$12,2)</f>
        <v>ج</v>
      </c>
      <c r="AQ21" s="40">
        <f t="shared" si="7"/>
        <v>6</v>
      </c>
      <c r="AR21" s="21">
        <v>2</v>
      </c>
      <c r="AS21" s="67">
        <v>86</v>
      </c>
      <c r="AT21" s="65">
        <f>VLOOKUP(AS21,المرجع!$B$3:$C$12,2)</f>
        <v>4.5</v>
      </c>
      <c r="AU21" s="44" t="str">
        <f>VLOOKUP(AT21,المرجع!$D$3:$E$12,2)</f>
        <v>ب+</v>
      </c>
      <c r="AV21" s="40">
        <f t="shared" si="8"/>
        <v>9</v>
      </c>
      <c r="AW21" s="21">
        <v>2</v>
      </c>
      <c r="AX21" s="67">
        <v>60</v>
      </c>
      <c r="AY21" s="65">
        <f>VLOOKUP(AX21,المرجع!$B$3:$C$12,2)</f>
        <v>2</v>
      </c>
      <c r="AZ21" s="44" t="str">
        <f>VLOOKUP(AY21,المرجع!$D$3:$E$12,2)</f>
        <v>د</v>
      </c>
      <c r="BA21" s="40">
        <f t="shared" si="9"/>
        <v>4</v>
      </c>
      <c r="BB21" s="21">
        <v>2</v>
      </c>
      <c r="BC21" s="67">
        <v>87</v>
      </c>
      <c r="BD21" s="65">
        <f>VLOOKUP(BC21,المرجع!$B$3:$C$12,2)</f>
        <v>4.5</v>
      </c>
      <c r="BE21" s="44" t="str">
        <f>VLOOKUP(BD21,المرجع!$D$3:$E$12,2)</f>
        <v>ب+</v>
      </c>
      <c r="BF21" s="40">
        <f t="shared" si="14"/>
        <v>9</v>
      </c>
      <c r="BG21" s="21">
        <v>2</v>
      </c>
      <c r="BH21" s="67">
        <v>98</v>
      </c>
      <c r="BI21" s="65">
        <f>VLOOKUP(BH21,المرجع!$B$3:$C$12,2)</f>
        <v>5</v>
      </c>
      <c r="BJ21" s="44" t="str">
        <f>VLOOKUP(BI21,المرجع!$D$3:$E$12,2)</f>
        <v xml:space="preserve">أ+ </v>
      </c>
      <c r="BK21" s="40">
        <f t="shared" si="10"/>
        <v>10</v>
      </c>
      <c r="BL21" s="72">
        <f t="shared" si="15"/>
        <v>73.25</v>
      </c>
      <c r="BM21" s="73">
        <f t="shared" si="11"/>
        <v>23</v>
      </c>
      <c r="BN21" s="74">
        <f t="shared" si="12"/>
        <v>3.1847826086956523</v>
      </c>
      <c r="BO21" s="75"/>
      <c r="BP21" s="76" t="str">
        <f>VLOOKUP(BN21,المرجع!$D$3:$F$12,3)</f>
        <v xml:space="preserve">جيد مرتفع </v>
      </c>
      <c r="BQ21" s="77">
        <f t="shared" si="13"/>
        <v>21</v>
      </c>
    </row>
    <row r="22" spans="2:69" ht="28.5">
      <c r="B22" s="66">
        <v>2023098</v>
      </c>
      <c r="C22" s="70" t="s">
        <v>169</v>
      </c>
      <c r="D22" s="21">
        <v>1</v>
      </c>
      <c r="E22" s="67">
        <v>97</v>
      </c>
      <c r="F22" s="65">
        <f>VLOOKUP(E22,المرجع!$B$3:$C$12,2)</f>
        <v>5</v>
      </c>
      <c r="G22" s="44" t="str">
        <f>VLOOKUP(F22,المرجع!$D$3:$E$12,2)</f>
        <v xml:space="preserve">أ+ </v>
      </c>
      <c r="H22" s="40">
        <f t="shared" si="0"/>
        <v>5</v>
      </c>
      <c r="I22" s="21">
        <v>2</v>
      </c>
      <c r="J22" s="67">
        <v>93</v>
      </c>
      <c r="K22" s="65">
        <f>VLOOKUP(J22,المرجع!$B$3:$C$12,2)</f>
        <v>4.75</v>
      </c>
      <c r="L22" s="44" t="str">
        <f>VLOOKUP(K22,المرجع!$D$3:$E$12,2)</f>
        <v>أ</v>
      </c>
      <c r="M22" s="40">
        <f t="shared" si="1"/>
        <v>9.5</v>
      </c>
      <c r="N22" s="21">
        <v>2</v>
      </c>
      <c r="O22" s="67">
        <v>50</v>
      </c>
      <c r="P22" s="65">
        <f>VLOOKUP(O22,المرجع!$B$3:$C$12,2)</f>
        <v>2</v>
      </c>
      <c r="Q22" s="44" t="str">
        <f>VLOOKUP(P22,المرجع!$D$3:$E$12,2)</f>
        <v>د</v>
      </c>
      <c r="R22" s="40">
        <f t="shared" si="2"/>
        <v>4</v>
      </c>
      <c r="S22" s="21">
        <v>2</v>
      </c>
      <c r="T22" s="67">
        <v>100</v>
      </c>
      <c r="U22" s="65">
        <f>VLOOKUP(T22,المرجع!$B$3:$C$12,2)</f>
        <v>5</v>
      </c>
      <c r="V22" s="44" t="str">
        <f>VLOOKUP(U22,المرجع!$D$3:$E$12,2)</f>
        <v xml:space="preserve">أ+ </v>
      </c>
      <c r="W22" s="40">
        <f t="shared" si="3"/>
        <v>10</v>
      </c>
      <c r="X22" s="21">
        <v>2</v>
      </c>
      <c r="Y22" s="67">
        <v>95</v>
      </c>
      <c r="Z22" s="65">
        <f>VLOOKUP(Y22,المرجع!$B$3:$C$12,2)</f>
        <v>5</v>
      </c>
      <c r="AA22" s="44" t="str">
        <f>VLOOKUP(Z22,المرجع!$D$3:$E$12,2)</f>
        <v xml:space="preserve">أ+ </v>
      </c>
      <c r="AB22" s="40">
        <f t="shared" si="4"/>
        <v>10</v>
      </c>
      <c r="AC22" s="21">
        <v>2</v>
      </c>
      <c r="AD22" s="67">
        <v>30</v>
      </c>
      <c r="AE22" s="65">
        <f>VLOOKUP(AD22,المرجع!$B$3:$C$12,2)</f>
        <v>0</v>
      </c>
      <c r="AF22" s="44" t="str">
        <f>VLOOKUP(AE22,المرجع!$D$3:$E$12,2)</f>
        <v>ه</v>
      </c>
      <c r="AG22" s="40">
        <f t="shared" si="5"/>
        <v>0</v>
      </c>
      <c r="AH22" s="21">
        <v>2</v>
      </c>
      <c r="AI22" s="67">
        <v>92</v>
      </c>
      <c r="AJ22" s="65">
        <f>VLOOKUP(AI22,المرجع!$B$3:$C$12,2)</f>
        <v>4.75</v>
      </c>
      <c r="AK22" s="44" t="str">
        <f>VLOOKUP(AJ22,المرجع!$D$3:$E$12,2)</f>
        <v>أ</v>
      </c>
      <c r="AL22" s="40">
        <f t="shared" si="6"/>
        <v>9.5</v>
      </c>
      <c r="AM22" s="21">
        <v>2</v>
      </c>
      <c r="AN22" s="67">
        <v>90</v>
      </c>
      <c r="AO22" s="65">
        <f>VLOOKUP(AN22,المرجع!$B$3:$C$12,2)</f>
        <v>4.75</v>
      </c>
      <c r="AP22" s="44" t="str">
        <f>VLOOKUP(AO22,المرجع!$D$3:$E$12,2)</f>
        <v>أ</v>
      </c>
      <c r="AQ22" s="40">
        <f t="shared" si="7"/>
        <v>9.5</v>
      </c>
      <c r="AR22" s="21">
        <v>2</v>
      </c>
      <c r="AS22" s="67">
        <v>86</v>
      </c>
      <c r="AT22" s="65">
        <f>VLOOKUP(AS22,المرجع!$B$3:$C$12,2)</f>
        <v>4.5</v>
      </c>
      <c r="AU22" s="44" t="str">
        <f>VLOOKUP(AT22,المرجع!$D$3:$E$12,2)</f>
        <v>ب+</v>
      </c>
      <c r="AV22" s="40">
        <f t="shared" si="8"/>
        <v>9</v>
      </c>
      <c r="AW22" s="21">
        <v>2</v>
      </c>
      <c r="AX22" s="67">
        <v>80</v>
      </c>
      <c r="AY22" s="65">
        <f>VLOOKUP(AX22,المرجع!$B$3:$C$12,2)</f>
        <v>4</v>
      </c>
      <c r="AZ22" s="44" t="str">
        <f>VLOOKUP(AY22,المرجع!$D$3:$E$12,2)</f>
        <v>ب</v>
      </c>
      <c r="BA22" s="40">
        <f t="shared" si="9"/>
        <v>8</v>
      </c>
      <c r="BB22" s="21">
        <v>2</v>
      </c>
      <c r="BC22" s="67">
        <v>89</v>
      </c>
      <c r="BD22" s="65">
        <f>VLOOKUP(BC22,المرجع!$B$3:$C$12,2)</f>
        <v>4.5</v>
      </c>
      <c r="BE22" s="44" t="str">
        <f>VLOOKUP(BD22,المرجع!$D$3:$E$12,2)</f>
        <v>ب+</v>
      </c>
      <c r="BF22" s="40">
        <f t="shared" si="14"/>
        <v>9</v>
      </c>
      <c r="BG22" s="21">
        <v>2</v>
      </c>
      <c r="BH22" s="67">
        <v>98</v>
      </c>
      <c r="BI22" s="65">
        <f>VLOOKUP(BH22,المرجع!$B$3:$C$12,2)</f>
        <v>5</v>
      </c>
      <c r="BJ22" s="44" t="str">
        <f>VLOOKUP(BI22,المرجع!$D$3:$E$12,2)</f>
        <v xml:space="preserve">أ+ </v>
      </c>
      <c r="BK22" s="40">
        <f t="shared" si="10"/>
        <v>10</v>
      </c>
      <c r="BL22" s="72">
        <f t="shared" si="15"/>
        <v>73.5</v>
      </c>
      <c r="BM22" s="73">
        <f t="shared" si="11"/>
        <v>23</v>
      </c>
      <c r="BN22" s="74">
        <f t="shared" si="12"/>
        <v>3.1956521739130435</v>
      </c>
      <c r="BO22" s="75"/>
      <c r="BP22" s="76" t="str">
        <f>VLOOKUP(BN22,المرجع!$D$3:$F$12,3)</f>
        <v xml:space="preserve">جيد مرتفع </v>
      </c>
      <c r="BQ22" s="77">
        <f t="shared" si="13"/>
        <v>20</v>
      </c>
    </row>
    <row r="23" spans="2:69" ht="28.5">
      <c r="B23" s="66">
        <v>2023001</v>
      </c>
      <c r="C23" s="70" t="s">
        <v>1</v>
      </c>
      <c r="D23" s="21">
        <v>1</v>
      </c>
      <c r="E23" s="67">
        <v>94</v>
      </c>
      <c r="F23" s="65">
        <f>VLOOKUP(E23,المرجع!$B$3:$C$12,2)</f>
        <v>4.75</v>
      </c>
      <c r="G23" s="44" t="str">
        <f>VLOOKUP(F23,المرجع!$D$3:$E$12,2)</f>
        <v>أ</v>
      </c>
      <c r="H23" s="40">
        <f t="shared" si="0"/>
        <v>4.75</v>
      </c>
      <c r="I23" s="21">
        <v>2</v>
      </c>
      <c r="J23" s="67">
        <v>82</v>
      </c>
      <c r="K23" s="65">
        <f>VLOOKUP(J23,المرجع!$B$3:$C$12,2)</f>
        <v>4</v>
      </c>
      <c r="L23" s="44" t="str">
        <f>VLOOKUP(K23,المرجع!$D$3:$E$12,2)</f>
        <v>ب</v>
      </c>
      <c r="M23" s="40">
        <f t="shared" si="1"/>
        <v>8</v>
      </c>
      <c r="N23" s="21">
        <v>2</v>
      </c>
      <c r="O23" s="67">
        <v>80</v>
      </c>
      <c r="P23" s="65">
        <f>VLOOKUP(O23,المرجع!$B$3:$C$12,2)</f>
        <v>4</v>
      </c>
      <c r="Q23" s="44" t="str">
        <f>VLOOKUP(P23,المرجع!$D$3:$E$12,2)</f>
        <v>ب</v>
      </c>
      <c r="R23" s="40">
        <f t="shared" si="2"/>
        <v>8</v>
      </c>
      <c r="S23" s="21">
        <v>2</v>
      </c>
      <c r="T23" s="67">
        <v>100</v>
      </c>
      <c r="U23" s="65">
        <f>VLOOKUP(T23,المرجع!$B$3:$C$12,2)</f>
        <v>5</v>
      </c>
      <c r="V23" s="44" t="str">
        <f>VLOOKUP(U23,المرجع!$D$3:$E$12,2)</f>
        <v xml:space="preserve">أ+ </v>
      </c>
      <c r="W23" s="40">
        <f t="shared" si="3"/>
        <v>10</v>
      </c>
      <c r="X23" s="21">
        <v>2</v>
      </c>
      <c r="Y23" s="67">
        <v>100</v>
      </c>
      <c r="Z23" s="65">
        <f>VLOOKUP(Y23,المرجع!$B$3:$C$12,2)</f>
        <v>5</v>
      </c>
      <c r="AA23" s="44" t="str">
        <f>VLOOKUP(Z23,المرجع!$D$3:$E$12,2)</f>
        <v xml:space="preserve">أ+ </v>
      </c>
      <c r="AB23" s="40">
        <f t="shared" si="4"/>
        <v>10</v>
      </c>
      <c r="AC23" s="21">
        <v>2</v>
      </c>
      <c r="AD23" s="67">
        <v>90</v>
      </c>
      <c r="AE23" s="65">
        <f>VLOOKUP(AD23,المرجع!$B$3:$C$12,2)</f>
        <v>4.75</v>
      </c>
      <c r="AF23" s="44" t="str">
        <f>VLOOKUP(AE23,المرجع!$D$3:$E$12,2)</f>
        <v>أ</v>
      </c>
      <c r="AG23" s="40">
        <f t="shared" si="5"/>
        <v>9.5</v>
      </c>
      <c r="AH23" s="21">
        <v>2</v>
      </c>
      <c r="AI23" s="67">
        <v>78</v>
      </c>
      <c r="AJ23" s="65">
        <f>VLOOKUP(AI23,المرجع!$B$3:$C$12,2)</f>
        <v>3.5</v>
      </c>
      <c r="AK23" s="44" t="str">
        <f>VLOOKUP(AJ23,المرجع!$D$3:$E$12,2)</f>
        <v>ج+</v>
      </c>
      <c r="AL23" s="40">
        <f t="shared" si="6"/>
        <v>7</v>
      </c>
      <c r="AM23" s="21">
        <v>2</v>
      </c>
      <c r="AN23" s="67">
        <v>60</v>
      </c>
      <c r="AO23" s="65">
        <f>VLOOKUP(AN23,المرجع!$B$3:$C$12,2)</f>
        <v>2</v>
      </c>
      <c r="AP23" s="44" t="str">
        <f>VLOOKUP(AO23,المرجع!$D$3:$E$12,2)</f>
        <v>د</v>
      </c>
      <c r="AQ23" s="40">
        <f t="shared" si="7"/>
        <v>4</v>
      </c>
      <c r="AR23" s="21">
        <v>2</v>
      </c>
      <c r="AS23" s="67">
        <v>86</v>
      </c>
      <c r="AT23" s="65">
        <f>VLOOKUP(AS23,المرجع!$B$3:$C$12,2)</f>
        <v>4.5</v>
      </c>
      <c r="AU23" s="44" t="str">
        <f>VLOOKUP(AT23,المرجع!$D$3:$E$12,2)</f>
        <v>ب+</v>
      </c>
      <c r="AV23" s="40">
        <f t="shared" si="8"/>
        <v>9</v>
      </c>
      <c r="AW23" s="21">
        <v>2</v>
      </c>
      <c r="AX23" s="67">
        <v>80</v>
      </c>
      <c r="AY23" s="65">
        <f>VLOOKUP(AX23,المرجع!$B$3:$C$12,2)</f>
        <v>4</v>
      </c>
      <c r="AZ23" s="44" t="str">
        <f>VLOOKUP(AY23,المرجع!$D$3:$E$12,2)</f>
        <v>ب</v>
      </c>
      <c r="BA23" s="40">
        <f t="shared" si="9"/>
        <v>8</v>
      </c>
      <c r="BB23" s="21">
        <v>2</v>
      </c>
      <c r="BC23" s="67">
        <v>77</v>
      </c>
      <c r="BD23" s="65">
        <f>VLOOKUP(BC23,المرجع!$B$3:$C$12,2)</f>
        <v>3.5</v>
      </c>
      <c r="BE23" s="44" t="str">
        <f>VLOOKUP(BD23,المرجع!$D$3:$E$12,2)</f>
        <v>ج+</v>
      </c>
      <c r="BF23" s="40">
        <f t="shared" si="14"/>
        <v>7</v>
      </c>
      <c r="BG23" s="21">
        <v>2</v>
      </c>
      <c r="BH23" s="67">
        <v>98</v>
      </c>
      <c r="BI23" s="65">
        <f>VLOOKUP(BH23,المرجع!$B$3:$C$12,2)</f>
        <v>5</v>
      </c>
      <c r="BJ23" s="44" t="str">
        <f>VLOOKUP(BI23,المرجع!$D$3:$E$12,2)</f>
        <v xml:space="preserve">أ+ </v>
      </c>
      <c r="BK23" s="40">
        <f t="shared" si="10"/>
        <v>10</v>
      </c>
      <c r="BL23" s="72">
        <f t="shared" si="15"/>
        <v>75.25</v>
      </c>
      <c r="BM23" s="73">
        <f t="shared" si="11"/>
        <v>23</v>
      </c>
      <c r="BN23" s="74">
        <f t="shared" si="12"/>
        <v>3.2717391304347827</v>
      </c>
      <c r="BO23" s="75"/>
      <c r="BP23" s="76" t="str">
        <f>VLOOKUP(BN23,المرجع!$D$3:$F$12,3)</f>
        <v xml:space="preserve">جيد مرتفع </v>
      </c>
      <c r="BQ23" s="77">
        <f t="shared" si="13"/>
        <v>18</v>
      </c>
    </row>
    <row r="24" spans="2:69" ht="28.5">
      <c r="B24" s="66">
        <v>2023045</v>
      </c>
      <c r="C24" s="70" t="s">
        <v>10</v>
      </c>
      <c r="D24" s="21">
        <v>1</v>
      </c>
      <c r="E24" s="67">
        <v>93</v>
      </c>
      <c r="F24" s="65">
        <f>VLOOKUP(E24,المرجع!$B$3:$C$12,2)</f>
        <v>4.75</v>
      </c>
      <c r="G24" s="44" t="str">
        <f>VLOOKUP(F24,المرجع!$D$3:$E$12,2)</f>
        <v>أ</v>
      </c>
      <c r="H24" s="40">
        <f t="shared" si="0"/>
        <v>4.75</v>
      </c>
      <c r="I24" s="21">
        <v>2</v>
      </c>
      <c r="J24" s="67">
        <v>100</v>
      </c>
      <c r="K24" s="65">
        <f>VLOOKUP(J24,المرجع!$B$3:$C$12,2)</f>
        <v>5</v>
      </c>
      <c r="L24" s="44" t="str">
        <f>VLOOKUP(K24,المرجع!$D$3:$E$12,2)</f>
        <v xml:space="preserve">أ+ </v>
      </c>
      <c r="M24" s="40">
        <f t="shared" si="1"/>
        <v>10</v>
      </c>
      <c r="N24" s="21">
        <v>2</v>
      </c>
      <c r="O24" s="67">
        <v>50</v>
      </c>
      <c r="P24" s="65">
        <f>VLOOKUP(O24,المرجع!$B$3:$C$12,2)</f>
        <v>2</v>
      </c>
      <c r="Q24" s="44" t="str">
        <f>VLOOKUP(P24,المرجع!$D$3:$E$12,2)</f>
        <v>د</v>
      </c>
      <c r="R24" s="40">
        <f t="shared" si="2"/>
        <v>4</v>
      </c>
      <c r="S24" s="21">
        <v>2</v>
      </c>
      <c r="T24" s="67">
        <v>100</v>
      </c>
      <c r="U24" s="65">
        <f>VLOOKUP(T24,المرجع!$B$3:$C$12,2)</f>
        <v>5</v>
      </c>
      <c r="V24" s="44" t="str">
        <f>VLOOKUP(U24,المرجع!$D$3:$E$12,2)</f>
        <v xml:space="preserve">أ+ </v>
      </c>
      <c r="W24" s="40">
        <f t="shared" si="3"/>
        <v>10</v>
      </c>
      <c r="X24" s="21">
        <v>2</v>
      </c>
      <c r="Y24" s="67">
        <v>100</v>
      </c>
      <c r="Z24" s="65">
        <f>VLOOKUP(Y24,المرجع!$B$3:$C$12,2)</f>
        <v>5</v>
      </c>
      <c r="AA24" s="44" t="str">
        <f>VLOOKUP(Z24,المرجع!$D$3:$E$12,2)</f>
        <v xml:space="preserve">أ+ </v>
      </c>
      <c r="AB24" s="40">
        <f t="shared" si="4"/>
        <v>10</v>
      </c>
      <c r="AC24" s="21">
        <v>2</v>
      </c>
      <c r="AD24" s="67">
        <v>78</v>
      </c>
      <c r="AE24" s="65">
        <f>VLOOKUP(AD24,المرجع!$B$3:$C$12,2)</f>
        <v>3.5</v>
      </c>
      <c r="AF24" s="44" t="str">
        <f>VLOOKUP(AE24,المرجع!$D$3:$E$12,2)</f>
        <v>ج+</v>
      </c>
      <c r="AG24" s="40">
        <f t="shared" si="5"/>
        <v>7</v>
      </c>
      <c r="AH24" s="21">
        <v>2</v>
      </c>
      <c r="AI24" s="67">
        <v>55</v>
      </c>
      <c r="AJ24" s="65">
        <f>VLOOKUP(AI24,المرجع!$B$3:$C$12,2)</f>
        <v>2</v>
      </c>
      <c r="AK24" s="44" t="str">
        <f>VLOOKUP(AJ24,المرجع!$D$3:$E$12,2)</f>
        <v>د</v>
      </c>
      <c r="AL24" s="40">
        <f t="shared" si="6"/>
        <v>4</v>
      </c>
      <c r="AM24" s="21">
        <v>2</v>
      </c>
      <c r="AN24" s="67">
        <v>93</v>
      </c>
      <c r="AO24" s="65">
        <f>VLOOKUP(AN24,المرجع!$B$3:$C$12,2)</f>
        <v>4.75</v>
      </c>
      <c r="AP24" s="44" t="str">
        <f>VLOOKUP(AO24,المرجع!$D$3:$E$12,2)</f>
        <v>أ</v>
      </c>
      <c r="AQ24" s="40">
        <f t="shared" si="7"/>
        <v>9.5</v>
      </c>
      <c r="AR24" s="21">
        <v>2</v>
      </c>
      <c r="AS24" s="67">
        <v>68</v>
      </c>
      <c r="AT24" s="65">
        <f>VLOOKUP(AS24,المرجع!$B$3:$C$12,2)</f>
        <v>2.5</v>
      </c>
      <c r="AU24" s="44" t="str">
        <f>VLOOKUP(AT24,المرجع!$D$3:$E$12,2)</f>
        <v>د+</v>
      </c>
      <c r="AV24" s="40">
        <f t="shared" si="8"/>
        <v>5</v>
      </c>
      <c r="AW24" s="21">
        <v>2</v>
      </c>
      <c r="AX24" s="67">
        <v>85</v>
      </c>
      <c r="AY24" s="65">
        <f>VLOOKUP(AX24,المرجع!$B$3:$C$12,2)</f>
        <v>4.5</v>
      </c>
      <c r="AZ24" s="44" t="str">
        <f>VLOOKUP(AY24,المرجع!$D$3:$E$12,2)</f>
        <v>ب+</v>
      </c>
      <c r="BA24" s="40">
        <f t="shared" si="9"/>
        <v>9</v>
      </c>
      <c r="BB24" s="21">
        <v>2</v>
      </c>
      <c r="BC24" s="67">
        <v>81</v>
      </c>
      <c r="BD24" s="65">
        <f>VLOOKUP(BC24,المرجع!$B$3:$C$12,2)</f>
        <v>4</v>
      </c>
      <c r="BE24" s="44" t="str">
        <f>VLOOKUP(BD24,المرجع!$D$3:$E$12,2)</f>
        <v>ب</v>
      </c>
      <c r="BF24" s="40">
        <f t="shared" si="14"/>
        <v>8</v>
      </c>
      <c r="BG24" s="21">
        <v>2</v>
      </c>
      <c r="BH24" s="67">
        <v>98</v>
      </c>
      <c r="BI24" s="65">
        <f>VLOOKUP(BH24,المرجع!$B$3:$C$12,2)</f>
        <v>5</v>
      </c>
      <c r="BJ24" s="44" t="str">
        <f>VLOOKUP(BI24,المرجع!$D$3:$E$12,2)</f>
        <v xml:space="preserve">أ+ </v>
      </c>
      <c r="BK24" s="40">
        <f t="shared" si="10"/>
        <v>10</v>
      </c>
      <c r="BL24" s="72">
        <f t="shared" si="15"/>
        <v>71.25</v>
      </c>
      <c r="BM24" s="73">
        <f t="shared" si="11"/>
        <v>23</v>
      </c>
      <c r="BN24" s="74">
        <f t="shared" si="12"/>
        <v>3.097826086956522</v>
      </c>
      <c r="BO24" s="75"/>
      <c r="BP24" s="76" t="str">
        <f>VLOOKUP(BN24,المرجع!$D$3:$F$12,3)</f>
        <v xml:space="preserve">جيد </v>
      </c>
      <c r="BQ24" s="77">
        <f t="shared" si="13"/>
        <v>27</v>
      </c>
    </row>
    <row r="25" spans="2:69" ht="28.5">
      <c r="B25" s="66">
        <v>2023110</v>
      </c>
      <c r="C25" s="70" t="s">
        <v>56</v>
      </c>
      <c r="D25" s="21">
        <v>1</v>
      </c>
      <c r="E25" s="67">
        <v>96</v>
      </c>
      <c r="F25" s="65">
        <f>VLOOKUP(E25,المرجع!$B$3:$C$12,2)</f>
        <v>5</v>
      </c>
      <c r="G25" s="44" t="str">
        <f>VLOOKUP(F25,المرجع!$D$3:$E$12,2)</f>
        <v xml:space="preserve">أ+ </v>
      </c>
      <c r="H25" s="40">
        <f t="shared" si="0"/>
        <v>5</v>
      </c>
      <c r="I25" s="21">
        <v>2</v>
      </c>
      <c r="J25" s="67">
        <v>100</v>
      </c>
      <c r="K25" s="65">
        <f>VLOOKUP(J25,المرجع!$B$3:$C$12,2)</f>
        <v>5</v>
      </c>
      <c r="L25" s="44" t="str">
        <f>VLOOKUP(K25,المرجع!$D$3:$E$12,2)</f>
        <v xml:space="preserve">أ+ </v>
      </c>
      <c r="M25" s="40">
        <f t="shared" si="1"/>
        <v>10</v>
      </c>
      <c r="N25" s="21">
        <v>2</v>
      </c>
      <c r="O25" s="67">
        <v>52</v>
      </c>
      <c r="P25" s="65">
        <f>VLOOKUP(O25,المرجع!$B$3:$C$12,2)</f>
        <v>2</v>
      </c>
      <c r="Q25" s="44" t="str">
        <f>VLOOKUP(P25,المرجع!$D$3:$E$12,2)</f>
        <v>د</v>
      </c>
      <c r="R25" s="40">
        <f t="shared" si="2"/>
        <v>4</v>
      </c>
      <c r="S25" s="21">
        <v>2</v>
      </c>
      <c r="T25" s="67">
        <v>100</v>
      </c>
      <c r="U25" s="65">
        <f>VLOOKUP(T25,المرجع!$B$3:$C$12,2)</f>
        <v>5</v>
      </c>
      <c r="V25" s="44" t="str">
        <f>VLOOKUP(U25,المرجع!$D$3:$E$12,2)</f>
        <v xml:space="preserve">أ+ </v>
      </c>
      <c r="W25" s="40">
        <f t="shared" si="3"/>
        <v>10</v>
      </c>
      <c r="X25" s="21">
        <v>2</v>
      </c>
      <c r="Y25" s="67">
        <v>95</v>
      </c>
      <c r="Z25" s="65">
        <f>VLOOKUP(Y25,المرجع!$B$3:$C$12,2)</f>
        <v>5</v>
      </c>
      <c r="AA25" s="44" t="str">
        <f>VLOOKUP(Z25,المرجع!$D$3:$E$12,2)</f>
        <v xml:space="preserve">أ+ </v>
      </c>
      <c r="AB25" s="40">
        <f t="shared" si="4"/>
        <v>10</v>
      </c>
      <c r="AC25" s="21">
        <v>2</v>
      </c>
      <c r="AD25" s="67">
        <v>90</v>
      </c>
      <c r="AE25" s="65">
        <f>VLOOKUP(AD25,المرجع!$B$3:$C$12,2)</f>
        <v>4.75</v>
      </c>
      <c r="AF25" s="44" t="str">
        <f>VLOOKUP(AE25,المرجع!$D$3:$E$12,2)</f>
        <v>أ</v>
      </c>
      <c r="AG25" s="40">
        <f t="shared" si="5"/>
        <v>9.5</v>
      </c>
      <c r="AH25" s="21">
        <v>2</v>
      </c>
      <c r="AI25" s="67">
        <v>60</v>
      </c>
      <c r="AJ25" s="65">
        <f>VLOOKUP(AI25,المرجع!$B$3:$C$12,2)</f>
        <v>2</v>
      </c>
      <c r="AK25" s="44" t="str">
        <f>VLOOKUP(AJ25,المرجع!$D$3:$E$12,2)</f>
        <v>د</v>
      </c>
      <c r="AL25" s="40">
        <f t="shared" si="6"/>
        <v>4</v>
      </c>
      <c r="AM25" s="21">
        <v>2</v>
      </c>
      <c r="AN25" s="67">
        <v>85</v>
      </c>
      <c r="AO25" s="65">
        <f>VLOOKUP(AN25,المرجع!$B$3:$C$12,2)</f>
        <v>4.5</v>
      </c>
      <c r="AP25" s="44" t="str">
        <f>VLOOKUP(AO25,المرجع!$D$3:$E$12,2)</f>
        <v>ب+</v>
      </c>
      <c r="AQ25" s="40">
        <f t="shared" si="7"/>
        <v>9</v>
      </c>
      <c r="AR25" s="21">
        <v>2</v>
      </c>
      <c r="AS25" s="67">
        <v>79</v>
      </c>
      <c r="AT25" s="65">
        <f>VLOOKUP(AS25,المرجع!$B$3:$C$12,2)</f>
        <v>3.5</v>
      </c>
      <c r="AU25" s="44" t="str">
        <f>VLOOKUP(AT25,المرجع!$D$3:$E$12,2)</f>
        <v>ج+</v>
      </c>
      <c r="AV25" s="40">
        <f t="shared" si="8"/>
        <v>7</v>
      </c>
      <c r="AW25" s="21">
        <v>2</v>
      </c>
      <c r="AX25" s="67">
        <v>55</v>
      </c>
      <c r="AY25" s="65">
        <f>VLOOKUP(AX25,المرجع!$B$3:$C$12,2)</f>
        <v>2</v>
      </c>
      <c r="AZ25" s="44" t="str">
        <f>VLOOKUP(AY25,المرجع!$D$3:$E$12,2)</f>
        <v>د</v>
      </c>
      <c r="BA25" s="40">
        <f t="shared" si="9"/>
        <v>4</v>
      </c>
      <c r="BB25" s="21">
        <v>2</v>
      </c>
      <c r="BC25" s="67">
        <v>81</v>
      </c>
      <c r="BD25" s="65">
        <f>VLOOKUP(BC25,المرجع!$B$3:$C$12,2)</f>
        <v>4</v>
      </c>
      <c r="BE25" s="44" t="str">
        <f>VLOOKUP(BD25,المرجع!$D$3:$E$12,2)</f>
        <v>ب</v>
      </c>
      <c r="BF25" s="40">
        <f t="shared" si="14"/>
        <v>8</v>
      </c>
      <c r="BG25" s="21">
        <v>2</v>
      </c>
      <c r="BH25" s="67">
        <v>98</v>
      </c>
      <c r="BI25" s="65">
        <f>VLOOKUP(BH25,المرجع!$B$3:$C$12,2)</f>
        <v>5</v>
      </c>
      <c r="BJ25" s="44" t="str">
        <f>VLOOKUP(BI25,المرجع!$D$3:$E$12,2)</f>
        <v xml:space="preserve">أ+ </v>
      </c>
      <c r="BK25" s="40">
        <f t="shared" si="10"/>
        <v>10</v>
      </c>
      <c r="BL25" s="72">
        <f t="shared" si="15"/>
        <v>70.5</v>
      </c>
      <c r="BM25" s="73">
        <f t="shared" si="11"/>
        <v>23</v>
      </c>
      <c r="BN25" s="74">
        <f t="shared" si="12"/>
        <v>3.0652173913043477</v>
      </c>
      <c r="BO25" s="75"/>
      <c r="BP25" s="76" t="str">
        <f>VLOOKUP(BN25,المرجع!$D$3:$F$12,3)</f>
        <v xml:space="preserve">جيد </v>
      </c>
      <c r="BQ25" s="77">
        <f t="shared" si="13"/>
        <v>29</v>
      </c>
    </row>
    <row r="26" spans="2:69" ht="28.5">
      <c r="B26" s="66">
        <v>2023020</v>
      </c>
      <c r="C26" s="70" t="s">
        <v>17</v>
      </c>
      <c r="D26" s="21">
        <v>1</v>
      </c>
      <c r="E26" s="67">
        <v>98</v>
      </c>
      <c r="F26" s="65">
        <f>VLOOKUP(E26,المرجع!$B$3:$C$12,2)</f>
        <v>5</v>
      </c>
      <c r="G26" s="44" t="str">
        <f>VLOOKUP(F26,المرجع!$D$3:$E$12,2)</f>
        <v xml:space="preserve">أ+ </v>
      </c>
      <c r="H26" s="40">
        <f t="shared" si="0"/>
        <v>5</v>
      </c>
      <c r="I26" s="21">
        <v>2</v>
      </c>
      <c r="J26" s="67">
        <v>100</v>
      </c>
      <c r="K26" s="65">
        <f>VLOOKUP(J26,المرجع!$B$3:$C$12,2)</f>
        <v>5</v>
      </c>
      <c r="L26" s="44" t="str">
        <f>VLOOKUP(K26,المرجع!$D$3:$E$12,2)</f>
        <v xml:space="preserve">أ+ </v>
      </c>
      <c r="M26" s="40">
        <f t="shared" si="1"/>
        <v>10</v>
      </c>
      <c r="N26" s="21">
        <v>2</v>
      </c>
      <c r="O26" s="67">
        <v>68</v>
      </c>
      <c r="P26" s="65">
        <f>VLOOKUP(O26,المرجع!$B$3:$C$12,2)</f>
        <v>2.5</v>
      </c>
      <c r="Q26" s="44" t="str">
        <f>VLOOKUP(P26,المرجع!$D$3:$E$12,2)</f>
        <v>د+</v>
      </c>
      <c r="R26" s="40">
        <f t="shared" si="2"/>
        <v>5</v>
      </c>
      <c r="S26" s="21">
        <v>2</v>
      </c>
      <c r="T26" s="67">
        <v>100</v>
      </c>
      <c r="U26" s="65">
        <f>VLOOKUP(T26,المرجع!$B$3:$C$12,2)</f>
        <v>5</v>
      </c>
      <c r="V26" s="44" t="str">
        <f>VLOOKUP(U26,المرجع!$D$3:$E$12,2)</f>
        <v xml:space="preserve">أ+ </v>
      </c>
      <c r="W26" s="40">
        <f t="shared" si="3"/>
        <v>10</v>
      </c>
      <c r="X26" s="21">
        <v>2</v>
      </c>
      <c r="Y26" s="67">
        <v>100</v>
      </c>
      <c r="Z26" s="65">
        <f>VLOOKUP(Y26,المرجع!$B$3:$C$12,2)</f>
        <v>5</v>
      </c>
      <c r="AA26" s="44" t="str">
        <f>VLOOKUP(Z26,المرجع!$D$3:$E$12,2)</f>
        <v xml:space="preserve">أ+ </v>
      </c>
      <c r="AB26" s="40">
        <f t="shared" si="4"/>
        <v>10</v>
      </c>
      <c r="AC26" s="21">
        <v>2</v>
      </c>
      <c r="AD26" s="67">
        <v>92</v>
      </c>
      <c r="AE26" s="65">
        <f>VLOOKUP(AD26,المرجع!$B$3:$C$12,2)</f>
        <v>4.75</v>
      </c>
      <c r="AF26" s="44" t="str">
        <f>VLOOKUP(AE26,المرجع!$D$3:$E$12,2)</f>
        <v>أ</v>
      </c>
      <c r="AG26" s="40">
        <f t="shared" si="5"/>
        <v>9.5</v>
      </c>
      <c r="AH26" s="21">
        <v>2</v>
      </c>
      <c r="AI26" s="67">
        <v>60</v>
      </c>
      <c r="AJ26" s="65">
        <f>VLOOKUP(AI26,المرجع!$B$3:$C$12,2)</f>
        <v>2</v>
      </c>
      <c r="AK26" s="44" t="str">
        <f>VLOOKUP(AJ26,المرجع!$D$3:$E$12,2)</f>
        <v>د</v>
      </c>
      <c r="AL26" s="40">
        <f t="shared" si="6"/>
        <v>4</v>
      </c>
      <c r="AM26" s="21">
        <v>2</v>
      </c>
      <c r="AN26" s="67">
        <v>81</v>
      </c>
      <c r="AO26" s="65">
        <f>VLOOKUP(AN26,المرجع!$B$3:$C$12,2)</f>
        <v>4</v>
      </c>
      <c r="AP26" s="44" t="str">
        <f>VLOOKUP(AO26,المرجع!$D$3:$E$12,2)</f>
        <v>ب</v>
      </c>
      <c r="AQ26" s="40">
        <f t="shared" si="7"/>
        <v>8</v>
      </c>
      <c r="AR26" s="21">
        <v>2</v>
      </c>
      <c r="AS26" s="67">
        <v>68</v>
      </c>
      <c r="AT26" s="65">
        <f>VLOOKUP(AS26,المرجع!$B$3:$C$12,2)</f>
        <v>2.5</v>
      </c>
      <c r="AU26" s="44" t="str">
        <f>VLOOKUP(AT26,المرجع!$D$3:$E$12,2)</f>
        <v>د+</v>
      </c>
      <c r="AV26" s="40">
        <f t="shared" si="8"/>
        <v>5</v>
      </c>
      <c r="AW26" s="21">
        <v>2</v>
      </c>
      <c r="AX26" s="67">
        <v>63</v>
      </c>
      <c r="AY26" s="65">
        <f>VLOOKUP(AX26,المرجع!$B$3:$C$12,2)</f>
        <v>2</v>
      </c>
      <c r="AZ26" s="44" t="str">
        <f>VLOOKUP(AY26,المرجع!$D$3:$E$12,2)</f>
        <v>د</v>
      </c>
      <c r="BA26" s="40">
        <f t="shared" si="9"/>
        <v>4</v>
      </c>
      <c r="BB26" s="21">
        <v>2</v>
      </c>
      <c r="BC26" s="67">
        <v>87</v>
      </c>
      <c r="BD26" s="65">
        <f>VLOOKUP(BC26,المرجع!$B$3:$C$12,2)</f>
        <v>4.5</v>
      </c>
      <c r="BE26" s="44" t="str">
        <f>VLOOKUP(BD26,المرجع!$D$3:$E$12,2)</f>
        <v>ب+</v>
      </c>
      <c r="BF26" s="40">
        <f t="shared" si="14"/>
        <v>9</v>
      </c>
      <c r="BG26" s="21">
        <v>2</v>
      </c>
      <c r="BH26" s="67">
        <v>91</v>
      </c>
      <c r="BI26" s="65">
        <f>VLOOKUP(BH26,المرجع!$B$3:$C$12,2)</f>
        <v>4.75</v>
      </c>
      <c r="BJ26" s="44" t="str">
        <f>VLOOKUP(BI26,المرجع!$D$3:$E$12,2)</f>
        <v>أ</v>
      </c>
      <c r="BK26" s="40">
        <f t="shared" si="10"/>
        <v>9.5</v>
      </c>
      <c r="BL26" s="72">
        <f t="shared" si="15"/>
        <v>70</v>
      </c>
      <c r="BM26" s="73">
        <f t="shared" si="11"/>
        <v>23</v>
      </c>
      <c r="BN26" s="74">
        <f t="shared" si="12"/>
        <v>3.0434782608695654</v>
      </c>
      <c r="BO26" s="75"/>
      <c r="BP26" s="76" t="str">
        <f>VLOOKUP(BN26,المرجع!$D$3:$F$12,3)</f>
        <v xml:space="preserve">جيد </v>
      </c>
      <c r="BQ26" s="77">
        <f t="shared" si="13"/>
        <v>31</v>
      </c>
    </row>
    <row r="27" spans="2:69" ht="28.5">
      <c r="B27" s="66">
        <v>2023033</v>
      </c>
      <c r="C27" s="70" t="s">
        <v>7</v>
      </c>
      <c r="D27" s="21">
        <v>1</v>
      </c>
      <c r="E27" s="67">
        <v>92</v>
      </c>
      <c r="F27" s="65">
        <f>VLOOKUP(E27,المرجع!$B$3:$C$12,2)</f>
        <v>4.75</v>
      </c>
      <c r="G27" s="44" t="str">
        <f>VLOOKUP(F27,المرجع!$D$3:$E$12,2)</f>
        <v>أ</v>
      </c>
      <c r="H27" s="40">
        <f t="shared" si="0"/>
        <v>4.75</v>
      </c>
      <c r="I27" s="21">
        <v>2</v>
      </c>
      <c r="J27" s="67">
        <v>100</v>
      </c>
      <c r="K27" s="65">
        <f>VLOOKUP(J27,المرجع!$B$3:$C$12,2)</f>
        <v>5</v>
      </c>
      <c r="L27" s="44" t="str">
        <f>VLOOKUP(K27,المرجع!$D$3:$E$12,2)</f>
        <v xml:space="preserve">أ+ </v>
      </c>
      <c r="M27" s="40">
        <f t="shared" si="1"/>
        <v>10</v>
      </c>
      <c r="N27" s="21">
        <v>2</v>
      </c>
      <c r="O27" s="67">
        <v>50</v>
      </c>
      <c r="P27" s="65">
        <f>VLOOKUP(O27,المرجع!$B$3:$C$12,2)</f>
        <v>2</v>
      </c>
      <c r="Q27" s="44" t="str">
        <f>VLOOKUP(P27,المرجع!$D$3:$E$12,2)</f>
        <v>د</v>
      </c>
      <c r="R27" s="40">
        <f t="shared" si="2"/>
        <v>4</v>
      </c>
      <c r="S27" s="21">
        <v>2</v>
      </c>
      <c r="T27" s="67">
        <v>100</v>
      </c>
      <c r="U27" s="65">
        <f>VLOOKUP(T27,المرجع!$B$3:$C$12,2)</f>
        <v>5</v>
      </c>
      <c r="V27" s="44" t="str">
        <f>VLOOKUP(U27,المرجع!$D$3:$E$12,2)</f>
        <v xml:space="preserve">أ+ </v>
      </c>
      <c r="W27" s="40">
        <f t="shared" si="3"/>
        <v>10</v>
      </c>
      <c r="X27" s="21">
        <v>2</v>
      </c>
      <c r="Y27" s="67">
        <v>100</v>
      </c>
      <c r="Z27" s="65">
        <f>VLOOKUP(Y27,المرجع!$B$3:$C$12,2)</f>
        <v>5</v>
      </c>
      <c r="AA27" s="44" t="str">
        <f>VLOOKUP(Z27,المرجع!$D$3:$E$12,2)</f>
        <v xml:space="preserve">أ+ </v>
      </c>
      <c r="AB27" s="40">
        <f t="shared" si="4"/>
        <v>10</v>
      </c>
      <c r="AC27" s="21">
        <v>2</v>
      </c>
      <c r="AD27" s="67">
        <v>80</v>
      </c>
      <c r="AE27" s="65">
        <f>VLOOKUP(AD27,المرجع!$B$3:$C$12,2)</f>
        <v>4</v>
      </c>
      <c r="AF27" s="44" t="str">
        <f>VLOOKUP(AE27,المرجع!$D$3:$E$12,2)</f>
        <v>ب</v>
      </c>
      <c r="AG27" s="40">
        <f t="shared" si="5"/>
        <v>8</v>
      </c>
      <c r="AH27" s="21">
        <v>2</v>
      </c>
      <c r="AI27" s="67">
        <v>60</v>
      </c>
      <c r="AJ27" s="65">
        <f>VLOOKUP(AI27,المرجع!$B$3:$C$12,2)</f>
        <v>2</v>
      </c>
      <c r="AK27" s="44" t="str">
        <f>VLOOKUP(AJ27,المرجع!$D$3:$E$12,2)</f>
        <v>د</v>
      </c>
      <c r="AL27" s="40">
        <f t="shared" si="6"/>
        <v>4</v>
      </c>
      <c r="AM27" s="21">
        <v>2</v>
      </c>
      <c r="AN27" s="67">
        <v>82</v>
      </c>
      <c r="AO27" s="65">
        <f>VLOOKUP(AN27,المرجع!$B$3:$C$12,2)</f>
        <v>4</v>
      </c>
      <c r="AP27" s="44" t="str">
        <f>VLOOKUP(AO27,المرجع!$D$3:$E$12,2)</f>
        <v>ب</v>
      </c>
      <c r="AQ27" s="40">
        <f t="shared" si="7"/>
        <v>8</v>
      </c>
      <c r="AR27" s="21">
        <v>2</v>
      </c>
      <c r="AS27" s="67">
        <v>84</v>
      </c>
      <c r="AT27" s="65">
        <f>VLOOKUP(AS27,المرجع!$B$3:$C$12,2)</f>
        <v>4</v>
      </c>
      <c r="AU27" s="44" t="str">
        <f>VLOOKUP(AT27,المرجع!$D$3:$E$12,2)</f>
        <v>ب</v>
      </c>
      <c r="AV27" s="40">
        <f t="shared" si="8"/>
        <v>8</v>
      </c>
      <c r="AW27" s="21">
        <v>2</v>
      </c>
      <c r="AX27" s="67">
        <v>65</v>
      </c>
      <c r="AY27" s="65">
        <f>VLOOKUP(AX27,المرجع!$B$3:$C$12,2)</f>
        <v>2.5</v>
      </c>
      <c r="AZ27" s="44" t="str">
        <f>VLOOKUP(AY27,المرجع!$D$3:$E$12,2)</f>
        <v>د+</v>
      </c>
      <c r="BA27" s="40">
        <f t="shared" si="9"/>
        <v>5</v>
      </c>
      <c r="BB27" s="21">
        <v>2</v>
      </c>
      <c r="BC27" s="67">
        <v>89</v>
      </c>
      <c r="BD27" s="65">
        <f>VLOOKUP(BC27,المرجع!$B$3:$C$12,2)</f>
        <v>4.5</v>
      </c>
      <c r="BE27" s="44" t="str">
        <f>VLOOKUP(BD27,المرجع!$D$3:$E$12,2)</f>
        <v>ب+</v>
      </c>
      <c r="BF27" s="40">
        <f t="shared" si="14"/>
        <v>9</v>
      </c>
      <c r="BG27" s="21">
        <v>2</v>
      </c>
      <c r="BH27" s="67">
        <v>78</v>
      </c>
      <c r="BI27" s="65">
        <f>VLOOKUP(BH27,المرجع!$B$3:$C$12,2)</f>
        <v>3.5</v>
      </c>
      <c r="BJ27" s="44" t="str">
        <f>VLOOKUP(BI27,المرجع!$D$3:$E$12,2)</f>
        <v>ج+</v>
      </c>
      <c r="BK27" s="40">
        <f t="shared" si="10"/>
        <v>7</v>
      </c>
      <c r="BL27" s="72">
        <f t="shared" si="15"/>
        <v>73.75</v>
      </c>
      <c r="BM27" s="73">
        <f t="shared" si="11"/>
        <v>23</v>
      </c>
      <c r="BN27" s="74">
        <f t="shared" si="12"/>
        <v>3.2065217391304346</v>
      </c>
      <c r="BO27" s="75"/>
      <c r="BP27" s="76" t="str">
        <f>VLOOKUP(BN27,المرجع!$D$3:$F$12,3)</f>
        <v xml:space="preserve">جيد مرتفع </v>
      </c>
      <c r="BQ27" s="77">
        <f t="shared" si="13"/>
        <v>19</v>
      </c>
    </row>
    <row r="28" spans="2:69" ht="28.5">
      <c r="B28" s="66">
        <v>2023079</v>
      </c>
      <c r="C28" s="70" t="s">
        <v>66</v>
      </c>
      <c r="D28" s="21">
        <v>1</v>
      </c>
      <c r="E28" s="67">
        <v>90</v>
      </c>
      <c r="F28" s="65">
        <f>VLOOKUP(E28,المرجع!$B$3:$C$12,2)</f>
        <v>4.75</v>
      </c>
      <c r="G28" s="44" t="str">
        <f>VLOOKUP(F28,المرجع!$D$3:$E$12,2)</f>
        <v>أ</v>
      </c>
      <c r="H28" s="40">
        <f t="shared" si="0"/>
        <v>4.75</v>
      </c>
      <c r="I28" s="21">
        <v>2</v>
      </c>
      <c r="J28" s="67">
        <v>98</v>
      </c>
      <c r="K28" s="65">
        <f>VLOOKUP(J28,المرجع!$B$3:$C$12,2)</f>
        <v>5</v>
      </c>
      <c r="L28" s="44" t="str">
        <f>VLOOKUP(K28,المرجع!$D$3:$E$12,2)</f>
        <v xml:space="preserve">أ+ </v>
      </c>
      <c r="M28" s="40">
        <f t="shared" si="1"/>
        <v>10</v>
      </c>
      <c r="N28" s="21">
        <v>2</v>
      </c>
      <c r="O28" s="67">
        <v>50</v>
      </c>
      <c r="P28" s="65">
        <f>VLOOKUP(O28,المرجع!$B$3:$C$12,2)</f>
        <v>2</v>
      </c>
      <c r="Q28" s="44" t="str">
        <f>VLOOKUP(P28,المرجع!$D$3:$E$12,2)</f>
        <v>د</v>
      </c>
      <c r="R28" s="40">
        <f t="shared" si="2"/>
        <v>4</v>
      </c>
      <c r="S28" s="21">
        <v>2</v>
      </c>
      <c r="T28" s="67">
        <v>98</v>
      </c>
      <c r="U28" s="65">
        <f>VLOOKUP(T28,المرجع!$B$3:$C$12,2)</f>
        <v>5</v>
      </c>
      <c r="V28" s="44" t="str">
        <f>VLOOKUP(U28,المرجع!$D$3:$E$12,2)</f>
        <v xml:space="preserve">أ+ </v>
      </c>
      <c r="W28" s="40">
        <f t="shared" si="3"/>
        <v>10</v>
      </c>
      <c r="X28" s="21">
        <v>2</v>
      </c>
      <c r="Y28" s="67">
        <v>100</v>
      </c>
      <c r="Z28" s="65">
        <f>VLOOKUP(Y28,المرجع!$B$3:$C$12,2)</f>
        <v>5</v>
      </c>
      <c r="AA28" s="44" t="str">
        <f>VLOOKUP(Z28,المرجع!$D$3:$E$12,2)</f>
        <v xml:space="preserve">أ+ </v>
      </c>
      <c r="AB28" s="40">
        <f t="shared" si="4"/>
        <v>10</v>
      </c>
      <c r="AC28" s="21">
        <v>2</v>
      </c>
      <c r="AD28" s="67">
        <v>86</v>
      </c>
      <c r="AE28" s="65">
        <f>VLOOKUP(AD28,المرجع!$B$3:$C$12,2)</f>
        <v>4.5</v>
      </c>
      <c r="AF28" s="44" t="str">
        <f>VLOOKUP(AE28,المرجع!$D$3:$E$12,2)</f>
        <v>ب+</v>
      </c>
      <c r="AG28" s="40">
        <f t="shared" si="5"/>
        <v>9</v>
      </c>
      <c r="AH28" s="21">
        <v>2</v>
      </c>
      <c r="AI28" s="67">
        <v>50</v>
      </c>
      <c r="AJ28" s="65">
        <f>VLOOKUP(AI28,المرجع!$B$3:$C$12,2)</f>
        <v>2</v>
      </c>
      <c r="AK28" s="44" t="str">
        <f>VLOOKUP(AJ28,المرجع!$D$3:$E$12,2)</f>
        <v>د</v>
      </c>
      <c r="AL28" s="40">
        <f t="shared" si="6"/>
        <v>4</v>
      </c>
      <c r="AM28" s="21">
        <v>2</v>
      </c>
      <c r="AN28" s="67">
        <v>65</v>
      </c>
      <c r="AO28" s="65">
        <f>VLOOKUP(AN28,المرجع!$B$3:$C$12,2)</f>
        <v>2.5</v>
      </c>
      <c r="AP28" s="44" t="str">
        <f>VLOOKUP(AO28,المرجع!$D$3:$E$12,2)</f>
        <v>د+</v>
      </c>
      <c r="AQ28" s="40">
        <f t="shared" si="7"/>
        <v>5</v>
      </c>
      <c r="AR28" s="21">
        <v>2</v>
      </c>
      <c r="AS28" s="67">
        <v>76</v>
      </c>
      <c r="AT28" s="65">
        <f>VLOOKUP(AS28,المرجع!$B$3:$C$12,2)</f>
        <v>3.5</v>
      </c>
      <c r="AU28" s="44" t="str">
        <f>VLOOKUP(AT28,المرجع!$D$3:$E$12,2)</f>
        <v>ج+</v>
      </c>
      <c r="AV28" s="40">
        <f t="shared" si="8"/>
        <v>7</v>
      </c>
      <c r="AW28" s="21">
        <v>2</v>
      </c>
      <c r="AX28" s="67">
        <v>75</v>
      </c>
      <c r="AY28" s="65">
        <f>VLOOKUP(AX28,المرجع!$B$3:$C$12,2)</f>
        <v>3.5</v>
      </c>
      <c r="AZ28" s="44" t="str">
        <f>VLOOKUP(AY28,المرجع!$D$3:$E$12,2)</f>
        <v>ج+</v>
      </c>
      <c r="BA28" s="40">
        <f t="shared" si="9"/>
        <v>7</v>
      </c>
      <c r="BB28" s="21">
        <v>2</v>
      </c>
      <c r="BC28" s="67">
        <v>78</v>
      </c>
      <c r="BD28" s="65">
        <f>VLOOKUP(BC28,المرجع!$B$3:$C$12,2)</f>
        <v>3.5</v>
      </c>
      <c r="BE28" s="44" t="str">
        <f>VLOOKUP(BD28,المرجع!$D$3:$E$12,2)</f>
        <v>ج+</v>
      </c>
      <c r="BF28" s="40">
        <f t="shared" si="14"/>
        <v>7</v>
      </c>
      <c r="BG28" s="21">
        <v>2</v>
      </c>
      <c r="BH28" s="67">
        <v>95</v>
      </c>
      <c r="BI28" s="65">
        <f>VLOOKUP(BH28,المرجع!$B$3:$C$12,2)</f>
        <v>5</v>
      </c>
      <c r="BJ28" s="44" t="str">
        <f>VLOOKUP(BI28,المرجع!$D$3:$E$12,2)</f>
        <v xml:space="preserve">أ+ </v>
      </c>
      <c r="BK28" s="40">
        <f t="shared" si="10"/>
        <v>10</v>
      </c>
      <c r="BL28" s="72">
        <f t="shared" si="15"/>
        <v>67.75</v>
      </c>
      <c r="BM28" s="73">
        <f t="shared" si="11"/>
        <v>23</v>
      </c>
      <c r="BN28" s="74">
        <f t="shared" si="12"/>
        <v>2.9456521739130435</v>
      </c>
      <c r="BO28" s="75"/>
      <c r="BP28" s="76" t="str">
        <f>VLOOKUP(BN28,المرجع!$D$3:$F$12,3)</f>
        <v xml:space="preserve">جيد </v>
      </c>
      <c r="BQ28" s="77">
        <f t="shared" si="13"/>
        <v>34</v>
      </c>
    </row>
    <row r="29" spans="2:69" ht="28.5">
      <c r="B29" s="66">
        <v>2023054</v>
      </c>
      <c r="C29" s="70" t="s">
        <v>173</v>
      </c>
      <c r="D29" s="21">
        <v>1</v>
      </c>
      <c r="E29" s="67">
        <v>95</v>
      </c>
      <c r="F29" s="65">
        <f>VLOOKUP(E29,المرجع!$B$3:$C$12,2)</f>
        <v>5</v>
      </c>
      <c r="G29" s="44" t="str">
        <f>VLOOKUP(F29,المرجع!$D$3:$E$12,2)</f>
        <v xml:space="preserve">أ+ </v>
      </c>
      <c r="H29" s="40">
        <f t="shared" si="0"/>
        <v>5</v>
      </c>
      <c r="I29" s="21">
        <v>2</v>
      </c>
      <c r="J29" s="67">
        <v>90</v>
      </c>
      <c r="K29" s="65">
        <f>VLOOKUP(J29,المرجع!$B$3:$C$12,2)</f>
        <v>4.75</v>
      </c>
      <c r="L29" s="44" t="str">
        <f>VLOOKUP(K29,المرجع!$D$3:$E$12,2)</f>
        <v>أ</v>
      </c>
      <c r="M29" s="40">
        <f t="shared" si="1"/>
        <v>9.5</v>
      </c>
      <c r="N29" s="21">
        <v>2</v>
      </c>
      <c r="O29" s="67">
        <v>50</v>
      </c>
      <c r="P29" s="65">
        <f>VLOOKUP(O29,المرجع!$B$3:$C$12,2)</f>
        <v>2</v>
      </c>
      <c r="Q29" s="44" t="str">
        <f>VLOOKUP(P29,المرجع!$D$3:$E$12,2)</f>
        <v>د</v>
      </c>
      <c r="R29" s="40">
        <f t="shared" si="2"/>
        <v>4</v>
      </c>
      <c r="S29" s="21">
        <v>2</v>
      </c>
      <c r="T29" s="67">
        <v>92</v>
      </c>
      <c r="U29" s="65">
        <f>VLOOKUP(T29,المرجع!$B$3:$C$12,2)</f>
        <v>4.75</v>
      </c>
      <c r="V29" s="44" t="str">
        <f>VLOOKUP(U29,المرجع!$D$3:$E$12,2)</f>
        <v>أ</v>
      </c>
      <c r="W29" s="40">
        <f t="shared" si="3"/>
        <v>9.5</v>
      </c>
      <c r="X29" s="21">
        <v>2</v>
      </c>
      <c r="Y29" s="67">
        <v>80</v>
      </c>
      <c r="Z29" s="65">
        <f>VLOOKUP(Y29,المرجع!$B$3:$C$12,2)</f>
        <v>4</v>
      </c>
      <c r="AA29" s="44" t="str">
        <f>VLOOKUP(Z29,المرجع!$D$3:$E$12,2)</f>
        <v>ب</v>
      </c>
      <c r="AB29" s="40">
        <f t="shared" si="4"/>
        <v>8</v>
      </c>
      <c r="AC29" s="21">
        <v>2</v>
      </c>
      <c r="AD29" s="67">
        <v>78</v>
      </c>
      <c r="AE29" s="65">
        <f>VLOOKUP(AD29,المرجع!$B$3:$C$12,2)</f>
        <v>3.5</v>
      </c>
      <c r="AF29" s="44" t="str">
        <f>VLOOKUP(AE29,المرجع!$D$3:$E$12,2)</f>
        <v>ج+</v>
      </c>
      <c r="AG29" s="40">
        <f t="shared" si="5"/>
        <v>7</v>
      </c>
      <c r="AH29" s="21">
        <v>2</v>
      </c>
      <c r="AI29" s="67">
        <v>86</v>
      </c>
      <c r="AJ29" s="65">
        <f>VLOOKUP(AI29,المرجع!$B$3:$C$12,2)</f>
        <v>4.5</v>
      </c>
      <c r="AK29" s="44" t="str">
        <f>VLOOKUP(AJ29,المرجع!$D$3:$E$12,2)</f>
        <v>ب+</v>
      </c>
      <c r="AL29" s="40">
        <f t="shared" si="6"/>
        <v>9</v>
      </c>
      <c r="AM29" s="21">
        <v>2</v>
      </c>
      <c r="AN29" s="67">
        <v>76</v>
      </c>
      <c r="AO29" s="65">
        <f>VLOOKUP(AN29,المرجع!$B$3:$C$12,2)</f>
        <v>3.5</v>
      </c>
      <c r="AP29" s="44" t="str">
        <f>VLOOKUP(AO29,المرجع!$D$3:$E$12,2)</f>
        <v>ج+</v>
      </c>
      <c r="AQ29" s="40">
        <f t="shared" si="7"/>
        <v>7</v>
      </c>
      <c r="AR29" s="21">
        <v>2</v>
      </c>
      <c r="AS29" s="67">
        <v>65</v>
      </c>
      <c r="AT29" s="65">
        <f>VLOOKUP(AS29,المرجع!$B$3:$C$12,2)</f>
        <v>2.5</v>
      </c>
      <c r="AU29" s="44" t="str">
        <f>VLOOKUP(AT29,المرجع!$D$3:$E$12,2)</f>
        <v>د+</v>
      </c>
      <c r="AV29" s="40">
        <f t="shared" si="8"/>
        <v>5</v>
      </c>
      <c r="AW29" s="21">
        <v>2</v>
      </c>
      <c r="AX29" s="67">
        <v>70</v>
      </c>
      <c r="AY29" s="65">
        <f>VLOOKUP(AX29,المرجع!$B$3:$C$12,2)</f>
        <v>3</v>
      </c>
      <c r="AZ29" s="44" t="str">
        <f>VLOOKUP(AY29,المرجع!$D$3:$E$12,2)</f>
        <v>ج</v>
      </c>
      <c r="BA29" s="40">
        <f t="shared" si="9"/>
        <v>6</v>
      </c>
      <c r="BB29" s="21">
        <v>2</v>
      </c>
      <c r="BC29" s="67">
        <v>90</v>
      </c>
      <c r="BD29" s="65">
        <f>VLOOKUP(BC29,المرجع!$B$3:$C$12,2)</f>
        <v>4.75</v>
      </c>
      <c r="BE29" s="44" t="str">
        <f>VLOOKUP(BD29,المرجع!$D$3:$E$12,2)</f>
        <v>أ</v>
      </c>
      <c r="BF29" s="40">
        <f t="shared" si="14"/>
        <v>9.5</v>
      </c>
      <c r="BG29" s="21">
        <v>2</v>
      </c>
      <c r="BH29" s="67">
        <v>81</v>
      </c>
      <c r="BI29" s="65">
        <f>VLOOKUP(BH29,المرجع!$B$3:$C$12,2)</f>
        <v>4</v>
      </c>
      <c r="BJ29" s="44" t="str">
        <f>VLOOKUP(BI29,المرجع!$D$3:$E$12,2)</f>
        <v>ب</v>
      </c>
      <c r="BK29" s="40">
        <f t="shared" si="10"/>
        <v>8</v>
      </c>
      <c r="BL29" s="72">
        <f t="shared" si="15"/>
        <v>71.5</v>
      </c>
      <c r="BM29" s="73">
        <f t="shared" si="11"/>
        <v>23</v>
      </c>
      <c r="BN29" s="74">
        <f t="shared" si="12"/>
        <v>3.1086956521739131</v>
      </c>
      <c r="BO29" s="75"/>
      <c r="BP29" s="76" t="str">
        <f>VLOOKUP(BN29,المرجع!$D$3:$F$12,3)</f>
        <v xml:space="preserve">جيد مرتفع </v>
      </c>
      <c r="BQ29" s="77">
        <f t="shared" si="13"/>
        <v>25</v>
      </c>
    </row>
    <row r="30" spans="2:69" ht="28.5">
      <c r="B30" s="66">
        <v>2023042</v>
      </c>
      <c r="C30" s="70" t="s">
        <v>13</v>
      </c>
      <c r="D30" s="21">
        <v>1</v>
      </c>
      <c r="E30" s="67">
        <v>90</v>
      </c>
      <c r="F30" s="65">
        <f>VLOOKUP(E30,المرجع!$B$3:$C$12,2)</f>
        <v>4.75</v>
      </c>
      <c r="G30" s="44" t="str">
        <f>VLOOKUP(F30,المرجع!$D$3:$E$12,2)</f>
        <v>أ</v>
      </c>
      <c r="H30" s="40">
        <f t="shared" si="0"/>
        <v>4.75</v>
      </c>
      <c r="I30" s="21">
        <v>2</v>
      </c>
      <c r="J30" s="67">
        <v>100</v>
      </c>
      <c r="K30" s="65">
        <f>VLOOKUP(J30,المرجع!$B$3:$C$12,2)</f>
        <v>5</v>
      </c>
      <c r="L30" s="44" t="str">
        <f>VLOOKUP(K30,المرجع!$D$3:$E$12,2)</f>
        <v xml:space="preserve">أ+ </v>
      </c>
      <c r="M30" s="40">
        <f t="shared" si="1"/>
        <v>10</v>
      </c>
      <c r="N30" s="21">
        <v>2</v>
      </c>
      <c r="O30" s="67">
        <v>60</v>
      </c>
      <c r="P30" s="65">
        <f>VLOOKUP(O30,المرجع!$B$3:$C$12,2)</f>
        <v>2</v>
      </c>
      <c r="Q30" s="44" t="str">
        <f>VLOOKUP(P30,المرجع!$D$3:$E$12,2)</f>
        <v>د</v>
      </c>
      <c r="R30" s="40">
        <f t="shared" si="2"/>
        <v>4</v>
      </c>
      <c r="S30" s="21">
        <v>2</v>
      </c>
      <c r="T30" s="67">
        <v>96</v>
      </c>
      <c r="U30" s="65">
        <f>VLOOKUP(T30,المرجع!$B$3:$C$12,2)</f>
        <v>5</v>
      </c>
      <c r="V30" s="44" t="str">
        <f>VLOOKUP(U30,المرجع!$D$3:$E$12,2)</f>
        <v xml:space="preserve">أ+ </v>
      </c>
      <c r="W30" s="40">
        <f t="shared" si="3"/>
        <v>10</v>
      </c>
      <c r="X30" s="21">
        <v>2</v>
      </c>
      <c r="Y30" s="67">
        <v>100</v>
      </c>
      <c r="Z30" s="65">
        <f>VLOOKUP(Y30,المرجع!$B$3:$C$12,2)</f>
        <v>5</v>
      </c>
      <c r="AA30" s="44" t="str">
        <f>VLOOKUP(Z30,المرجع!$D$3:$E$12,2)</f>
        <v xml:space="preserve">أ+ </v>
      </c>
      <c r="AB30" s="40">
        <f t="shared" si="4"/>
        <v>10</v>
      </c>
      <c r="AC30" s="21">
        <v>2</v>
      </c>
      <c r="AD30" s="67">
        <v>83</v>
      </c>
      <c r="AE30" s="65">
        <f>VLOOKUP(AD30,المرجع!$B$3:$C$12,2)</f>
        <v>4</v>
      </c>
      <c r="AF30" s="44" t="str">
        <f>VLOOKUP(AE30,المرجع!$D$3:$E$12,2)</f>
        <v>ب</v>
      </c>
      <c r="AG30" s="40">
        <f t="shared" si="5"/>
        <v>8</v>
      </c>
      <c r="AH30" s="21">
        <v>2</v>
      </c>
      <c r="AI30" s="67">
        <v>80</v>
      </c>
      <c r="AJ30" s="65">
        <f>VLOOKUP(AI30,المرجع!$B$3:$C$12,2)</f>
        <v>4</v>
      </c>
      <c r="AK30" s="44" t="str">
        <f>VLOOKUP(AJ30,المرجع!$D$3:$E$12,2)</f>
        <v>ب</v>
      </c>
      <c r="AL30" s="40">
        <f t="shared" si="6"/>
        <v>8</v>
      </c>
      <c r="AM30" s="21">
        <v>2</v>
      </c>
      <c r="AN30" s="67">
        <v>83</v>
      </c>
      <c r="AO30" s="65">
        <f>VLOOKUP(AN30,المرجع!$B$3:$C$12,2)</f>
        <v>4</v>
      </c>
      <c r="AP30" s="44" t="str">
        <f>VLOOKUP(AO30,المرجع!$D$3:$E$12,2)</f>
        <v>ب</v>
      </c>
      <c r="AQ30" s="40">
        <f t="shared" si="7"/>
        <v>8</v>
      </c>
      <c r="AR30" s="21">
        <v>2</v>
      </c>
      <c r="AS30" s="67">
        <v>68</v>
      </c>
      <c r="AT30" s="65">
        <f>VLOOKUP(AS30,المرجع!$B$3:$C$12,2)</f>
        <v>2.5</v>
      </c>
      <c r="AU30" s="44" t="str">
        <f>VLOOKUP(AT30,المرجع!$D$3:$E$12,2)</f>
        <v>د+</v>
      </c>
      <c r="AV30" s="40">
        <f t="shared" si="8"/>
        <v>5</v>
      </c>
      <c r="AW30" s="21">
        <v>2</v>
      </c>
      <c r="AX30" s="67">
        <v>60</v>
      </c>
      <c r="AY30" s="65">
        <f>VLOOKUP(AX30,المرجع!$B$3:$C$12,2)</f>
        <v>2</v>
      </c>
      <c r="AZ30" s="44" t="str">
        <f>VLOOKUP(AY30,المرجع!$D$3:$E$12,2)</f>
        <v>د</v>
      </c>
      <c r="BA30" s="40">
        <f t="shared" si="9"/>
        <v>4</v>
      </c>
      <c r="BB30" s="21">
        <v>2</v>
      </c>
      <c r="BC30" s="67">
        <v>79</v>
      </c>
      <c r="BD30" s="65">
        <f>VLOOKUP(BC30,المرجع!$B$3:$C$12,2)</f>
        <v>3.5</v>
      </c>
      <c r="BE30" s="44" t="str">
        <f>VLOOKUP(BD30,المرجع!$D$3:$E$12,2)</f>
        <v>ج+</v>
      </c>
      <c r="BF30" s="40">
        <f t="shared" si="14"/>
        <v>7</v>
      </c>
      <c r="BG30" s="21">
        <v>2</v>
      </c>
      <c r="BH30" s="67">
        <v>82</v>
      </c>
      <c r="BI30" s="65">
        <f>VLOOKUP(BH30,المرجع!$B$3:$C$12,2)</f>
        <v>4</v>
      </c>
      <c r="BJ30" s="44" t="str">
        <f>VLOOKUP(BI30,المرجع!$D$3:$E$12,2)</f>
        <v>ب</v>
      </c>
      <c r="BK30" s="40">
        <f t="shared" si="10"/>
        <v>8</v>
      </c>
      <c r="BL30" s="72">
        <f t="shared" si="15"/>
        <v>70.75</v>
      </c>
      <c r="BM30" s="73">
        <f t="shared" si="11"/>
        <v>23</v>
      </c>
      <c r="BN30" s="74">
        <f t="shared" si="12"/>
        <v>3.0760869565217392</v>
      </c>
      <c r="BO30" s="75"/>
      <c r="BP30" s="76" t="str">
        <f>VLOOKUP(BN30,المرجع!$D$3:$F$12,3)</f>
        <v xml:space="preserve">جيد </v>
      </c>
      <c r="BQ30" s="77">
        <f t="shared" si="13"/>
        <v>28</v>
      </c>
    </row>
    <row r="31" spans="2:69" ht="28.5">
      <c r="B31" s="66">
        <v>2023081</v>
      </c>
      <c r="C31" s="70" t="s">
        <v>52</v>
      </c>
      <c r="D31" s="21">
        <v>1</v>
      </c>
      <c r="E31" s="67">
        <v>92</v>
      </c>
      <c r="F31" s="65">
        <f>VLOOKUP(E31,المرجع!$B$3:$C$12,2)</f>
        <v>4.75</v>
      </c>
      <c r="G31" s="44" t="str">
        <f>VLOOKUP(F31,المرجع!$D$3:$E$12,2)</f>
        <v>أ</v>
      </c>
      <c r="H31" s="40">
        <f t="shared" si="0"/>
        <v>4.75</v>
      </c>
      <c r="I31" s="21">
        <v>2</v>
      </c>
      <c r="J31" s="67">
        <v>100</v>
      </c>
      <c r="K31" s="65">
        <f>VLOOKUP(J31,المرجع!$B$3:$C$12,2)</f>
        <v>5</v>
      </c>
      <c r="L31" s="44" t="str">
        <f>VLOOKUP(K31,المرجع!$D$3:$E$12,2)</f>
        <v xml:space="preserve">أ+ </v>
      </c>
      <c r="M31" s="40">
        <f t="shared" si="1"/>
        <v>10</v>
      </c>
      <c r="N31" s="21">
        <v>2</v>
      </c>
      <c r="O31" s="67">
        <v>50</v>
      </c>
      <c r="P31" s="65">
        <f>VLOOKUP(O31,المرجع!$B$3:$C$12,2)</f>
        <v>2</v>
      </c>
      <c r="Q31" s="44" t="str">
        <f>VLOOKUP(P31,المرجع!$D$3:$E$12,2)</f>
        <v>د</v>
      </c>
      <c r="R31" s="40">
        <f t="shared" si="2"/>
        <v>4</v>
      </c>
      <c r="S31" s="21">
        <v>2</v>
      </c>
      <c r="T31" s="67">
        <v>100</v>
      </c>
      <c r="U31" s="65">
        <f>VLOOKUP(T31,المرجع!$B$3:$C$12,2)</f>
        <v>5</v>
      </c>
      <c r="V31" s="44" t="str">
        <f>VLOOKUP(U31,المرجع!$D$3:$E$12,2)</f>
        <v xml:space="preserve">أ+ </v>
      </c>
      <c r="W31" s="40">
        <f t="shared" si="3"/>
        <v>10</v>
      </c>
      <c r="X31" s="21">
        <v>2</v>
      </c>
      <c r="Y31" s="67">
        <v>80</v>
      </c>
      <c r="Z31" s="65">
        <f>VLOOKUP(Y31,المرجع!$B$3:$C$12,2)</f>
        <v>4</v>
      </c>
      <c r="AA31" s="44" t="str">
        <f>VLOOKUP(Z31,المرجع!$D$3:$E$12,2)</f>
        <v>ب</v>
      </c>
      <c r="AB31" s="40">
        <f t="shared" si="4"/>
        <v>8</v>
      </c>
      <c r="AC31" s="21">
        <v>2</v>
      </c>
      <c r="AD31" s="67">
        <v>80</v>
      </c>
      <c r="AE31" s="65">
        <f>VLOOKUP(AD31,المرجع!$B$3:$C$12,2)</f>
        <v>4</v>
      </c>
      <c r="AF31" s="44" t="str">
        <f>VLOOKUP(AE31,المرجع!$D$3:$E$12,2)</f>
        <v>ب</v>
      </c>
      <c r="AG31" s="40">
        <f t="shared" si="5"/>
        <v>8</v>
      </c>
      <c r="AH31" s="21">
        <v>2</v>
      </c>
      <c r="AI31" s="67">
        <v>79</v>
      </c>
      <c r="AJ31" s="65">
        <f>VLOOKUP(AI31,المرجع!$B$3:$C$12,2)</f>
        <v>3.5</v>
      </c>
      <c r="AK31" s="44" t="str">
        <f>VLOOKUP(AJ31,المرجع!$D$3:$E$12,2)</f>
        <v>ج+</v>
      </c>
      <c r="AL31" s="40">
        <f t="shared" si="6"/>
        <v>7</v>
      </c>
      <c r="AM31" s="21">
        <v>2</v>
      </c>
      <c r="AN31" s="67">
        <v>70</v>
      </c>
      <c r="AO31" s="65">
        <f>VLOOKUP(AN31,المرجع!$B$3:$C$12,2)</f>
        <v>3</v>
      </c>
      <c r="AP31" s="44" t="str">
        <f>VLOOKUP(AO31,المرجع!$D$3:$E$12,2)</f>
        <v>ج</v>
      </c>
      <c r="AQ31" s="40">
        <f t="shared" si="7"/>
        <v>6</v>
      </c>
      <c r="AR31" s="21">
        <v>2</v>
      </c>
      <c r="AS31" s="67">
        <v>65</v>
      </c>
      <c r="AT31" s="65">
        <f>VLOOKUP(AS31,المرجع!$B$3:$C$12,2)</f>
        <v>2.5</v>
      </c>
      <c r="AU31" s="44" t="str">
        <f>VLOOKUP(AT31,المرجع!$D$3:$E$12,2)</f>
        <v>د+</v>
      </c>
      <c r="AV31" s="40">
        <f t="shared" si="8"/>
        <v>5</v>
      </c>
      <c r="AW31" s="21">
        <v>2</v>
      </c>
      <c r="AX31" s="67">
        <v>70</v>
      </c>
      <c r="AY31" s="65">
        <f>VLOOKUP(AX31,المرجع!$B$3:$C$12,2)</f>
        <v>3</v>
      </c>
      <c r="AZ31" s="44" t="str">
        <f>VLOOKUP(AY31,المرجع!$D$3:$E$12,2)</f>
        <v>ج</v>
      </c>
      <c r="BA31" s="40">
        <f t="shared" si="9"/>
        <v>6</v>
      </c>
      <c r="BB31" s="21">
        <v>2</v>
      </c>
      <c r="BC31" s="67">
        <v>86</v>
      </c>
      <c r="BD31" s="65">
        <f>VLOOKUP(BC31,المرجع!$B$3:$C$12,2)</f>
        <v>4.5</v>
      </c>
      <c r="BE31" s="44" t="str">
        <f>VLOOKUP(BD31,المرجع!$D$3:$E$12,2)</f>
        <v>ب+</v>
      </c>
      <c r="BF31" s="40">
        <f t="shared" si="14"/>
        <v>9</v>
      </c>
      <c r="BG31" s="21">
        <v>2</v>
      </c>
      <c r="BH31" s="67">
        <v>85</v>
      </c>
      <c r="BI31" s="65">
        <f>VLOOKUP(BH31,المرجع!$B$3:$C$12,2)</f>
        <v>4.5</v>
      </c>
      <c r="BJ31" s="44" t="str">
        <f>VLOOKUP(BI31,المرجع!$D$3:$E$12,2)</f>
        <v>ب+</v>
      </c>
      <c r="BK31" s="40">
        <f t="shared" si="10"/>
        <v>9</v>
      </c>
      <c r="BL31" s="72">
        <f t="shared" si="15"/>
        <v>68.75</v>
      </c>
      <c r="BM31" s="73">
        <f t="shared" si="11"/>
        <v>23</v>
      </c>
      <c r="BN31" s="74">
        <f t="shared" si="12"/>
        <v>2.9891304347826089</v>
      </c>
      <c r="BO31" s="75"/>
      <c r="BP31" s="76" t="str">
        <f>VLOOKUP(BN31,المرجع!$D$3:$F$12,3)</f>
        <v xml:space="preserve">جيد </v>
      </c>
      <c r="BQ31" s="77">
        <f t="shared" si="13"/>
        <v>32</v>
      </c>
    </row>
    <row r="32" spans="2:69" ht="28.5">
      <c r="B32" s="66">
        <v>2023112</v>
      </c>
      <c r="C32" s="70" t="s">
        <v>53</v>
      </c>
      <c r="D32" s="21">
        <v>1</v>
      </c>
      <c r="E32" s="67">
        <v>95</v>
      </c>
      <c r="F32" s="65">
        <f>VLOOKUP(E32,المرجع!$B$3:$C$12,2)</f>
        <v>5</v>
      </c>
      <c r="G32" s="44" t="str">
        <f>VLOOKUP(F32,المرجع!$D$3:$E$12,2)</f>
        <v xml:space="preserve">أ+ </v>
      </c>
      <c r="H32" s="40">
        <f t="shared" si="0"/>
        <v>5</v>
      </c>
      <c r="I32" s="21">
        <v>2</v>
      </c>
      <c r="J32" s="67">
        <v>100</v>
      </c>
      <c r="K32" s="65">
        <f>VLOOKUP(J32,المرجع!$B$3:$C$12,2)</f>
        <v>5</v>
      </c>
      <c r="L32" s="44" t="str">
        <f>VLOOKUP(K32,المرجع!$D$3:$E$12,2)</f>
        <v xml:space="preserve">أ+ </v>
      </c>
      <c r="M32" s="40">
        <f t="shared" si="1"/>
        <v>10</v>
      </c>
      <c r="N32" s="21">
        <v>2</v>
      </c>
      <c r="O32" s="67">
        <v>60</v>
      </c>
      <c r="P32" s="65">
        <f>VLOOKUP(O32,المرجع!$B$3:$C$12,2)</f>
        <v>2</v>
      </c>
      <c r="Q32" s="44" t="str">
        <f>VLOOKUP(P32,المرجع!$D$3:$E$12,2)</f>
        <v>د</v>
      </c>
      <c r="R32" s="40">
        <f t="shared" si="2"/>
        <v>4</v>
      </c>
      <c r="S32" s="21">
        <v>2</v>
      </c>
      <c r="T32" s="67">
        <v>97</v>
      </c>
      <c r="U32" s="65">
        <f>VLOOKUP(T32,المرجع!$B$3:$C$12,2)</f>
        <v>5</v>
      </c>
      <c r="V32" s="44" t="str">
        <f>VLOOKUP(U32,المرجع!$D$3:$E$12,2)</f>
        <v xml:space="preserve">أ+ </v>
      </c>
      <c r="W32" s="40">
        <f t="shared" si="3"/>
        <v>10</v>
      </c>
      <c r="X32" s="21">
        <v>2</v>
      </c>
      <c r="Y32" s="67">
        <v>100</v>
      </c>
      <c r="Z32" s="65">
        <f>VLOOKUP(Y32,المرجع!$B$3:$C$12,2)</f>
        <v>5</v>
      </c>
      <c r="AA32" s="44" t="str">
        <f>VLOOKUP(Z32,المرجع!$D$3:$E$12,2)</f>
        <v xml:space="preserve">أ+ </v>
      </c>
      <c r="AB32" s="40">
        <f t="shared" si="4"/>
        <v>10</v>
      </c>
      <c r="AC32" s="21">
        <v>2</v>
      </c>
      <c r="AD32" s="67">
        <v>76</v>
      </c>
      <c r="AE32" s="65">
        <f>VLOOKUP(AD32,المرجع!$B$3:$C$12,2)</f>
        <v>3.5</v>
      </c>
      <c r="AF32" s="44" t="str">
        <f>VLOOKUP(AE32,المرجع!$D$3:$E$12,2)</f>
        <v>ج+</v>
      </c>
      <c r="AG32" s="40">
        <f t="shared" si="5"/>
        <v>7</v>
      </c>
      <c r="AH32" s="21">
        <v>2</v>
      </c>
      <c r="AI32" s="67">
        <v>62</v>
      </c>
      <c r="AJ32" s="65">
        <f>VLOOKUP(AI32,المرجع!$B$3:$C$12,2)</f>
        <v>2</v>
      </c>
      <c r="AK32" s="44" t="str">
        <f>VLOOKUP(AJ32,المرجع!$D$3:$E$12,2)</f>
        <v>د</v>
      </c>
      <c r="AL32" s="40">
        <f t="shared" si="6"/>
        <v>4</v>
      </c>
      <c r="AM32" s="21">
        <v>2</v>
      </c>
      <c r="AN32" s="67">
        <v>90</v>
      </c>
      <c r="AO32" s="65">
        <f>VLOOKUP(AN32,المرجع!$B$3:$C$12,2)</f>
        <v>4.75</v>
      </c>
      <c r="AP32" s="44" t="str">
        <f>VLOOKUP(AO32,المرجع!$D$3:$E$12,2)</f>
        <v>أ</v>
      </c>
      <c r="AQ32" s="40">
        <f t="shared" si="7"/>
        <v>9.5</v>
      </c>
      <c r="AR32" s="21">
        <v>2</v>
      </c>
      <c r="AS32" s="67">
        <v>83</v>
      </c>
      <c r="AT32" s="65">
        <f>VLOOKUP(AS32,المرجع!$B$3:$C$12,2)</f>
        <v>4</v>
      </c>
      <c r="AU32" s="44" t="str">
        <f>VLOOKUP(AT32,المرجع!$D$3:$E$12,2)</f>
        <v>ب</v>
      </c>
      <c r="AV32" s="40">
        <f t="shared" si="8"/>
        <v>8</v>
      </c>
      <c r="AW32" s="21">
        <v>2</v>
      </c>
      <c r="AX32" s="67">
        <v>60</v>
      </c>
      <c r="AY32" s="65">
        <f>VLOOKUP(AX32,المرجع!$B$3:$C$12,2)</f>
        <v>2</v>
      </c>
      <c r="AZ32" s="44" t="str">
        <f>VLOOKUP(AY32,المرجع!$D$3:$E$12,2)</f>
        <v>د</v>
      </c>
      <c r="BA32" s="40">
        <f t="shared" si="9"/>
        <v>4</v>
      </c>
      <c r="BB32" s="21">
        <v>2</v>
      </c>
      <c r="BC32" s="67">
        <v>79</v>
      </c>
      <c r="BD32" s="65">
        <f>VLOOKUP(BC32,المرجع!$B$3:$C$12,2)</f>
        <v>3.5</v>
      </c>
      <c r="BE32" s="44" t="str">
        <f>VLOOKUP(BD32,المرجع!$D$3:$E$12,2)</f>
        <v>ج+</v>
      </c>
      <c r="BF32" s="40">
        <f t="shared" si="14"/>
        <v>7</v>
      </c>
      <c r="BG32" s="21">
        <v>2</v>
      </c>
      <c r="BH32" s="67">
        <v>78</v>
      </c>
      <c r="BI32" s="65">
        <f>VLOOKUP(BH32,المرجع!$B$3:$C$12,2)</f>
        <v>3.5</v>
      </c>
      <c r="BJ32" s="44" t="str">
        <f>VLOOKUP(BI32,المرجع!$D$3:$E$12,2)</f>
        <v>ج+</v>
      </c>
      <c r="BK32" s="40">
        <f t="shared" si="10"/>
        <v>7</v>
      </c>
      <c r="BL32" s="72">
        <f t="shared" si="15"/>
        <v>71.5</v>
      </c>
      <c r="BM32" s="73">
        <f t="shared" si="11"/>
        <v>23</v>
      </c>
      <c r="BN32" s="74">
        <f t="shared" si="12"/>
        <v>3.1086956521739131</v>
      </c>
      <c r="BO32" s="75"/>
      <c r="BP32" s="76" t="str">
        <f>VLOOKUP(BN32,المرجع!$D$3:$F$12,3)</f>
        <v xml:space="preserve">جيد مرتفع </v>
      </c>
      <c r="BQ32" s="77">
        <f t="shared" si="13"/>
        <v>25</v>
      </c>
    </row>
    <row r="33" spans="2:69" ht="28.5">
      <c r="B33" s="66">
        <v>2023021</v>
      </c>
      <c r="C33" s="70" t="s">
        <v>11</v>
      </c>
      <c r="D33" s="21">
        <v>1</v>
      </c>
      <c r="E33" s="67">
        <v>100</v>
      </c>
      <c r="F33" s="65">
        <f>VLOOKUP(E33,المرجع!$B$3:$C$12,2)</f>
        <v>5</v>
      </c>
      <c r="G33" s="44" t="str">
        <f>VLOOKUP(F33,المرجع!$D$3:$E$12,2)</f>
        <v xml:space="preserve">أ+ </v>
      </c>
      <c r="H33" s="40">
        <f t="shared" si="0"/>
        <v>5</v>
      </c>
      <c r="I33" s="21">
        <v>2</v>
      </c>
      <c r="J33" s="67">
        <v>98</v>
      </c>
      <c r="K33" s="65">
        <f>VLOOKUP(J33,المرجع!$B$3:$C$12,2)</f>
        <v>5</v>
      </c>
      <c r="L33" s="44" t="str">
        <f>VLOOKUP(K33,المرجع!$D$3:$E$12,2)</f>
        <v xml:space="preserve">أ+ </v>
      </c>
      <c r="M33" s="40">
        <f t="shared" si="1"/>
        <v>10</v>
      </c>
      <c r="N33" s="21">
        <v>2</v>
      </c>
      <c r="O33" s="67">
        <v>50</v>
      </c>
      <c r="P33" s="65">
        <f>VLOOKUP(O33,المرجع!$B$3:$C$12,2)</f>
        <v>2</v>
      </c>
      <c r="Q33" s="44" t="str">
        <f>VLOOKUP(P33,المرجع!$D$3:$E$12,2)</f>
        <v>د</v>
      </c>
      <c r="R33" s="40">
        <f t="shared" si="2"/>
        <v>4</v>
      </c>
      <c r="S33" s="21">
        <v>2</v>
      </c>
      <c r="T33" s="67">
        <v>63</v>
      </c>
      <c r="U33" s="65">
        <f>VLOOKUP(T33,المرجع!$B$3:$C$12,2)</f>
        <v>2</v>
      </c>
      <c r="V33" s="44" t="str">
        <f>VLOOKUP(U33,المرجع!$D$3:$E$12,2)</f>
        <v>د</v>
      </c>
      <c r="W33" s="40">
        <f t="shared" si="3"/>
        <v>4</v>
      </c>
      <c r="X33" s="21">
        <v>2</v>
      </c>
      <c r="Y33" s="67">
        <v>95</v>
      </c>
      <c r="Z33" s="65">
        <f>VLOOKUP(Y33,المرجع!$B$3:$C$12,2)</f>
        <v>5</v>
      </c>
      <c r="AA33" s="44" t="str">
        <f>VLOOKUP(Z33,المرجع!$D$3:$E$12,2)</f>
        <v xml:space="preserve">أ+ </v>
      </c>
      <c r="AB33" s="40">
        <f t="shared" si="4"/>
        <v>10</v>
      </c>
      <c r="AC33" s="21">
        <v>2</v>
      </c>
      <c r="AD33" s="67">
        <v>83</v>
      </c>
      <c r="AE33" s="65">
        <f>VLOOKUP(AD33,المرجع!$B$3:$C$12,2)</f>
        <v>4</v>
      </c>
      <c r="AF33" s="44" t="str">
        <f>VLOOKUP(AE33,المرجع!$D$3:$E$12,2)</f>
        <v>ب</v>
      </c>
      <c r="AG33" s="40">
        <f t="shared" si="5"/>
        <v>8</v>
      </c>
      <c r="AH33" s="21">
        <v>2</v>
      </c>
      <c r="AI33" s="67">
        <v>55</v>
      </c>
      <c r="AJ33" s="65">
        <f>VLOOKUP(AI33,المرجع!$B$3:$C$12,2)</f>
        <v>2</v>
      </c>
      <c r="AK33" s="44" t="str">
        <f>VLOOKUP(AJ33,المرجع!$D$3:$E$12,2)</f>
        <v>د</v>
      </c>
      <c r="AL33" s="40">
        <f t="shared" si="6"/>
        <v>4</v>
      </c>
      <c r="AM33" s="21">
        <v>2</v>
      </c>
      <c r="AN33" s="67">
        <v>92</v>
      </c>
      <c r="AO33" s="65">
        <f>VLOOKUP(AN33,المرجع!$B$3:$C$12,2)</f>
        <v>4.75</v>
      </c>
      <c r="AP33" s="44" t="str">
        <f>VLOOKUP(AO33,المرجع!$D$3:$E$12,2)</f>
        <v>أ</v>
      </c>
      <c r="AQ33" s="40">
        <f t="shared" si="7"/>
        <v>9.5</v>
      </c>
      <c r="AR33" s="21">
        <v>2</v>
      </c>
      <c r="AS33" s="67">
        <v>68</v>
      </c>
      <c r="AT33" s="65">
        <f>VLOOKUP(AS33,المرجع!$B$3:$C$12,2)</f>
        <v>2.5</v>
      </c>
      <c r="AU33" s="44" t="str">
        <f>VLOOKUP(AT33,المرجع!$D$3:$E$12,2)</f>
        <v>د+</v>
      </c>
      <c r="AV33" s="40">
        <f t="shared" si="8"/>
        <v>5</v>
      </c>
      <c r="AW33" s="21">
        <v>2</v>
      </c>
      <c r="AX33" s="67">
        <v>85</v>
      </c>
      <c r="AY33" s="65">
        <f>VLOOKUP(AX33,المرجع!$B$3:$C$12,2)</f>
        <v>4.5</v>
      </c>
      <c r="AZ33" s="44" t="str">
        <f>VLOOKUP(AY33,المرجع!$D$3:$E$12,2)</f>
        <v>ب+</v>
      </c>
      <c r="BA33" s="40">
        <f t="shared" si="9"/>
        <v>9</v>
      </c>
      <c r="BB33" s="21">
        <v>2</v>
      </c>
      <c r="BC33" s="67">
        <v>95</v>
      </c>
      <c r="BD33" s="65">
        <f>VLOOKUP(BC33,المرجع!$B$3:$C$12,2)</f>
        <v>5</v>
      </c>
      <c r="BE33" s="44" t="str">
        <f>VLOOKUP(BD33,المرجع!$D$3:$E$12,2)</f>
        <v xml:space="preserve">أ+ </v>
      </c>
      <c r="BF33" s="40">
        <f t="shared" si="14"/>
        <v>10</v>
      </c>
      <c r="BG33" s="21">
        <v>2</v>
      </c>
      <c r="BH33" s="67">
        <v>72</v>
      </c>
      <c r="BI33" s="65">
        <f>VLOOKUP(BH33,المرجع!$B$3:$C$12,2)</f>
        <v>3</v>
      </c>
      <c r="BJ33" s="44" t="str">
        <f>VLOOKUP(BI33,المرجع!$D$3:$E$12,2)</f>
        <v>ج</v>
      </c>
      <c r="BK33" s="40">
        <f t="shared" si="10"/>
        <v>6</v>
      </c>
      <c r="BL33" s="72">
        <f t="shared" si="15"/>
        <v>72.5</v>
      </c>
      <c r="BM33" s="73">
        <f t="shared" si="11"/>
        <v>23</v>
      </c>
      <c r="BN33" s="74">
        <f t="shared" si="12"/>
        <v>3.152173913043478</v>
      </c>
      <c r="BO33" s="75"/>
      <c r="BP33" s="76" t="str">
        <f>VLOOKUP(BN33,المرجع!$D$3:$F$12,3)</f>
        <v xml:space="preserve">جيد مرتفع </v>
      </c>
      <c r="BQ33" s="77">
        <f t="shared" si="13"/>
        <v>23</v>
      </c>
    </row>
    <row r="34" spans="2:69" ht="28.5">
      <c r="B34" s="66">
        <v>2023124</v>
      </c>
      <c r="C34" s="70" t="s">
        <v>9</v>
      </c>
      <c r="D34" s="21">
        <v>1</v>
      </c>
      <c r="E34" s="67">
        <v>95</v>
      </c>
      <c r="F34" s="65">
        <f>VLOOKUP(E34,المرجع!$B$3:$C$12,2)</f>
        <v>5</v>
      </c>
      <c r="G34" s="44" t="str">
        <f>VLOOKUP(F34,المرجع!$D$3:$E$12,2)</f>
        <v xml:space="preserve">أ+ </v>
      </c>
      <c r="H34" s="40">
        <f t="shared" si="0"/>
        <v>5</v>
      </c>
      <c r="I34" s="21">
        <v>2</v>
      </c>
      <c r="J34" s="67">
        <v>95</v>
      </c>
      <c r="K34" s="65">
        <f>VLOOKUP(J34,المرجع!$B$3:$C$12,2)</f>
        <v>5</v>
      </c>
      <c r="L34" s="44" t="str">
        <f>VLOOKUP(K34,المرجع!$D$3:$E$12,2)</f>
        <v xml:space="preserve">أ+ </v>
      </c>
      <c r="M34" s="40">
        <f t="shared" si="1"/>
        <v>10</v>
      </c>
      <c r="N34" s="21">
        <v>2</v>
      </c>
      <c r="O34" s="67">
        <v>50</v>
      </c>
      <c r="P34" s="65">
        <f>VLOOKUP(O34,المرجع!$B$3:$C$12,2)</f>
        <v>2</v>
      </c>
      <c r="Q34" s="44" t="str">
        <f>VLOOKUP(P34,المرجع!$D$3:$E$12,2)</f>
        <v>د</v>
      </c>
      <c r="R34" s="40">
        <f t="shared" si="2"/>
        <v>4</v>
      </c>
      <c r="S34" s="21">
        <v>2</v>
      </c>
      <c r="T34" s="67">
        <v>100</v>
      </c>
      <c r="U34" s="65">
        <f>VLOOKUP(T34,المرجع!$B$3:$C$12,2)</f>
        <v>5</v>
      </c>
      <c r="V34" s="44" t="str">
        <f>VLOOKUP(U34,المرجع!$D$3:$E$12,2)</f>
        <v xml:space="preserve">أ+ </v>
      </c>
      <c r="W34" s="40">
        <f t="shared" si="3"/>
        <v>10</v>
      </c>
      <c r="X34" s="21">
        <v>2</v>
      </c>
      <c r="Y34" s="67">
        <v>85</v>
      </c>
      <c r="Z34" s="65">
        <f>VLOOKUP(Y34,المرجع!$B$3:$C$12,2)</f>
        <v>4.5</v>
      </c>
      <c r="AA34" s="44" t="str">
        <f>VLOOKUP(Z34,المرجع!$D$3:$E$12,2)</f>
        <v>ب+</v>
      </c>
      <c r="AB34" s="40">
        <f t="shared" si="4"/>
        <v>9</v>
      </c>
      <c r="AC34" s="21">
        <v>2</v>
      </c>
      <c r="AD34" s="67">
        <v>77</v>
      </c>
      <c r="AE34" s="65">
        <f>VLOOKUP(AD34,المرجع!$B$3:$C$12,2)</f>
        <v>3.5</v>
      </c>
      <c r="AF34" s="44" t="str">
        <f>VLOOKUP(AE34,المرجع!$D$3:$E$12,2)</f>
        <v>ج+</v>
      </c>
      <c r="AG34" s="40">
        <f t="shared" si="5"/>
        <v>7</v>
      </c>
      <c r="AH34" s="21">
        <v>2</v>
      </c>
      <c r="AI34" s="67">
        <v>50</v>
      </c>
      <c r="AJ34" s="65">
        <f>VLOOKUP(AI34,المرجع!$B$3:$C$12,2)</f>
        <v>2</v>
      </c>
      <c r="AK34" s="44" t="str">
        <f>VLOOKUP(AJ34,المرجع!$D$3:$E$12,2)</f>
        <v>د</v>
      </c>
      <c r="AL34" s="40">
        <f t="shared" si="6"/>
        <v>4</v>
      </c>
      <c r="AM34" s="21">
        <v>2</v>
      </c>
      <c r="AN34" s="67">
        <v>78</v>
      </c>
      <c r="AO34" s="65">
        <f>VLOOKUP(AN34,المرجع!$B$3:$C$12,2)</f>
        <v>3.5</v>
      </c>
      <c r="AP34" s="44" t="str">
        <f>VLOOKUP(AO34,المرجع!$D$3:$E$12,2)</f>
        <v>ج+</v>
      </c>
      <c r="AQ34" s="40">
        <f t="shared" si="7"/>
        <v>7</v>
      </c>
      <c r="AR34" s="21">
        <v>2</v>
      </c>
      <c r="AS34" s="67">
        <v>73</v>
      </c>
      <c r="AT34" s="65">
        <f>VLOOKUP(AS34,المرجع!$B$3:$C$12,2)</f>
        <v>3</v>
      </c>
      <c r="AU34" s="44" t="str">
        <f>VLOOKUP(AT34,المرجع!$D$3:$E$12,2)</f>
        <v>ج</v>
      </c>
      <c r="AV34" s="40">
        <f t="shared" si="8"/>
        <v>6</v>
      </c>
      <c r="AW34" s="21">
        <v>2</v>
      </c>
      <c r="AX34" s="67">
        <v>65</v>
      </c>
      <c r="AY34" s="65">
        <f>VLOOKUP(AX34,المرجع!$B$3:$C$12,2)</f>
        <v>2.5</v>
      </c>
      <c r="AZ34" s="44" t="str">
        <f>VLOOKUP(AY34,المرجع!$D$3:$E$12,2)</f>
        <v>د+</v>
      </c>
      <c r="BA34" s="40">
        <f t="shared" si="9"/>
        <v>5</v>
      </c>
      <c r="BB34" s="21">
        <v>2</v>
      </c>
      <c r="BC34" s="67">
        <v>78</v>
      </c>
      <c r="BD34" s="65">
        <f>VLOOKUP(BC34,المرجع!$B$3:$C$12,2)</f>
        <v>3.5</v>
      </c>
      <c r="BE34" s="44" t="str">
        <f>VLOOKUP(BD34,المرجع!$D$3:$E$12,2)</f>
        <v>ج+</v>
      </c>
      <c r="BF34" s="40">
        <f t="shared" si="14"/>
        <v>7</v>
      </c>
      <c r="BG34" s="21">
        <v>2</v>
      </c>
      <c r="BH34" s="67">
        <v>98</v>
      </c>
      <c r="BI34" s="65">
        <f>VLOOKUP(BH34,المرجع!$B$3:$C$12,2)</f>
        <v>5</v>
      </c>
      <c r="BJ34" s="44" t="str">
        <f>VLOOKUP(BI34,المرجع!$D$3:$E$12,2)</f>
        <v xml:space="preserve">أ+ </v>
      </c>
      <c r="BK34" s="40">
        <f t="shared" si="10"/>
        <v>10</v>
      </c>
      <c r="BL34" s="72">
        <f t="shared" si="15"/>
        <v>64</v>
      </c>
      <c r="BM34" s="73">
        <f t="shared" si="11"/>
        <v>23</v>
      </c>
      <c r="BN34" s="74">
        <f t="shared" si="12"/>
        <v>2.7826086956521738</v>
      </c>
      <c r="BO34" s="75"/>
      <c r="BP34" s="76" t="str">
        <f>VLOOKUP(BN34,المرجع!$D$3:$F$12,3)</f>
        <v xml:space="preserve">جيد </v>
      </c>
      <c r="BQ34" s="77">
        <f t="shared" si="13"/>
        <v>43</v>
      </c>
    </row>
    <row r="35" spans="2:69" ht="28.5">
      <c r="B35" s="66">
        <v>2023018</v>
      </c>
      <c r="C35" s="70" t="s">
        <v>18</v>
      </c>
      <c r="D35" s="21">
        <v>1</v>
      </c>
      <c r="E35" s="67">
        <v>89</v>
      </c>
      <c r="F35" s="65">
        <f>VLOOKUP(E35,المرجع!$B$3:$C$12,2)</f>
        <v>4.5</v>
      </c>
      <c r="G35" s="44" t="str">
        <f>VLOOKUP(F35,المرجع!$D$3:$E$12,2)</f>
        <v>ب+</v>
      </c>
      <c r="H35" s="40">
        <f t="shared" ref="H35:H66" si="16">F35*D35</f>
        <v>4.5</v>
      </c>
      <c r="I35" s="21">
        <v>2</v>
      </c>
      <c r="J35" s="67">
        <v>90</v>
      </c>
      <c r="K35" s="65">
        <f>VLOOKUP(J35,المرجع!$B$3:$C$12,2)</f>
        <v>4.75</v>
      </c>
      <c r="L35" s="44" t="str">
        <f>VLOOKUP(K35,المرجع!$D$3:$E$12,2)</f>
        <v>أ</v>
      </c>
      <c r="M35" s="40">
        <f t="shared" ref="M35:M66" si="17">K35*I35</f>
        <v>9.5</v>
      </c>
      <c r="N35" s="21">
        <v>2</v>
      </c>
      <c r="O35" s="67">
        <v>64</v>
      </c>
      <c r="P35" s="65">
        <f>VLOOKUP(O35,المرجع!$B$3:$C$12,2)</f>
        <v>2</v>
      </c>
      <c r="Q35" s="44" t="str">
        <f>VLOOKUP(P35,المرجع!$D$3:$E$12,2)</f>
        <v>د</v>
      </c>
      <c r="R35" s="40">
        <f t="shared" ref="R35:R66" si="18">P35*N35</f>
        <v>4</v>
      </c>
      <c r="S35" s="21">
        <v>2</v>
      </c>
      <c r="T35" s="67">
        <v>95</v>
      </c>
      <c r="U35" s="65">
        <f>VLOOKUP(T35,المرجع!$B$3:$C$12,2)</f>
        <v>5</v>
      </c>
      <c r="V35" s="44" t="str">
        <f>VLOOKUP(U35,المرجع!$D$3:$E$12,2)</f>
        <v xml:space="preserve">أ+ </v>
      </c>
      <c r="W35" s="40">
        <f t="shared" ref="W35:W66" si="19">U35*S35</f>
        <v>10</v>
      </c>
      <c r="X35" s="21">
        <v>2</v>
      </c>
      <c r="Y35" s="67">
        <v>100</v>
      </c>
      <c r="Z35" s="65">
        <f>VLOOKUP(Y35,المرجع!$B$3:$C$12,2)</f>
        <v>5</v>
      </c>
      <c r="AA35" s="44" t="str">
        <f>VLOOKUP(Z35,المرجع!$D$3:$E$12,2)</f>
        <v xml:space="preserve">أ+ </v>
      </c>
      <c r="AB35" s="40">
        <f t="shared" ref="AB35:AB66" si="20">Z35*X35</f>
        <v>10</v>
      </c>
      <c r="AC35" s="21">
        <v>2</v>
      </c>
      <c r="AD35" s="67">
        <v>80</v>
      </c>
      <c r="AE35" s="65">
        <f>VLOOKUP(AD35,المرجع!$B$3:$C$12,2)</f>
        <v>4</v>
      </c>
      <c r="AF35" s="44" t="str">
        <f>VLOOKUP(AE35,المرجع!$D$3:$E$12,2)</f>
        <v>ب</v>
      </c>
      <c r="AG35" s="40">
        <f t="shared" ref="AG35:AG66" si="21">AE35*AC35</f>
        <v>8</v>
      </c>
      <c r="AH35" s="21">
        <v>2</v>
      </c>
      <c r="AI35" s="67">
        <v>78</v>
      </c>
      <c r="AJ35" s="65">
        <f>VLOOKUP(AI35,المرجع!$B$3:$C$12,2)</f>
        <v>3.5</v>
      </c>
      <c r="AK35" s="44" t="str">
        <f>VLOOKUP(AJ35,المرجع!$D$3:$E$12,2)</f>
        <v>ج+</v>
      </c>
      <c r="AL35" s="40">
        <f t="shared" ref="AL35:AL66" si="22">AJ35*AH35</f>
        <v>7</v>
      </c>
      <c r="AM35" s="21">
        <v>2</v>
      </c>
      <c r="AN35" s="67">
        <v>85</v>
      </c>
      <c r="AO35" s="65">
        <f>VLOOKUP(AN35,المرجع!$B$3:$C$12,2)</f>
        <v>4.5</v>
      </c>
      <c r="AP35" s="44" t="str">
        <f>VLOOKUP(AO35,المرجع!$D$3:$E$12,2)</f>
        <v>ب+</v>
      </c>
      <c r="AQ35" s="40">
        <f t="shared" ref="AQ35:AQ66" si="23">AO35*AM35</f>
        <v>9</v>
      </c>
      <c r="AR35" s="21">
        <v>2</v>
      </c>
      <c r="AS35" s="67">
        <v>63</v>
      </c>
      <c r="AT35" s="65">
        <f>VLOOKUP(AS35,المرجع!$B$3:$C$12,2)</f>
        <v>2</v>
      </c>
      <c r="AU35" s="44" t="str">
        <f>VLOOKUP(AT35,المرجع!$D$3:$E$12,2)</f>
        <v>د</v>
      </c>
      <c r="AV35" s="40">
        <f t="shared" ref="AV35:AV66" si="24">AT35*AR35</f>
        <v>4</v>
      </c>
      <c r="AW35" s="21">
        <v>2</v>
      </c>
      <c r="AX35" s="67">
        <v>65</v>
      </c>
      <c r="AY35" s="65">
        <f>VLOOKUP(AX35,المرجع!$B$3:$C$12,2)</f>
        <v>2.5</v>
      </c>
      <c r="AZ35" s="44" t="str">
        <f>VLOOKUP(AY35,المرجع!$D$3:$E$12,2)</f>
        <v>د+</v>
      </c>
      <c r="BA35" s="40">
        <f t="shared" ref="BA35:BA66" si="25">AY35*AW35</f>
        <v>5</v>
      </c>
      <c r="BB35" s="21">
        <v>2</v>
      </c>
      <c r="BC35" s="67">
        <v>80</v>
      </c>
      <c r="BD35" s="65">
        <f>VLOOKUP(BC35,المرجع!$B$3:$C$12,2)</f>
        <v>4</v>
      </c>
      <c r="BE35" s="44" t="str">
        <f>VLOOKUP(BD35,المرجع!$D$3:$E$12,2)</f>
        <v>ب</v>
      </c>
      <c r="BF35" s="40">
        <f t="shared" ref="BF35:BF66" si="26">BD35*BB35</f>
        <v>8</v>
      </c>
      <c r="BG35" s="21">
        <v>2</v>
      </c>
      <c r="BH35" s="67">
        <v>77</v>
      </c>
      <c r="BI35" s="65">
        <f>VLOOKUP(BH35,المرجع!$B$3:$C$12,2)</f>
        <v>3.5</v>
      </c>
      <c r="BJ35" s="44" t="str">
        <f>VLOOKUP(BI35,المرجع!$D$3:$E$12,2)</f>
        <v>ج+</v>
      </c>
      <c r="BK35" s="40">
        <f t="shared" ref="BK35:BK66" si="27">BI35*BG35</f>
        <v>7</v>
      </c>
      <c r="BL35" s="72">
        <f t="shared" si="15"/>
        <v>72</v>
      </c>
      <c r="BM35" s="73">
        <f t="shared" ref="BM35:BM66" si="28">SUM(BG35+BB35+AW35+AR35+AM35+AH35+AC35+X35+S35+N35+I35+D35)</f>
        <v>23</v>
      </c>
      <c r="BN35" s="74">
        <f t="shared" ref="BN35:BN66" si="29">BL35/BM35</f>
        <v>3.1304347826086958</v>
      </c>
      <c r="BO35" s="75"/>
      <c r="BP35" s="76" t="str">
        <f>VLOOKUP(BN35,المرجع!$D$3:$F$12,3)</f>
        <v xml:space="preserve">جيد مرتفع </v>
      </c>
      <c r="BQ35" s="77">
        <f t="shared" ref="BQ35:BQ66" si="30">RANK(BN35,$BN$3:$BN$98)</f>
        <v>24</v>
      </c>
    </row>
    <row r="36" spans="2:69" ht="28.5">
      <c r="B36" s="66">
        <v>2023089</v>
      </c>
      <c r="C36" s="70" t="s">
        <v>55</v>
      </c>
      <c r="D36" s="21">
        <v>1</v>
      </c>
      <c r="E36" s="67">
        <v>97</v>
      </c>
      <c r="F36" s="65">
        <f>VLOOKUP(E36,المرجع!$B$3:$C$12,2)</f>
        <v>5</v>
      </c>
      <c r="G36" s="44" t="str">
        <f>VLOOKUP(F36,المرجع!$D$3:$E$12,2)</f>
        <v xml:space="preserve">أ+ </v>
      </c>
      <c r="H36" s="40">
        <f t="shared" si="16"/>
        <v>5</v>
      </c>
      <c r="I36" s="21">
        <v>2</v>
      </c>
      <c r="J36" s="67">
        <v>100</v>
      </c>
      <c r="K36" s="65">
        <f>VLOOKUP(J36,المرجع!$B$3:$C$12,2)</f>
        <v>5</v>
      </c>
      <c r="L36" s="44" t="str">
        <f>VLOOKUP(K36,المرجع!$D$3:$E$12,2)</f>
        <v xml:space="preserve">أ+ </v>
      </c>
      <c r="M36" s="40">
        <f t="shared" si="17"/>
        <v>10</v>
      </c>
      <c r="N36" s="21">
        <v>2</v>
      </c>
      <c r="O36" s="67">
        <v>50</v>
      </c>
      <c r="P36" s="65">
        <f>VLOOKUP(O36,المرجع!$B$3:$C$12,2)</f>
        <v>2</v>
      </c>
      <c r="Q36" s="44" t="str">
        <f>VLOOKUP(P36,المرجع!$D$3:$E$12,2)</f>
        <v>د</v>
      </c>
      <c r="R36" s="40">
        <f t="shared" si="18"/>
        <v>4</v>
      </c>
      <c r="S36" s="21">
        <v>2</v>
      </c>
      <c r="T36" s="67">
        <v>100</v>
      </c>
      <c r="U36" s="65">
        <f>VLOOKUP(T36,المرجع!$B$3:$C$12,2)</f>
        <v>5</v>
      </c>
      <c r="V36" s="44" t="str">
        <f>VLOOKUP(U36,المرجع!$D$3:$E$12,2)</f>
        <v xml:space="preserve">أ+ </v>
      </c>
      <c r="W36" s="40">
        <f t="shared" si="19"/>
        <v>10</v>
      </c>
      <c r="X36" s="21">
        <v>2</v>
      </c>
      <c r="Y36" s="67">
        <v>100</v>
      </c>
      <c r="Z36" s="65">
        <f>VLOOKUP(Y36,المرجع!$B$3:$C$12,2)</f>
        <v>5</v>
      </c>
      <c r="AA36" s="44" t="str">
        <f>VLOOKUP(Z36,المرجع!$D$3:$E$12,2)</f>
        <v xml:space="preserve">أ+ </v>
      </c>
      <c r="AB36" s="40">
        <f t="shared" si="20"/>
        <v>10</v>
      </c>
      <c r="AC36" s="21">
        <v>2</v>
      </c>
      <c r="AD36" s="67">
        <v>80</v>
      </c>
      <c r="AE36" s="65">
        <f>VLOOKUP(AD36,المرجع!$B$3:$C$12,2)</f>
        <v>4</v>
      </c>
      <c r="AF36" s="44" t="str">
        <f>VLOOKUP(AE36,المرجع!$D$3:$E$12,2)</f>
        <v>ب</v>
      </c>
      <c r="AG36" s="40">
        <f t="shared" si="21"/>
        <v>8</v>
      </c>
      <c r="AH36" s="21">
        <v>2</v>
      </c>
      <c r="AI36" s="67">
        <v>60</v>
      </c>
      <c r="AJ36" s="65">
        <f>VLOOKUP(AI36,المرجع!$B$3:$C$12,2)</f>
        <v>2</v>
      </c>
      <c r="AK36" s="44" t="str">
        <f>VLOOKUP(AJ36,المرجع!$D$3:$E$12,2)</f>
        <v>د</v>
      </c>
      <c r="AL36" s="40">
        <f t="shared" si="22"/>
        <v>4</v>
      </c>
      <c r="AM36" s="21">
        <v>2</v>
      </c>
      <c r="AN36" s="67">
        <v>74</v>
      </c>
      <c r="AO36" s="65">
        <f>VLOOKUP(AN36,المرجع!$B$3:$C$12,2)</f>
        <v>3</v>
      </c>
      <c r="AP36" s="44" t="str">
        <f>VLOOKUP(AO36,المرجع!$D$3:$E$12,2)</f>
        <v>ج</v>
      </c>
      <c r="AQ36" s="40">
        <f t="shared" si="23"/>
        <v>6</v>
      </c>
      <c r="AR36" s="21">
        <v>2</v>
      </c>
      <c r="AS36" s="67">
        <v>72</v>
      </c>
      <c r="AT36" s="65">
        <f>VLOOKUP(AS36,المرجع!$B$3:$C$12,2)</f>
        <v>3</v>
      </c>
      <c r="AU36" s="44" t="str">
        <f>VLOOKUP(AT36,المرجع!$D$3:$E$12,2)</f>
        <v>ج</v>
      </c>
      <c r="AV36" s="40">
        <f t="shared" si="24"/>
        <v>6</v>
      </c>
      <c r="AW36" s="21">
        <v>2</v>
      </c>
      <c r="AX36" s="67">
        <v>55</v>
      </c>
      <c r="AY36" s="65">
        <f>VLOOKUP(AX36,المرجع!$B$3:$C$12,2)</f>
        <v>2</v>
      </c>
      <c r="AZ36" s="44" t="str">
        <f>VLOOKUP(AY36,المرجع!$D$3:$E$12,2)</f>
        <v>د</v>
      </c>
      <c r="BA36" s="40">
        <f t="shared" si="25"/>
        <v>4</v>
      </c>
      <c r="BB36" s="21">
        <v>2</v>
      </c>
      <c r="BC36" s="67">
        <v>76</v>
      </c>
      <c r="BD36" s="65">
        <f>VLOOKUP(BC36,المرجع!$B$3:$C$12,2)</f>
        <v>3.5</v>
      </c>
      <c r="BE36" s="44" t="str">
        <f>VLOOKUP(BD36,المرجع!$D$3:$E$12,2)</f>
        <v>ج+</v>
      </c>
      <c r="BF36" s="40">
        <f t="shared" si="26"/>
        <v>7</v>
      </c>
      <c r="BG36" s="21">
        <v>2</v>
      </c>
      <c r="BH36" s="67">
        <v>84</v>
      </c>
      <c r="BI36" s="65">
        <f>VLOOKUP(BH36,المرجع!$B$3:$C$12,2)</f>
        <v>4</v>
      </c>
      <c r="BJ36" s="44" t="str">
        <f>VLOOKUP(BI36,المرجع!$D$3:$E$12,2)</f>
        <v>ب</v>
      </c>
      <c r="BK36" s="40">
        <f t="shared" si="27"/>
        <v>8</v>
      </c>
      <c r="BL36" s="72">
        <f t="shared" si="15"/>
        <v>66</v>
      </c>
      <c r="BM36" s="73">
        <f t="shared" si="28"/>
        <v>23</v>
      </c>
      <c r="BN36" s="74">
        <f t="shared" si="29"/>
        <v>2.8695652173913042</v>
      </c>
      <c r="BO36" s="75"/>
      <c r="BP36" s="76" t="str">
        <f>VLOOKUP(BN36,المرجع!$D$3:$F$12,3)</f>
        <v xml:space="preserve">جيد </v>
      </c>
      <c r="BQ36" s="77">
        <f t="shared" si="30"/>
        <v>38</v>
      </c>
    </row>
    <row r="37" spans="2:69" ht="28.5">
      <c r="B37" s="66">
        <v>2023130</v>
      </c>
      <c r="C37" s="70" t="s">
        <v>60</v>
      </c>
      <c r="D37" s="21">
        <v>1</v>
      </c>
      <c r="E37" s="67">
        <v>90</v>
      </c>
      <c r="F37" s="65">
        <f>VLOOKUP(E37,المرجع!$B$3:$C$12,2)</f>
        <v>4.75</v>
      </c>
      <c r="G37" s="44" t="str">
        <f>VLOOKUP(F37,المرجع!$D$3:$E$12,2)</f>
        <v>أ</v>
      </c>
      <c r="H37" s="40">
        <f t="shared" si="16"/>
        <v>4.75</v>
      </c>
      <c r="I37" s="21">
        <v>2</v>
      </c>
      <c r="J37" s="67">
        <v>92</v>
      </c>
      <c r="K37" s="65">
        <f>VLOOKUP(J37,المرجع!$B$3:$C$12,2)</f>
        <v>4.75</v>
      </c>
      <c r="L37" s="44" t="str">
        <f>VLOOKUP(K37,المرجع!$D$3:$E$12,2)</f>
        <v>أ</v>
      </c>
      <c r="M37" s="40">
        <f t="shared" si="17"/>
        <v>9.5</v>
      </c>
      <c r="N37" s="21">
        <v>2</v>
      </c>
      <c r="O37" s="67">
        <v>60</v>
      </c>
      <c r="P37" s="65">
        <f>VLOOKUP(O37,المرجع!$B$3:$C$12,2)</f>
        <v>2</v>
      </c>
      <c r="Q37" s="44" t="str">
        <f>VLOOKUP(P37,المرجع!$D$3:$E$12,2)</f>
        <v>د</v>
      </c>
      <c r="R37" s="40">
        <f t="shared" si="18"/>
        <v>4</v>
      </c>
      <c r="S37" s="21">
        <v>2</v>
      </c>
      <c r="T37" s="67">
        <v>98</v>
      </c>
      <c r="U37" s="65">
        <f>VLOOKUP(T37,المرجع!$B$3:$C$12,2)</f>
        <v>5</v>
      </c>
      <c r="V37" s="44" t="str">
        <f>VLOOKUP(U37,المرجع!$D$3:$E$12,2)</f>
        <v xml:space="preserve">أ+ </v>
      </c>
      <c r="W37" s="40">
        <f t="shared" si="19"/>
        <v>10</v>
      </c>
      <c r="X37" s="21">
        <v>2</v>
      </c>
      <c r="Y37" s="67">
        <v>100</v>
      </c>
      <c r="Z37" s="65">
        <f>VLOOKUP(Y37,المرجع!$B$3:$C$12,2)</f>
        <v>5</v>
      </c>
      <c r="AA37" s="44" t="str">
        <f>VLOOKUP(Z37,المرجع!$D$3:$E$12,2)</f>
        <v xml:space="preserve">أ+ </v>
      </c>
      <c r="AB37" s="40">
        <f t="shared" si="20"/>
        <v>10</v>
      </c>
      <c r="AC37" s="21">
        <v>2</v>
      </c>
      <c r="AD37" s="67">
        <v>72</v>
      </c>
      <c r="AE37" s="65">
        <f>VLOOKUP(AD37,المرجع!$B$3:$C$12,2)</f>
        <v>3</v>
      </c>
      <c r="AF37" s="44" t="str">
        <f>VLOOKUP(AE37,المرجع!$D$3:$E$12,2)</f>
        <v>ج</v>
      </c>
      <c r="AG37" s="40">
        <f t="shared" si="21"/>
        <v>6</v>
      </c>
      <c r="AH37" s="21">
        <v>2</v>
      </c>
      <c r="AI37" s="67">
        <v>50</v>
      </c>
      <c r="AJ37" s="65">
        <f>VLOOKUP(AI37,المرجع!$B$3:$C$12,2)</f>
        <v>2</v>
      </c>
      <c r="AK37" s="44" t="str">
        <f>VLOOKUP(AJ37,المرجع!$D$3:$E$12,2)</f>
        <v>د</v>
      </c>
      <c r="AL37" s="40">
        <f t="shared" si="22"/>
        <v>4</v>
      </c>
      <c r="AM37" s="21">
        <v>2</v>
      </c>
      <c r="AN37" s="67">
        <v>90</v>
      </c>
      <c r="AO37" s="65">
        <f>VLOOKUP(AN37,المرجع!$B$3:$C$12,2)</f>
        <v>4.75</v>
      </c>
      <c r="AP37" s="44" t="str">
        <f>VLOOKUP(AO37,المرجع!$D$3:$E$12,2)</f>
        <v>أ</v>
      </c>
      <c r="AQ37" s="40">
        <f t="shared" si="23"/>
        <v>9.5</v>
      </c>
      <c r="AR37" s="21">
        <v>2</v>
      </c>
      <c r="AS37" s="67">
        <v>58</v>
      </c>
      <c r="AT37" s="65">
        <f>VLOOKUP(AS37,المرجع!$B$3:$C$12,2)</f>
        <v>2</v>
      </c>
      <c r="AU37" s="44" t="str">
        <f>VLOOKUP(AT37,المرجع!$D$3:$E$12,2)</f>
        <v>د</v>
      </c>
      <c r="AV37" s="40">
        <f t="shared" si="24"/>
        <v>4</v>
      </c>
      <c r="AW37" s="21">
        <v>2</v>
      </c>
      <c r="AX37" s="67">
        <v>65</v>
      </c>
      <c r="AY37" s="65">
        <f>VLOOKUP(AX37,المرجع!$B$3:$C$12,2)</f>
        <v>2.5</v>
      </c>
      <c r="AZ37" s="44" t="str">
        <f>VLOOKUP(AY37,المرجع!$D$3:$E$12,2)</f>
        <v>د+</v>
      </c>
      <c r="BA37" s="40">
        <f t="shared" si="25"/>
        <v>5</v>
      </c>
      <c r="BB37" s="21">
        <v>2</v>
      </c>
      <c r="BC37" s="67">
        <v>86</v>
      </c>
      <c r="BD37" s="65">
        <f>VLOOKUP(BC37,المرجع!$B$3:$C$12,2)</f>
        <v>4.5</v>
      </c>
      <c r="BE37" s="44" t="str">
        <f>VLOOKUP(BD37,المرجع!$D$3:$E$12,2)</f>
        <v>ب+</v>
      </c>
      <c r="BF37" s="40">
        <f t="shared" si="26"/>
        <v>9</v>
      </c>
      <c r="BG37" s="21">
        <v>2</v>
      </c>
      <c r="BH37" s="67">
        <v>84</v>
      </c>
      <c r="BI37" s="65">
        <f>VLOOKUP(BH37,المرجع!$B$3:$C$12,2)</f>
        <v>4</v>
      </c>
      <c r="BJ37" s="44" t="str">
        <f>VLOOKUP(BI37,المرجع!$D$3:$E$12,2)</f>
        <v>ب</v>
      </c>
      <c r="BK37" s="40">
        <f t="shared" si="27"/>
        <v>8</v>
      </c>
      <c r="BL37" s="72">
        <f t="shared" si="15"/>
        <v>67.75</v>
      </c>
      <c r="BM37" s="73">
        <f t="shared" si="28"/>
        <v>23</v>
      </c>
      <c r="BN37" s="74">
        <f t="shared" si="29"/>
        <v>2.9456521739130435</v>
      </c>
      <c r="BO37" s="75"/>
      <c r="BP37" s="76" t="str">
        <f>VLOOKUP(BN37,المرجع!$D$3:$F$12,3)</f>
        <v xml:space="preserve">جيد </v>
      </c>
      <c r="BQ37" s="77">
        <f t="shared" si="30"/>
        <v>34</v>
      </c>
    </row>
    <row r="38" spans="2:69" ht="28.5">
      <c r="B38" s="66">
        <v>2023082</v>
      </c>
      <c r="C38" s="70" t="s">
        <v>59</v>
      </c>
      <c r="D38" s="21">
        <v>1</v>
      </c>
      <c r="E38" s="67">
        <v>95</v>
      </c>
      <c r="F38" s="65">
        <f>VLOOKUP(E38,المرجع!$B$3:$C$12,2)</f>
        <v>5</v>
      </c>
      <c r="G38" s="44" t="str">
        <f>VLOOKUP(F38,المرجع!$D$3:$E$12,2)</f>
        <v xml:space="preserve">أ+ </v>
      </c>
      <c r="H38" s="40">
        <f t="shared" si="16"/>
        <v>5</v>
      </c>
      <c r="I38" s="21">
        <v>2</v>
      </c>
      <c r="J38" s="67">
        <v>100</v>
      </c>
      <c r="K38" s="65">
        <f>VLOOKUP(J38,المرجع!$B$3:$C$12,2)</f>
        <v>5</v>
      </c>
      <c r="L38" s="44" t="str">
        <f>VLOOKUP(K38,المرجع!$D$3:$E$12,2)</f>
        <v xml:space="preserve">أ+ </v>
      </c>
      <c r="M38" s="40">
        <f t="shared" si="17"/>
        <v>10</v>
      </c>
      <c r="N38" s="21">
        <v>2</v>
      </c>
      <c r="O38" s="67">
        <v>50</v>
      </c>
      <c r="P38" s="65">
        <f>VLOOKUP(O38,المرجع!$B$3:$C$12,2)</f>
        <v>2</v>
      </c>
      <c r="Q38" s="44" t="str">
        <f>VLOOKUP(P38,المرجع!$D$3:$E$12,2)</f>
        <v>د</v>
      </c>
      <c r="R38" s="40">
        <f t="shared" si="18"/>
        <v>4</v>
      </c>
      <c r="S38" s="21">
        <v>2</v>
      </c>
      <c r="T38" s="67">
        <v>100</v>
      </c>
      <c r="U38" s="65">
        <f>VLOOKUP(T38,المرجع!$B$3:$C$12,2)</f>
        <v>5</v>
      </c>
      <c r="V38" s="44" t="str">
        <f>VLOOKUP(U38,المرجع!$D$3:$E$12,2)</f>
        <v xml:space="preserve">أ+ </v>
      </c>
      <c r="W38" s="40">
        <f t="shared" si="19"/>
        <v>10</v>
      </c>
      <c r="X38" s="21">
        <v>2</v>
      </c>
      <c r="Y38" s="67">
        <v>100</v>
      </c>
      <c r="Z38" s="65">
        <f>VLOOKUP(Y38,المرجع!$B$3:$C$12,2)</f>
        <v>5</v>
      </c>
      <c r="AA38" s="44" t="str">
        <f>VLOOKUP(Z38,المرجع!$D$3:$E$12,2)</f>
        <v xml:space="preserve">أ+ </v>
      </c>
      <c r="AB38" s="40">
        <f t="shared" si="20"/>
        <v>10</v>
      </c>
      <c r="AC38" s="21">
        <v>2</v>
      </c>
      <c r="AD38" s="67">
        <v>86</v>
      </c>
      <c r="AE38" s="65">
        <f>VLOOKUP(AD38,المرجع!$B$3:$C$12,2)</f>
        <v>4.5</v>
      </c>
      <c r="AF38" s="44" t="str">
        <f>VLOOKUP(AE38,المرجع!$D$3:$E$12,2)</f>
        <v>ب+</v>
      </c>
      <c r="AG38" s="40">
        <f t="shared" si="21"/>
        <v>9</v>
      </c>
      <c r="AH38" s="21">
        <v>2</v>
      </c>
      <c r="AI38" s="67">
        <v>55</v>
      </c>
      <c r="AJ38" s="65">
        <f>VLOOKUP(AI38,المرجع!$B$3:$C$12,2)</f>
        <v>2</v>
      </c>
      <c r="AK38" s="44" t="str">
        <f>VLOOKUP(AJ38,المرجع!$D$3:$E$12,2)</f>
        <v>د</v>
      </c>
      <c r="AL38" s="40">
        <f t="shared" si="22"/>
        <v>4</v>
      </c>
      <c r="AM38" s="21">
        <v>2</v>
      </c>
      <c r="AN38" s="67">
        <v>86</v>
      </c>
      <c r="AO38" s="65">
        <f>VLOOKUP(AN38,المرجع!$B$3:$C$12,2)</f>
        <v>4.5</v>
      </c>
      <c r="AP38" s="44" t="str">
        <f>VLOOKUP(AO38,المرجع!$D$3:$E$12,2)</f>
        <v>ب+</v>
      </c>
      <c r="AQ38" s="40">
        <f t="shared" si="23"/>
        <v>9</v>
      </c>
      <c r="AR38" s="21">
        <v>2</v>
      </c>
      <c r="AS38" s="67">
        <v>71</v>
      </c>
      <c r="AT38" s="65">
        <f>VLOOKUP(AS38,المرجع!$B$3:$C$12,2)</f>
        <v>3</v>
      </c>
      <c r="AU38" s="44" t="str">
        <f>VLOOKUP(AT38,المرجع!$D$3:$E$12,2)</f>
        <v>ج</v>
      </c>
      <c r="AV38" s="40">
        <f t="shared" si="24"/>
        <v>6</v>
      </c>
      <c r="AW38" s="21">
        <v>2</v>
      </c>
      <c r="AX38" s="67">
        <v>55</v>
      </c>
      <c r="AY38" s="65">
        <f>VLOOKUP(AX38,المرجع!$B$3:$C$12,2)</f>
        <v>2</v>
      </c>
      <c r="AZ38" s="44" t="str">
        <f>VLOOKUP(AY38,المرجع!$D$3:$E$12,2)</f>
        <v>د</v>
      </c>
      <c r="BA38" s="40">
        <f t="shared" si="25"/>
        <v>4</v>
      </c>
      <c r="BB38" s="21">
        <v>2</v>
      </c>
      <c r="BC38" s="67">
        <v>60</v>
      </c>
      <c r="BD38" s="65">
        <f>VLOOKUP(BC38,المرجع!$B$3:$C$12,2)</f>
        <v>2</v>
      </c>
      <c r="BE38" s="44" t="str">
        <f>VLOOKUP(BD38,المرجع!$D$3:$E$12,2)</f>
        <v>د</v>
      </c>
      <c r="BF38" s="40">
        <f t="shared" si="26"/>
        <v>4</v>
      </c>
      <c r="BG38" s="21">
        <v>2</v>
      </c>
      <c r="BH38" s="67">
        <v>77</v>
      </c>
      <c r="BI38" s="65">
        <f>VLOOKUP(BH38,المرجع!$B$3:$C$12,2)</f>
        <v>3.5</v>
      </c>
      <c r="BJ38" s="44" t="str">
        <f>VLOOKUP(BI38,المرجع!$D$3:$E$12,2)</f>
        <v>ج+</v>
      </c>
      <c r="BK38" s="40">
        <f t="shared" si="27"/>
        <v>7</v>
      </c>
      <c r="BL38" s="72">
        <f t="shared" si="15"/>
        <v>68</v>
      </c>
      <c r="BM38" s="73">
        <f t="shared" si="28"/>
        <v>23</v>
      </c>
      <c r="BN38" s="74">
        <f t="shared" si="29"/>
        <v>2.9565217391304346</v>
      </c>
      <c r="BO38" s="75"/>
      <c r="BP38" s="76" t="str">
        <f>VLOOKUP(BN38,المرجع!$D$3:$F$12,3)</f>
        <v xml:space="preserve">جيد </v>
      </c>
      <c r="BQ38" s="77">
        <f t="shared" si="30"/>
        <v>33</v>
      </c>
    </row>
    <row r="39" spans="2:69" ht="28.5">
      <c r="B39" s="66">
        <v>2023017</v>
      </c>
      <c r="C39" s="70" t="s">
        <v>15</v>
      </c>
      <c r="D39" s="21">
        <v>1</v>
      </c>
      <c r="E39" s="67">
        <v>96</v>
      </c>
      <c r="F39" s="65">
        <f>VLOOKUP(E39,المرجع!$B$3:$C$12,2)</f>
        <v>5</v>
      </c>
      <c r="G39" s="44" t="str">
        <f>VLOOKUP(F39,المرجع!$D$3:$E$12,2)</f>
        <v xml:space="preserve">أ+ </v>
      </c>
      <c r="H39" s="40">
        <f t="shared" si="16"/>
        <v>5</v>
      </c>
      <c r="I39" s="21">
        <v>2</v>
      </c>
      <c r="J39" s="67">
        <v>90</v>
      </c>
      <c r="K39" s="65">
        <f>VLOOKUP(J39,المرجع!$B$3:$C$12,2)</f>
        <v>4.75</v>
      </c>
      <c r="L39" s="44" t="str">
        <f>VLOOKUP(K39,المرجع!$D$3:$E$12,2)</f>
        <v>أ</v>
      </c>
      <c r="M39" s="40">
        <f t="shared" si="17"/>
        <v>9.5</v>
      </c>
      <c r="N39" s="21">
        <v>2</v>
      </c>
      <c r="O39" s="67">
        <v>50</v>
      </c>
      <c r="P39" s="65">
        <f>VLOOKUP(O39,المرجع!$B$3:$C$12,2)</f>
        <v>2</v>
      </c>
      <c r="Q39" s="44" t="str">
        <f>VLOOKUP(P39,المرجع!$D$3:$E$12,2)</f>
        <v>د</v>
      </c>
      <c r="R39" s="40">
        <f t="shared" si="18"/>
        <v>4</v>
      </c>
      <c r="S39" s="21">
        <v>2</v>
      </c>
      <c r="T39" s="67">
        <v>98</v>
      </c>
      <c r="U39" s="65">
        <f>VLOOKUP(T39,المرجع!$B$3:$C$12,2)</f>
        <v>5</v>
      </c>
      <c r="V39" s="44" t="str">
        <f>VLOOKUP(U39,المرجع!$D$3:$E$12,2)</f>
        <v xml:space="preserve">أ+ </v>
      </c>
      <c r="W39" s="40">
        <f t="shared" si="19"/>
        <v>10</v>
      </c>
      <c r="X39" s="21">
        <v>2</v>
      </c>
      <c r="Y39" s="67">
        <v>98</v>
      </c>
      <c r="Z39" s="65">
        <f>VLOOKUP(Y39,المرجع!$B$3:$C$12,2)</f>
        <v>5</v>
      </c>
      <c r="AA39" s="44" t="str">
        <f>VLOOKUP(Z39,المرجع!$D$3:$E$12,2)</f>
        <v xml:space="preserve">أ+ </v>
      </c>
      <c r="AB39" s="40">
        <f t="shared" si="20"/>
        <v>10</v>
      </c>
      <c r="AC39" s="21">
        <v>2</v>
      </c>
      <c r="AD39" s="67">
        <v>73</v>
      </c>
      <c r="AE39" s="65">
        <f>VLOOKUP(AD39,المرجع!$B$3:$C$12,2)</f>
        <v>3</v>
      </c>
      <c r="AF39" s="44" t="str">
        <f>VLOOKUP(AE39,المرجع!$D$3:$E$12,2)</f>
        <v>ج</v>
      </c>
      <c r="AG39" s="40">
        <f t="shared" si="21"/>
        <v>6</v>
      </c>
      <c r="AH39" s="21">
        <v>2</v>
      </c>
      <c r="AI39" s="67">
        <v>50</v>
      </c>
      <c r="AJ39" s="65">
        <f>VLOOKUP(AI39,المرجع!$B$3:$C$12,2)</f>
        <v>2</v>
      </c>
      <c r="AK39" s="44" t="str">
        <f>VLOOKUP(AJ39,المرجع!$D$3:$E$12,2)</f>
        <v>د</v>
      </c>
      <c r="AL39" s="40">
        <f t="shared" si="22"/>
        <v>4</v>
      </c>
      <c r="AM39" s="21">
        <v>2</v>
      </c>
      <c r="AN39" s="67">
        <v>87</v>
      </c>
      <c r="AO39" s="65">
        <f>VLOOKUP(AN39,المرجع!$B$3:$C$12,2)</f>
        <v>4.5</v>
      </c>
      <c r="AP39" s="44" t="str">
        <f>VLOOKUP(AO39,المرجع!$D$3:$E$12,2)</f>
        <v>ب+</v>
      </c>
      <c r="AQ39" s="40">
        <f t="shared" si="23"/>
        <v>9</v>
      </c>
      <c r="AR39" s="21">
        <v>2</v>
      </c>
      <c r="AS39" s="67">
        <v>72</v>
      </c>
      <c r="AT39" s="65">
        <f>VLOOKUP(AS39,المرجع!$B$3:$C$12,2)</f>
        <v>3</v>
      </c>
      <c r="AU39" s="44" t="str">
        <f>VLOOKUP(AT39,المرجع!$D$3:$E$12,2)</f>
        <v>ج</v>
      </c>
      <c r="AV39" s="40">
        <f t="shared" si="24"/>
        <v>6</v>
      </c>
      <c r="AW39" s="21">
        <v>2</v>
      </c>
      <c r="AX39" s="67">
        <v>60</v>
      </c>
      <c r="AY39" s="65">
        <f>VLOOKUP(AX39,المرجع!$B$3:$C$12,2)</f>
        <v>2</v>
      </c>
      <c r="AZ39" s="44" t="str">
        <f>VLOOKUP(AY39,المرجع!$D$3:$E$12,2)</f>
        <v>د</v>
      </c>
      <c r="BA39" s="40">
        <f t="shared" si="25"/>
        <v>4</v>
      </c>
      <c r="BB39" s="21">
        <v>2</v>
      </c>
      <c r="BC39" s="67">
        <v>72</v>
      </c>
      <c r="BD39" s="65">
        <f>VLOOKUP(BC39,المرجع!$B$3:$C$12,2)</f>
        <v>3</v>
      </c>
      <c r="BE39" s="44" t="str">
        <f>VLOOKUP(BD39,المرجع!$D$3:$E$12,2)</f>
        <v>ج</v>
      </c>
      <c r="BF39" s="40">
        <f t="shared" si="26"/>
        <v>6</v>
      </c>
      <c r="BG39" s="21">
        <v>2</v>
      </c>
      <c r="BH39" s="67">
        <v>88</v>
      </c>
      <c r="BI39" s="65">
        <f>VLOOKUP(BH39,المرجع!$B$3:$C$12,2)</f>
        <v>4.5</v>
      </c>
      <c r="BJ39" s="44" t="str">
        <f>VLOOKUP(BI39,المرجع!$D$3:$E$12,2)</f>
        <v>ب+</v>
      </c>
      <c r="BK39" s="40">
        <f t="shared" si="27"/>
        <v>9</v>
      </c>
      <c r="BL39" s="72">
        <f t="shared" si="15"/>
        <v>64.5</v>
      </c>
      <c r="BM39" s="73">
        <f t="shared" si="28"/>
        <v>23</v>
      </c>
      <c r="BN39" s="74">
        <f t="shared" si="29"/>
        <v>2.8043478260869565</v>
      </c>
      <c r="BO39" s="75"/>
      <c r="BP39" s="76" t="str">
        <f>VLOOKUP(BN39,المرجع!$D$3:$F$12,3)</f>
        <v xml:space="preserve">جيد </v>
      </c>
      <c r="BQ39" s="77">
        <f t="shared" si="30"/>
        <v>41</v>
      </c>
    </row>
    <row r="40" spans="2:69" ht="28.5">
      <c r="B40" s="66">
        <v>2023053</v>
      </c>
      <c r="C40" s="70" t="s">
        <v>86</v>
      </c>
      <c r="D40" s="21">
        <v>1</v>
      </c>
      <c r="E40" s="67">
        <v>95</v>
      </c>
      <c r="F40" s="65">
        <f>VLOOKUP(E40,المرجع!$B$3:$C$12,2)</f>
        <v>5</v>
      </c>
      <c r="G40" s="44" t="str">
        <f>VLOOKUP(F40,المرجع!$D$3:$E$12,2)</f>
        <v xml:space="preserve">أ+ </v>
      </c>
      <c r="H40" s="40">
        <f t="shared" si="16"/>
        <v>5</v>
      </c>
      <c r="I40" s="21">
        <v>2</v>
      </c>
      <c r="J40" s="67">
        <v>100</v>
      </c>
      <c r="K40" s="65">
        <f>VLOOKUP(J40,المرجع!$B$3:$C$12,2)</f>
        <v>5</v>
      </c>
      <c r="L40" s="44" t="str">
        <f>VLOOKUP(K40,المرجع!$D$3:$E$12,2)</f>
        <v xml:space="preserve">أ+ </v>
      </c>
      <c r="M40" s="40">
        <f t="shared" si="17"/>
        <v>10</v>
      </c>
      <c r="N40" s="21">
        <v>2</v>
      </c>
      <c r="O40" s="67">
        <v>50</v>
      </c>
      <c r="P40" s="65">
        <f>VLOOKUP(O40,المرجع!$B$3:$C$12,2)</f>
        <v>2</v>
      </c>
      <c r="Q40" s="44" t="str">
        <f>VLOOKUP(P40,المرجع!$D$3:$E$12,2)</f>
        <v>د</v>
      </c>
      <c r="R40" s="40">
        <f t="shared" si="18"/>
        <v>4</v>
      </c>
      <c r="S40" s="21">
        <v>2</v>
      </c>
      <c r="T40" s="67">
        <v>70</v>
      </c>
      <c r="U40" s="65">
        <f>VLOOKUP(T40,المرجع!$B$3:$C$12,2)</f>
        <v>3</v>
      </c>
      <c r="V40" s="44" t="str">
        <f>VLOOKUP(U40,المرجع!$D$3:$E$12,2)</f>
        <v>ج</v>
      </c>
      <c r="W40" s="40">
        <f t="shared" si="19"/>
        <v>6</v>
      </c>
      <c r="X40" s="21">
        <v>2</v>
      </c>
      <c r="Y40" s="67">
        <v>70</v>
      </c>
      <c r="Z40" s="65">
        <f>VLOOKUP(Y40,المرجع!$B$3:$C$12,2)</f>
        <v>3</v>
      </c>
      <c r="AA40" s="44" t="str">
        <f>VLOOKUP(Z40,المرجع!$D$3:$E$12,2)</f>
        <v>ج</v>
      </c>
      <c r="AB40" s="40">
        <f t="shared" si="20"/>
        <v>6</v>
      </c>
      <c r="AC40" s="21">
        <v>2</v>
      </c>
      <c r="AD40" s="67">
        <v>82</v>
      </c>
      <c r="AE40" s="65">
        <f>VLOOKUP(AD40,المرجع!$B$3:$C$12,2)</f>
        <v>4</v>
      </c>
      <c r="AF40" s="44" t="str">
        <f>VLOOKUP(AE40,المرجع!$D$3:$E$12,2)</f>
        <v>ب</v>
      </c>
      <c r="AG40" s="40">
        <f t="shared" si="21"/>
        <v>8</v>
      </c>
      <c r="AH40" s="21">
        <v>2</v>
      </c>
      <c r="AI40" s="67">
        <v>60</v>
      </c>
      <c r="AJ40" s="65">
        <f>VLOOKUP(AI40,المرجع!$B$3:$C$12,2)</f>
        <v>2</v>
      </c>
      <c r="AK40" s="44" t="str">
        <f>VLOOKUP(AJ40,المرجع!$D$3:$E$12,2)</f>
        <v>د</v>
      </c>
      <c r="AL40" s="40">
        <f t="shared" si="22"/>
        <v>4</v>
      </c>
      <c r="AM40" s="21">
        <v>2</v>
      </c>
      <c r="AN40" s="67">
        <v>55</v>
      </c>
      <c r="AO40" s="65">
        <f>VLOOKUP(AN40,المرجع!$B$3:$C$12,2)</f>
        <v>2</v>
      </c>
      <c r="AP40" s="44" t="str">
        <f>VLOOKUP(AO40,المرجع!$D$3:$E$12,2)</f>
        <v>د</v>
      </c>
      <c r="AQ40" s="40">
        <f t="shared" si="23"/>
        <v>4</v>
      </c>
      <c r="AR40" s="21">
        <v>2</v>
      </c>
      <c r="AS40" s="67">
        <v>75</v>
      </c>
      <c r="AT40" s="65">
        <f>VLOOKUP(AS40,المرجع!$B$3:$C$12,2)</f>
        <v>3.5</v>
      </c>
      <c r="AU40" s="44" t="str">
        <f>VLOOKUP(AT40,المرجع!$D$3:$E$12,2)</f>
        <v>ج+</v>
      </c>
      <c r="AV40" s="40">
        <f t="shared" si="24"/>
        <v>7</v>
      </c>
      <c r="AW40" s="21">
        <v>2</v>
      </c>
      <c r="AX40" s="67">
        <v>85</v>
      </c>
      <c r="AY40" s="65">
        <f>VLOOKUP(AX40,المرجع!$B$3:$C$12,2)</f>
        <v>4.5</v>
      </c>
      <c r="AZ40" s="44" t="str">
        <f>VLOOKUP(AY40,المرجع!$D$3:$E$12,2)</f>
        <v>ب+</v>
      </c>
      <c r="BA40" s="40">
        <f t="shared" si="25"/>
        <v>9</v>
      </c>
      <c r="BB40" s="21">
        <v>2</v>
      </c>
      <c r="BC40" s="67">
        <v>90</v>
      </c>
      <c r="BD40" s="65">
        <f>VLOOKUP(BC40,المرجع!$B$3:$C$12,2)</f>
        <v>4.75</v>
      </c>
      <c r="BE40" s="44" t="str">
        <f>VLOOKUP(BD40,المرجع!$D$3:$E$12,2)</f>
        <v>أ</v>
      </c>
      <c r="BF40" s="40">
        <f t="shared" si="26"/>
        <v>9.5</v>
      </c>
      <c r="BG40" s="21">
        <v>2</v>
      </c>
      <c r="BH40" s="67">
        <v>87</v>
      </c>
      <c r="BI40" s="65">
        <f>VLOOKUP(BH40,المرجع!$B$3:$C$12,2)</f>
        <v>4.5</v>
      </c>
      <c r="BJ40" s="44" t="str">
        <f>VLOOKUP(BI40,المرجع!$D$3:$E$12,2)</f>
        <v>ب+</v>
      </c>
      <c r="BK40" s="40">
        <f t="shared" si="27"/>
        <v>9</v>
      </c>
      <c r="BL40" s="72">
        <f t="shared" si="15"/>
        <v>63.5</v>
      </c>
      <c r="BM40" s="73">
        <f t="shared" si="28"/>
        <v>23</v>
      </c>
      <c r="BN40" s="74">
        <f t="shared" si="29"/>
        <v>2.7608695652173911</v>
      </c>
      <c r="BO40" s="75"/>
      <c r="BP40" s="76" t="str">
        <f>VLOOKUP(BN40,المرجع!$D$3:$F$12,3)</f>
        <v xml:space="preserve">جيد </v>
      </c>
      <c r="BQ40" s="77">
        <f t="shared" si="30"/>
        <v>46</v>
      </c>
    </row>
    <row r="41" spans="2:69" ht="28.5">
      <c r="B41" s="66">
        <v>2023047</v>
      </c>
      <c r="C41" s="70" t="s">
        <v>21</v>
      </c>
      <c r="D41" s="21">
        <v>1</v>
      </c>
      <c r="E41" s="67">
        <v>93</v>
      </c>
      <c r="F41" s="65">
        <f>VLOOKUP(E41,المرجع!$B$3:$C$12,2)</f>
        <v>4.75</v>
      </c>
      <c r="G41" s="44" t="str">
        <f>VLOOKUP(F41,المرجع!$D$3:$E$12,2)</f>
        <v>أ</v>
      </c>
      <c r="H41" s="40">
        <f t="shared" si="16"/>
        <v>4.75</v>
      </c>
      <c r="I41" s="21">
        <v>2</v>
      </c>
      <c r="J41" s="67">
        <v>98</v>
      </c>
      <c r="K41" s="65">
        <f>VLOOKUP(J41,المرجع!$B$3:$C$12,2)</f>
        <v>5</v>
      </c>
      <c r="L41" s="44" t="str">
        <f>VLOOKUP(K41,المرجع!$D$3:$E$12,2)</f>
        <v xml:space="preserve">أ+ </v>
      </c>
      <c r="M41" s="40">
        <f t="shared" si="17"/>
        <v>10</v>
      </c>
      <c r="N41" s="21">
        <v>2</v>
      </c>
      <c r="O41" s="67">
        <v>50</v>
      </c>
      <c r="P41" s="65">
        <f>VLOOKUP(O41,المرجع!$B$3:$C$12,2)</f>
        <v>2</v>
      </c>
      <c r="Q41" s="44" t="str">
        <f>VLOOKUP(P41,المرجع!$D$3:$E$12,2)</f>
        <v>د</v>
      </c>
      <c r="R41" s="40">
        <f t="shared" si="18"/>
        <v>4</v>
      </c>
      <c r="S41" s="21">
        <v>2</v>
      </c>
      <c r="T41" s="67">
        <v>100</v>
      </c>
      <c r="U41" s="65">
        <f>VLOOKUP(T41,المرجع!$B$3:$C$12,2)</f>
        <v>5</v>
      </c>
      <c r="V41" s="44" t="str">
        <f>VLOOKUP(U41,المرجع!$D$3:$E$12,2)</f>
        <v xml:space="preserve">أ+ </v>
      </c>
      <c r="W41" s="40">
        <f t="shared" si="19"/>
        <v>10</v>
      </c>
      <c r="X41" s="21">
        <v>2</v>
      </c>
      <c r="Y41" s="67">
        <v>82</v>
      </c>
      <c r="Z41" s="65">
        <f>VLOOKUP(Y41,المرجع!$B$3:$C$12,2)</f>
        <v>4</v>
      </c>
      <c r="AA41" s="44" t="str">
        <f>VLOOKUP(Z41,المرجع!$D$3:$E$12,2)</f>
        <v>ب</v>
      </c>
      <c r="AB41" s="40">
        <f t="shared" si="20"/>
        <v>8</v>
      </c>
      <c r="AC41" s="21">
        <v>2</v>
      </c>
      <c r="AD41" s="67">
        <v>73</v>
      </c>
      <c r="AE41" s="65">
        <f>VLOOKUP(AD41,المرجع!$B$3:$C$12,2)</f>
        <v>3</v>
      </c>
      <c r="AF41" s="44" t="str">
        <f>VLOOKUP(AE41,المرجع!$D$3:$E$12,2)</f>
        <v>ج</v>
      </c>
      <c r="AG41" s="40">
        <f t="shared" si="21"/>
        <v>6</v>
      </c>
      <c r="AH41" s="21">
        <v>2</v>
      </c>
      <c r="AI41" s="67">
        <v>57</v>
      </c>
      <c r="AJ41" s="65">
        <f>VLOOKUP(AI41,المرجع!$B$3:$C$12,2)</f>
        <v>2</v>
      </c>
      <c r="AK41" s="44" t="str">
        <f>VLOOKUP(AJ41,المرجع!$D$3:$E$12,2)</f>
        <v>د</v>
      </c>
      <c r="AL41" s="40">
        <f t="shared" si="22"/>
        <v>4</v>
      </c>
      <c r="AM41" s="21">
        <v>2</v>
      </c>
      <c r="AN41" s="67">
        <v>77</v>
      </c>
      <c r="AO41" s="65">
        <f>VLOOKUP(AN41,المرجع!$B$3:$C$12,2)</f>
        <v>3.5</v>
      </c>
      <c r="AP41" s="44" t="str">
        <f>VLOOKUP(AO41,المرجع!$D$3:$E$12,2)</f>
        <v>ج+</v>
      </c>
      <c r="AQ41" s="40">
        <f t="shared" si="23"/>
        <v>7</v>
      </c>
      <c r="AR41" s="21">
        <v>2</v>
      </c>
      <c r="AS41" s="67">
        <v>75</v>
      </c>
      <c r="AT41" s="65">
        <f>VLOOKUP(AS41,المرجع!$B$3:$C$12,2)</f>
        <v>3.5</v>
      </c>
      <c r="AU41" s="44" t="str">
        <f>VLOOKUP(AT41,المرجع!$D$3:$E$12,2)</f>
        <v>ج+</v>
      </c>
      <c r="AV41" s="40">
        <f t="shared" si="24"/>
        <v>7</v>
      </c>
      <c r="AW41" s="21">
        <v>2</v>
      </c>
      <c r="AX41" s="67">
        <v>65</v>
      </c>
      <c r="AY41" s="65">
        <f>VLOOKUP(AX41,المرجع!$B$3:$C$12,2)</f>
        <v>2.5</v>
      </c>
      <c r="AZ41" s="44" t="str">
        <f>VLOOKUP(AY41,المرجع!$D$3:$E$12,2)</f>
        <v>د+</v>
      </c>
      <c r="BA41" s="40">
        <f t="shared" si="25"/>
        <v>5</v>
      </c>
      <c r="BB41" s="21">
        <v>2</v>
      </c>
      <c r="BC41" s="67">
        <v>85</v>
      </c>
      <c r="BD41" s="65">
        <f>VLOOKUP(BC41,المرجع!$B$3:$C$12,2)</f>
        <v>4.5</v>
      </c>
      <c r="BE41" s="44" t="str">
        <f>VLOOKUP(BD41,المرجع!$D$3:$E$12,2)</f>
        <v>ب+</v>
      </c>
      <c r="BF41" s="40">
        <f t="shared" si="26"/>
        <v>9</v>
      </c>
      <c r="BG41" s="21">
        <v>2</v>
      </c>
      <c r="BH41" s="67">
        <v>77</v>
      </c>
      <c r="BI41" s="65">
        <f>VLOOKUP(BH41,المرجع!$B$3:$C$12,2)</f>
        <v>3.5</v>
      </c>
      <c r="BJ41" s="44" t="str">
        <f>VLOOKUP(BI41,المرجع!$D$3:$E$12,2)</f>
        <v>ج+</v>
      </c>
      <c r="BK41" s="40">
        <f t="shared" si="27"/>
        <v>7</v>
      </c>
      <c r="BL41" s="72">
        <f t="shared" si="15"/>
        <v>67.75</v>
      </c>
      <c r="BM41" s="73">
        <f t="shared" si="28"/>
        <v>23</v>
      </c>
      <c r="BN41" s="74">
        <f t="shared" si="29"/>
        <v>2.9456521739130435</v>
      </c>
      <c r="BO41" s="75"/>
      <c r="BP41" s="76" t="str">
        <f>VLOOKUP(BN41,المرجع!$D$3:$F$12,3)</f>
        <v xml:space="preserve">جيد </v>
      </c>
      <c r="BQ41" s="77">
        <f t="shared" si="30"/>
        <v>34</v>
      </c>
    </row>
    <row r="42" spans="2:69" ht="28.5">
      <c r="B42" s="66">
        <v>2023009</v>
      </c>
      <c r="C42" s="70" t="s">
        <v>19</v>
      </c>
      <c r="D42" s="21">
        <v>1</v>
      </c>
      <c r="E42" s="67">
        <v>98</v>
      </c>
      <c r="F42" s="65">
        <f>VLOOKUP(E42,المرجع!$B$3:$C$12,2)</f>
        <v>5</v>
      </c>
      <c r="G42" s="44" t="str">
        <f>VLOOKUP(F42,المرجع!$D$3:$E$12,2)</f>
        <v xml:space="preserve">أ+ </v>
      </c>
      <c r="H42" s="40">
        <f t="shared" si="16"/>
        <v>5</v>
      </c>
      <c r="I42" s="21">
        <v>2</v>
      </c>
      <c r="J42" s="67">
        <v>100</v>
      </c>
      <c r="K42" s="65">
        <f>VLOOKUP(J42,المرجع!$B$3:$C$12,2)</f>
        <v>5</v>
      </c>
      <c r="L42" s="44" t="str">
        <f>VLOOKUP(K42,المرجع!$D$3:$E$12,2)</f>
        <v xml:space="preserve">أ+ </v>
      </c>
      <c r="M42" s="40">
        <f t="shared" si="17"/>
        <v>10</v>
      </c>
      <c r="N42" s="21">
        <v>2</v>
      </c>
      <c r="O42" s="67">
        <v>50</v>
      </c>
      <c r="P42" s="65">
        <f>VLOOKUP(O42,المرجع!$B$3:$C$12,2)</f>
        <v>2</v>
      </c>
      <c r="Q42" s="44" t="str">
        <f>VLOOKUP(P42,المرجع!$D$3:$E$12,2)</f>
        <v>د</v>
      </c>
      <c r="R42" s="40">
        <f t="shared" si="18"/>
        <v>4</v>
      </c>
      <c r="S42" s="21">
        <v>2</v>
      </c>
      <c r="T42" s="67">
        <v>100</v>
      </c>
      <c r="U42" s="65">
        <f>VLOOKUP(T42,المرجع!$B$3:$C$12,2)</f>
        <v>5</v>
      </c>
      <c r="V42" s="44" t="str">
        <f>VLOOKUP(U42,المرجع!$D$3:$E$12,2)</f>
        <v xml:space="preserve">أ+ </v>
      </c>
      <c r="W42" s="40">
        <f t="shared" si="19"/>
        <v>10</v>
      </c>
      <c r="X42" s="21">
        <v>2</v>
      </c>
      <c r="Y42" s="67">
        <v>100</v>
      </c>
      <c r="Z42" s="65">
        <f>VLOOKUP(Y42,المرجع!$B$3:$C$12,2)</f>
        <v>5</v>
      </c>
      <c r="AA42" s="44" t="str">
        <f>VLOOKUP(Z42,المرجع!$D$3:$E$12,2)</f>
        <v xml:space="preserve">أ+ </v>
      </c>
      <c r="AB42" s="40">
        <f t="shared" si="20"/>
        <v>10</v>
      </c>
      <c r="AC42" s="21">
        <v>2</v>
      </c>
      <c r="AD42" s="67">
        <v>54</v>
      </c>
      <c r="AE42" s="65">
        <f>VLOOKUP(AD42,المرجع!$B$3:$C$12,2)</f>
        <v>2</v>
      </c>
      <c r="AF42" s="44" t="str">
        <f>VLOOKUP(AE42,المرجع!$D$3:$E$12,2)</f>
        <v>د</v>
      </c>
      <c r="AG42" s="40">
        <f t="shared" si="21"/>
        <v>4</v>
      </c>
      <c r="AH42" s="21">
        <v>2</v>
      </c>
      <c r="AI42" s="67">
        <v>55</v>
      </c>
      <c r="AJ42" s="65">
        <f>VLOOKUP(AI42,المرجع!$B$3:$C$12,2)</f>
        <v>2</v>
      </c>
      <c r="AK42" s="44" t="str">
        <f>VLOOKUP(AJ42,المرجع!$D$3:$E$12,2)</f>
        <v>د</v>
      </c>
      <c r="AL42" s="40">
        <f t="shared" si="22"/>
        <v>4</v>
      </c>
      <c r="AM42" s="21">
        <v>2</v>
      </c>
      <c r="AN42" s="67">
        <v>73</v>
      </c>
      <c r="AO42" s="65">
        <f>VLOOKUP(AN42,المرجع!$B$3:$C$12,2)</f>
        <v>3</v>
      </c>
      <c r="AP42" s="44" t="str">
        <f>VLOOKUP(AO42,المرجع!$D$3:$E$12,2)</f>
        <v>ج</v>
      </c>
      <c r="AQ42" s="40">
        <f t="shared" si="23"/>
        <v>6</v>
      </c>
      <c r="AR42" s="21">
        <v>2</v>
      </c>
      <c r="AS42" s="67">
        <v>56</v>
      </c>
      <c r="AT42" s="65">
        <f>VLOOKUP(AS42,المرجع!$B$3:$C$12,2)</f>
        <v>2</v>
      </c>
      <c r="AU42" s="44" t="str">
        <f>VLOOKUP(AT42,المرجع!$D$3:$E$12,2)</f>
        <v>د</v>
      </c>
      <c r="AV42" s="40">
        <f t="shared" si="24"/>
        <v>4</v>
      </c>
      <c r="AW42" s="21">
        <v>2</v>
      </c>
      <c r="AX42" s="67">
        <v>65</v>
      </c>
      <c r="AY42" s="65">
        <f>VLOOKUP(AX42,المرجع!$B$3:$C$12,2)</f>
        <v>2.5</v>
      </c>
      <c r="AZ42" s="44" t="str">
        <f>VLOOKUP(AY42,المرجع!$D$3:$E$12,2)</f>
        <v>د+</v>
      </c>
      <c r="BA42" s="40">
        <f t="shared" si="25"/>
        <v>5</v>
      </c>
      <c r="BB42" s="21">
        <v>2</v>
      </c>
      <c r="BC42" s="67">
        <v>89</v>
      </c>
      <c r="BD42" s="65">
        <f>VLOOKUP(BC42,المرجع!$B$3:$C$12,2)</f>
        <v>4.5</v>
      </c>
      <c r="BE42" s="44" t="str">
        <f>VLOOKUP(BD42,المرجع!$D$3:$E$12,2)</f>
        <v>ب+</v>
      </c>
      <c r="BF42" s="40">
        <f t="shared" si="26"/>
        <v>9</v>
      </c>
      <c r="BG42" s="21">
        <v>2</v>
      </c>
      <c r="BH42" s="67">
        <v>92</v>
      </c>
      <c r="BI42" s="65">
        <f>VLOOKUP(BH42,المرجع!$B$3:$C$12,2)</f>
        <v>4.75</v>
      </c>
      <c r="BJ42" s="44" t="str">
        <f>VLOOKUP(BI42,المرجع!$D$3:$E$12,2)</f>
        <v>أ</v>
      </c>
      <c r="BK42" s="40">
        <f t="shared" si="27"/>
        <v>9.5</v>
      </c>
      <c r="BL42" s="72">
        <f t="shared" si="15"/>
        <v>61.5</v>
      </c>
      <c r="BM42" s="73">
        <f t="shared" si="28"/>
        <v>23</v>
      </c>
      <c r="BN42" s="74">
        <f t="shared" si="29"/>
        <v>2.6739130434782608</v>
      </c>
      <c r="BO42" s="75"/>
      <c r="BP42" s="76" t="str">
        <f>VLOOKUP(BN42,المرجع!$D$3:$F$12,3)</f>
        <v xml:space="preserve">جيد </v>
      </c>
      <c r="BQ42" s="77">
        <f t="shared" si="30"/>
        <v>52</v>
      </c>
    </row>
    <row r="43" spans="2:69" ht="28.5">
      <c r="B43" s="66">
        <v>2023129</v>
      </c>
      <c r="C43" s="70" t="s">
        <v>92</v>
      </c>
      <c r="D43" s="21">
        <v>1</v>
      </c>
      <c r="E43" s="67">
        <v>95</v>
      </c>
      <c r="F43" s="65">
        <f>VLOOKUP(E43,المرجع!$B$3:$C$12,2)</f>
        <v>5</v>
      </c>
      <c r="G43" s="44" t="str">
        <f>VLOOKUP(F43,المرجع!$D$3:$E$12,2)</f>
        <v xml:space="preserve">أ+ </v>
      </c>
      <c r="H43" s="40">
        <f t="shared" si="16"/>
        <v>5</v>
      </c>
      <c r="I43" s="21">
        <v>2</v>
      </c>
      <c r="J43" s="67">
        <v>90</v>
      </c>
      <c r="K43" s="65">
        <f>VLOOKUP(J43,المرجع!$B$3:$C$12,2)</f>
        <v>4.75</v>
      </c>
      <c r="L43" s="44" t="str">
        <f>VLOOKUP(K43,المرجع!$D$3:$E$12,2)</f>
        <v>أ</v>
      </c>
      <c r="M43" s="40">
        <f t="shared" si="17"/>
        <v>9.5</v>
      </c>
      <c r="N43" s="21">
        <v>2</v>
      </c>
      <c r="O43" s="67">
        <v>50</v>
      </c>
      <c r="P43" s="65">
        <f>VLOOKUP(O43,المرجع!$B$3:$C$12,2)</f>
        <v>2</v>
      </c>
      <c r="Q43" s="44" t="str">
        <f>VLOOKUP(P43,المرجع!$D$3:$E$12,2)</f>
        <v>د</v>
      </c>
      <c r="R43" s="40">
        <f t="shared" si="18"/>
        <v>4</v>
      </c>
      <c r="S43" s="21">
        <v>2</v>
      </c>
      <c r="T43" s="67">
        <v>97</v>
      </c>
      <c r="U43" s="65">
        <f>VLOOKUP(T43,المرجع!$B$3:$C$12,2)</f>
        <v>5</v>
      </c>
      <c r="V43" s="44" t="str">
        <f>VLOOKUP(U43,المرجع!$D$3:$E$12,2)</f>
        <v xml:space="preserve">أ+ </v>
      </c>
      <c r="W43" s="40">
        <f t="shared" si="19"/>
        <v>10</v>
      </c>
      <c r="X43" s="21">
        <v>2</v>
      </c>
      <c r="Y43" s="67">
        <v>89</v>
      </c>
      <c r="Z43" s="65">
        <f>VLOOKUP(Y43,المرجع!$B$3:$C$12,2)</f>
        <v>4.5</v>
      </c>
      <c r="AA43" s="44" t="str">
        <f>VLOOKUP(Z43,المرجع!$D$3:$E$12,2)</f>
        <v>ب+</v>
      </c>
      <c r="AB43" s="40">
        <f t="shared" si="20"/>
        <v>9</v>
      </c>
      <c r="AC43" s="21">
        <v>2</v>
      </c>
      <c r="AD43" s="67">
        <v>50</v>
      </c>
      <c r="AE43" s="65">
        <f>VLOOKUP(AD43,المرجع!$B$3:$C$12,2)</f>
        <v>2</v>
      </c>
      <c r="AF43" s="44" t="str">
        <f>VLOOKUP(AE43,المرجع!$D$3:$E$12,2)</f>
        <v>د</v>
      </c>
      <c r="AG43" s="40">
        <f t="shared" si="21"/>
        <v>4</v>
      </c>
      <c r="AH43" s="21">
        <v>2</v>
      </c>
      <c r="AI43" s="67">
        <v>69</v>
      </c>
      <c r="AJ43" s="65">
        <f>VLOOKUP(AI43,المرجع!$B$3:$C$12,2)</f>
        <v>2.5</v>
      </c>
      <c r="AK43" s="44" t="str">
        <f>VLOOKUP(AJ43,المرجع!$D$3:$E$12,2)</f>
        <v>د+</v>
      </c>
      <c r="AL43" s="40">
        <f t="shared" si="22"/>
        <v>5</v>
      </c>
      <c r="AM43" s="21">
        <v>2</v>
      </c>
      <c r="AN43" s="67">
        <v>78</v>
      </c>
      <c r="AO43" s="65">
        <f>VLOOKUP(AN43,المرجع!$B$3:$C$12,2)</f>
        <v>3.5</v>
      </c>
      <c r="AP43" s="44" t="str">
        <f>VLOOKUP(AO43,المرجع!$D$3:$E$12,2)</f>
        <v>ج+</v>
      </c>
      <c r="AQ43" s="40">
        <f t="shared" si="23"/>
        <v>7</v>
      </c>
      <c r="AR43" s="21">
        <v>2</v>
      </c>
      <c r="AS43" s="67">
        <v>70</v>
      </c>
      <c r="AT43" s="65">
        <f>VLOOKUP(AS43,المرجع!$B$3:$C$12,2)</f>
        <v>3</v>
      </c>
      <c r="AU43" s="44" t="str">
        <f>VLOOKUP(AT43,المرجع!$D$3:$E$12,2)</f>
        <v>ج</v>
      </c>
      <c r="AV43" s="40">
        <f t="shared" si="24"/>
        <v>6</v>
      </c>
      <c r="AW43" s="21">
        <v>2</v>
      </c>
      <c r="AX43" s="67">
        <v>55</v>
      </c>
      <c r="AY43" s="65">
        <f>VLOOKUP(AX43,المرجع!$B$3:$C$12,2)</f>
        <v>2</v>
      </c>
      <c r="AZ43" s="44" t="str">
        <f>VLOOKUP(AY43,المرجع!$D$3:$E$12,2)</f>
        <v>د</v>
      </c>
      <c r="BA43" s="40">
        <f t="shared" si="25"/>
        <v>4</v>
      </c>
      <c r="BB43" s="21">
        <v>2</v>
      </c>
      <c r="BC43" s="67">
        <v>80</v>
      </c>
      <c r="BD43" s="65">
        <f>VLOOKUP(BC43,المرجع!$B$3:$C$12,2)</f>
        <v>4</v>
      </c>
      <c r="BE43" s="44" t="str">
        <f>VLOOKUP(BD43,المرجع!$D$3:$E$12,2)</f>
        <v>ب</v>
      </c>
      <c r="BF43" s="40">
        <f t="shared" si="26"/>
        <v>8</v>
      </c>
      <c r="BG43" s="21">
        <v>2</v>
      </c>
      <c r="BH43" s="67">
        <v>90</v>
      </c>
      <c r="BI43" s="65">
        <f>VLOOKUP(BH43,المرجع!$B$3:$C$12,2)</f>
        <v>4.75</v>
      </c>
      <c r="BJ43" s="44" t="str">
        <f>VLOOKUP(BI43,المرجع!$D$3:$E$12,2)</f>
        <v>أ</v>
      </c>
      <c r="BK43" s="40">
        <f t="shared" si="27"/>
        <v>9.5</v>
      </c>
      <c r="BL43" s="72">
        <f t="shared" si="15"/>
        <v>62</v>
      </c>
      <c r="BM43" s="73">
        <f t="shared" si="28"/>
        <v>23</v>
      </c>
      <c r="BN43" s="74">
        <f t="shared" si="29"/>
        <v>2.6956521739130435</v>
      </c>
      <c r="BO43" s="75"/>
      <c r="BP43" s="76" t="str">
        <f>VLOOKUP(BN43,المرجع!$D$3:$F$12,3)</f>
        <v xml:space="preserve">جيد </v>
      </c>
      <c r="BQ43" s="77">
        <f t="shared" si="30"/>
        <v>49</v>
      </c>
    </row>
    <row r="44" spans="2:69" ht="28.5">
      <c r="B44" s="66">
        <v>2023030</v>
      </c>
      <c r="C44" s="70" t="s">
        <v>6</v>
      </c>
      <c r="D44" s="21">
        <v>1</v>
      </c>
      <c r="E44" s="67">
        <v>96</v>
      </c>
      <c r="F44" s="65">
        <f>VLOOKUP(E44,المرجع!$B$3:$C$12,2)</f>
        <v>5</v>
      </c>
      <c r="G44" s="44" t="str">
        <f>VLOOKUP(F44,المرجع!$D$3:$E$12,2)</f>
        <v xml:space="preserve">أ+ </v>
      </c>
      <c r="H44" s="40">
        <f t="shared" si="16"/>
        <v>5</v>
      </c>
      <c r="I44" s="21">
        <v>2</v>
      </c>
      <c r="J44" s="67">
        <v>100</v>
      </c>
      <c r="K44" s="65">
        <f>VLOOKUP(J44,المرجع!$B$3:$C$12,2)</f>
        <v>5</v>
      </c>
      <c r="L44" s="44" t="str">
        <f>VLOOKUP(K44,المرجع!$D$3:$E$12,2)</f>
        <v xml:space="preserve">أ+ </v>
      </c>
      <c r="M44" s="40">
        <f t="shared" si="17"/>
        <v>10</v>
      </c>
      <c r="N44" s="21">
        <v>2</v>
      </c>
      <c r="O44" s="67">
        <v>27</v>
      </c>
      <c r="P44" s="65">
        <f>VLOOKUP(O44,المرجع!$B$3:$C$12,2)</f>
        <v>0</v>
      </c>
      <c r="Q44" s="44" t="str">
        <f>VLOOKUP(P44,المرجع!$D$3:$E$12,2)</f>
        <v>ه</v>
      </c>
      <c r="R44" s="40">
        <f t="shared" si="18"/>
        <v>0</v>
      </c>
      <c r="S44" s="21">
        <v>2</v>
      </c>
      <c r="T44" s="67">
        <v>100</v>
      </c>
      <c r="U44" s="65">
        <f>VLOOKUP(T44,المرجع!$B$3:$C$12,2)</f>
        <v>5</v>
      </c>
      <c r="V44" s="44" t="str">
        <f>VLOOKUP(U44,المرجع!$D$3:$E$12,2)</f>
        <v xml:space="preserve">أ+ </v>
      </c>
      <c r="W44" s="40">
        <f t="shared" si="19"/>
        <v>10</v>
      </c>
      <c r="X44" s="21">
        <v>2</v>
      </c>
      <c r="Y44" s="67">
        <v>100</v>
      </c>
      <c r="Z44" s="65">
        <f>VLOOKUP(Y44,المرجع!$B$3:$C$12,2)</f>
        <v>5</v>
      </c>
      <c r="AA44" s="44" t="str">
        <f>VLOOKUP(Z44,المرجع!$D$3:$E$12,2)</f>
        <v xml:space="preserve">أ+ </v>
      </c>
      <c r="AB44" s="40">
        <f t="shared" si="20"/>
        <v>10</v>
      </c>
      <c r="AC44" s="21">
        <v>2</v>
      </c>
      <c r="AD44" s="67">
        <v>61</v>
      </c>
      <c r="AE44" s="65">
        <f>VLOOKUP(AD44,المرجع!$B$3:$C$12,2)</f>
        <v>2</v>
      </c>
      <c r="AF44" s="44" t="str">
        <f>VLOOKUP(AE44,المرجع!$D$3:$E$12,2)</f>
        <v>د</v>
      </c>
      <c r="AG44" s="40">
        <f t="shared" si="21"/>
        <v>4</v>
      </c>
      <c r="AH44" s="21">
        <v>2</v>
      </c>
      <c r="AI44" s="67">
        <v>55</v>
      </c>
      <c r="AJ44" s="65">
        <f>VLOOKUP(AI44,المرجع!$B$3:$C$12,2)</f>
        <v>2</v>
      </c>
      <c r="AK44" s="44" t="str">
        <f>VLOOKUP(AJ44,المرجع!$D$3:$E$12,2)</f>
        <v>د</v>
      </c>
      <c r="AL44" s="40">
        <f t="shared" si="22"/>
        <v>4</v>
      </c>
      <c r="AM44" s="21">
        <v>2</v>
      </c>
      <c r="AN44" s="67">
        <v>81</v>
      </c>
      <c r="AO44" s="65">
        <f>VLOOKUP(AN44,المرجع!$B$3:$C$12,2)</f>
        <v>4</v>
      </c>
      <c r="AP44" s="44" t="str">
        <f>VLOOKUP(AO44,المرجع!$D$3:$E$12,2)</f>
        <v>ب</v>
      </c>
      <c r="AQ44" s="40">
        <f t="shared" si="23"/>
        <v>8</v>
      </c>
      <c r="AR44" s="21">
        <v>2</v>
      </c>
      <c r="AS44" s="67">
        <v>73</v>
      </c>
      <c r="AT44" s="65">
        <f>VLOOKUP(AS44,المرجع!$B$3:$C$12,2)</f>
        <v>3</v>
      </c>
      <c r="AU44" s="44" t="str">
        <f>VLOOKUP(AT44,المرجع!$D$3:$E$12,2)</f>
        <v>ج</v>
      </c>
      <c r="AV44" s="40">
        <f t="shared" si="24"/>
        <v>6</v>
      </c>
      <c r="AW44" s="21">
        <v>2</v>
      </c>
      <c r="AX44" s="67">
        <v>60</v>
      </c>
      <c r="AY44" s="65">
        <f>VLOOKUP(AX44,المرجع!$B$3:$C$12,2)</f>
        <v>2</v>
      </c>
      <c r="AZ44" s="44" t="str">
        <f>VLOOKUP(AY44,المرجع!$D$3:$E$12,2)</f>
        <v>د</v>
      </c>
      <c r="BA44" s="40">
        <f t="shared" si="25"/>
        <v>4</v>
      </c>
      <c r="BB44" s="21">
        <v>2</v>
      </c>
      <c r="BC44" s="67">
        <v>80</v>
      </c>
      <c r="BD44" s="65">
        <f>VLOOKUP(BC44,المرجع!$B$3:$C$12,2)</f>
        <v>4</v>
      </c>
      <c r="BE44" s="44" t="str">
        <f>VLOOKUP(BD44,المرجع!$D$3:$E$12,2)</f>
        <v>ب</v>
      </c>
      <c r="BF44" s="40">
        <f t="shared" si="26"/>
        <v>8</v>
      </c>
      <c r="BG44" s="21">
        <v>2</v>
      </c>
      <c r="BH44" s="67">
        <v>95</v>
      </c>
      <c r="BI44" s="65">
        <f>VLOOKUP(BH44,المرجع!$B$3:$C$12,2)</f>
        <v>5</v>
      </c>
      <c r="BJ44" s="44" t="str">
        <f>VLOOKUP(BI44,المرجع!$D$3:$E$12,2)</f>
        <v xml:space="preserve">أ+ </v>
      </c>
      <c r="BK44" s="40">
        <f t="shared" si="27"/>
        <v>10</v>
      </c>
      <c r="BL44" s="72">
        <f t="shared" si="15"/>
        <v>59</v>
      </c>
      <c r="BM44" s="73">
        <f t="shared" si="28"/>
        <v>23</v>
      </c>
      <c r="BN44" s="74">
        <f t="shared" si="29"/>
        <v>2.5652173913043477</v>
      </c>
      <c r="BO44" s="75"/>
      <c r="BP44" s="76" t="str">
        <f>VLOOKUP(BN44,المرجع!$D$3:$F$12,3)</f>
        <v xml:space="preserve">مقبول مرتفع </v>
      </c>
      <c r="BQ44" s="77">
        <f t="shared" si="30"/>
        <v>57</v>
      </c>
    </row>
    <row r="45" spans="2:69" ht="28.5">
      <c r="B45" s="66">
        <v>2023046</v>
      </c>
      <c r="C45" s="70" t="s">
        <v>12</v>
      </c>
      <c r="D45" s="21">
        <v>1</v>
      </c>
      <c r="E45" s="67">
        <v>97</v>
      </c>
      <c r="F45" s="65">
        <f>VLOOKUP(E45,المرجع!$B$3:$C$12,2)</f>
        <v>5</v>
      </c>
      <c r="G45" s="44" t="str">
        <f>VLOOKUP(F45,المرجع!$D$3:$E$12,2)</f>
        <v xml:space="preserve">أ+ </v>
      </c>
      <c r="H45" s="40">
        <f t="shared" si="16"/>
        <v>5</v>
      </c>
      <c r="I45" s="21">
        <v>2</v>
      </c>
      <c r="J45" s="67">
        <v>100</v>
      </c>
      <c r="K45" s="65">
        <f>VLOOKUP(J45,المرجع!$B$3:$C$12,2)</f>
        <v>5</v>
      </c>
      <c r="L45" s="44" t="str">
        <f>VLOOKUP(K45,المرجع!$D$3:$E$12,2)</f>
        <v xml:space="preserve">أ+ </v>
      </c>
      <c r="M45" s="40">
        <f t="shared" si="17"/>
        <v>10</v>
      </c>
      <c r="N45" s="21">
        <v>2</v>
      </c>
      <c r="O45" s="67">
        <v>70</v>
      </c>
      <c r="P45" s="65">
        <f>VLOOKUP(O45,المرجع!$B$3:$C$12,2)</f>
        <v>3</v>
      </c>
      <c r="Q45" s="44" t="str">
        <f>VLOOKUP(P45,المرجع!$D$3:$E$12,2)</f>
        <v>ج</v>
      </c>
      <c r="R45" s="40">
        <f t="shared" si="18"/>
        <v>6</v>
      </c>
      <c r="S45" s="21">
        <v>2</v>
      </c>
      <c r="T45" s="67">
        <v>100</v>
      </c>
      <c r="U45" s="65">
        <f>VLOOKUP(T45,المرجع!$B$3:$C$12,2)</f>
        <v>5</v>
      </c>
      <c r="V45" s="44" t="str">
        <f>VLOOKUP(U45,المرجع!$D$3:$E$12,2)</f>
        <v xml:space="preserve">أ+ </v>
      </c>
      <c r="W45" s="40">
        <f t="shared" si="19"/>
        <v>10</v>
      </c>
      <c r="X45" s="21">
        <v>2</v>
      </c>
      <c r="Y45" s="67">
        <v>80</v>
      </c>
      <c r="Z45" s="65">
        <f>VLOOKUP(Y45,المرجع!$B$3:$C$12,2)</f>
        <v>4</v>
      </c>
      <c r="AA45" s="44" t="str">
        <f>VLOOKUP(Z45,المرجع!$D$3:$E$12,2)</f>
        <v>ب</v>
      </c>
      <c r="AB45" s="40">
        <f t="shared" si="20"/>
        <v>8</v>
      </c>
      <c r="AC45" s="21">
        <v>2</v>
      </c>
      <c r="AD45" s="67">
        <v>71</v>
      </c>
      <c r="AE45" s="65">
        <f>VLOOKUP(AD45,المرجع!$B$3:$C$12,2)</f>
        <v>3</v>
      </c>
      <c r="AF45" s="44" t="str">
        <f>VLOOKUP(AE45,المرجع!$D$3:$E$12,2)</f>
        <v>ج</v>
      </c>
      <c r="AG45" s="40">
        <f t="shared" si="21"/>
        <v>6</v>
      </c>
      <c r="AH45" s="21">
        <v>2</v>
      </c>
      <c r="AI45" s="67">
        <v>56</v>
      </c>
      <c r="AJ45" s="65">
        <f>VLOOKUP(AI45,المرجع!$B$3:$C$12,2)</f>
        <v>2</v>
      </c>
      <c r="AK45" s="44" t="str">
        <f>VLOOKUP(AJ45,المرجع!$D$3:$E$12,2)</f>
        <v>د</v>
      </c>
      <c r="AL45" s="40">
        <f t="shared" si="22"/>
        <v>4</v>
      </c>
      <c r="AM45" s="21">
        <v>2</v>
      </c>
      <c r="AN45" s="67">
        <v>68</v>
      </c>
      <c r="AO45" s="65">
        <f>VLOOKUP(AN45,المرجع!$B$3:$C$12,2)</f>
        <v>2.5</v>
      </c>
      <c r="AP45" s="44" t="str">
        <f>VLOOKUP(AO45,المرجع!$D$3:$E$12,2)</f>
        <v>د+</v>
      </c>
      <c r="AQ45" s="40">
        <f t="shared" si="23"/>
        <v>5</v>
      </c>
      <c r="AR45" s="21">
        <v>2</v>
      </c>
      <c r="AS45" s="67">
        <v>70</v>
      </c>
      <c r="AT45" s="65">
        <f>VLOOKUP(AS45,المرجع!$B$3:$C$12,2)</f>
        <v>3</v>
      </c>
      <c r="AU45" s="44" t="str">
        <f>VLOOKUP(AT45,المرجع!$D$3:$E$12,2)</f>
        <v>ج</v>
      </c>
      <c r="AV45" s="40">
        <f t="shared" si="24"/>
        <v>6</v>
      </c>
      <c r="AW45" s="21">
        <v>2</v>
      </c>
      <c r="AX45" s="67">
        <v>65</v>
      </c>
      <c r="AY45" s="65">
        <f>VLOOKUP(AX45,المرجع!$B$3:$C$12,2)</f>
        <v>2.5</v>
      </c>
      <c r="AZ45" s="44" t="str">
        <f>VLOOKUP(AY45,المرجع!$D$3:$E$12,2)</f>
        <v>د+</v>
      </c>
      <c r="BA45" s="40">
        <f t="shared" si="25"/>
        <v>5</v>
      </c>
      <c r="BB45" s="21">
        <v>2</v>
      </c>
      <c r="BC45" s="67">
        <v>94</v>
      </c>
      <c r="BD45" s="65">
        <f>VLOOKUP(BC45,المرجع!$B$3:$C$12,2)</f>
        <v>4.75</v>
      </c>
      <c r="BE45" s="44" t="str">
        <f>VLOOKUP(BD45,المرجع!$D$3:$E$12,2)</f>
        <v>أ</v>
      </c>
      <c r="BF45" s="40">
        <f t="shared" si="26"/>
        <v>9.5</v>
      </c>
      <c r="BG45" s="21">
        <v>2</v>
      </c>
      <c r="BH45" s="67">
        <v>57</v>
      </c>
      <c r="BI45" s="65">
        <f>VLOOKUP(BH45,المرجع!$B$3:$C$12,2)</f>
        <v>2</v>
      </c>
      <c r="BJ45" s="44" t="str">
        <f>VLOOKUP(BI45,المرجع!$D$3:$E$12,2)</f>
        <v>د</v>
      </c>
      <c r="BK45" s="40">
        <f t="shared" si="27"/>
        <v>4</v>
      </c>
      <c r="BL45" s="72">
        <f t="shared" si="15"/>
        <v>70.5</v>
      </c>
      <c r="BM45" s="73">
        <f t="shared" si="28"/>
        <v>23</v>
      </c>
      <c r="BN45" s="74">
        <f t="shared" si="29"/>
        <v>3.0652173913043477</v>
      </c>
      <c r="BO45" s="75"/>
      <c r="BP45" s="76" t="str">
        <f>VLOOKUP(BN45,المرجع!$D$3:$F$12,3)</f>
        <v xml:space="preserve">جيد </v>
      </c>
      <c r="BQ45" s="77">
        <f t="shared" si="30"/>
        <v>29</v>
      </c>
    </row>
    <row r="46" spans="2:69" ht="28.5">
      <c r="B46" s="66">
        <v>202357</v>
      </c>
      <c r="C46" s="70" t="s">
        <v>8</v>
      </c>
      <c r="D46" s="21">
        <v>1</v>
      </c>
      <c r="E46" s="67">
        <v>96</v>
      </c>
      <c r="F46" s="65">
        <f>VLOOKUP(E46,المرجع!$B$3:$C$12,2)</f>
        <v>5</v>
      </c>
      <c r="G46" s="44" t="str">
        <f>VLOOKUP(F46,المرجع!$D$3:$E$12,2)</f>
        <v xml:space="preserve">أ+ </v>
      </c>
      <c r="H46" s="40">
        <f t="shared" si="16"/>
        <v>5</v>
      </c>
      <c r="I46" s="21">
        <v>2</v>
      </c>
      <c r="J46" s="67">
        <v>75</v>
      </c>
      <c r="K46" s="65">
        <f>VLOOKUP(J46,المرجع!$B$3:$C$12,2)</f>
        <v>3.5</v>
      </c>
      <c r="L46" s="44" t="str">
        <f>VLOOKUP(K46,المرجع!$D$3:$E$12,2)</f>
        <v>ج+</v>
      </c>
      <c r="M46" s="40">
        <f t="shared" si="17"/>
        <v>7</v>
      </c>
      <c r="N46" s="21">
        <v>2</v>
      </c>
      <c r="O46" s="67">
        <v>50</v>
      </c>
      <c r="P46" s="65">
        <f>VLOOKUP(O46,المرجع!$B$3:$C$12,2)</f>
        <v>2</v>
      </c>
      <c r="Q46" s="44" t="str">
        <f>VLOOKUP(P46,المرجع!$D$3:$E$12,2)</f>
        <v>د</v>
      </c>
      <c r="R46" s="40">
        <f t="shared" si="18"/>
        <v>4</v>
      </c>
      <c r="S46" s="21">
        <v>2</v>
      </c>
      <c r="T46" s="67">
        <v>99</v>
      </c>
      <c r="U46" s="65">
        <f>VLOOKUP(T46,المرجع!$B$3:$C$12,2)</f>
        <v>5</v>
      </c>
      <c r="V46" s="44" t="str">
        <f>VLOOKUP(U46,المرجع!$D$3:$E$12,2)</f>
        <v xml:space="preserve">أ+ </v>
      </c>
      <c r="W46" s="40">
        <f t="shared" si="19"/>
        <v>10</v>
      </c>
      <c r="X46" s="21">
        <v>2</v>
      </c>
      <c r="Y46" s="67">
        <v>100</v>
      </c>
      <c r="Z46" s="65">
        <f>VLOOKUP(Y46,المرجع!$B$3:$C$12,2)</f>
        <v>5</v>
      </c>
      <c r="AA46" s="44" t="str">
        <f>VLOOKUP(Z46,المرجع!$D$3:$E$12,2)</f>
        <v xml:space="preserve">أ+ </v>
      </c>
      <c r="AB46" s="40">
        <f t="shared" si="20"/>
        <v>10</v>
      </c>
      <c r="AC46" s="21">
        <v>2</v>
      </c>
      <c r="AD46" s="67">
        <v>65</v>
      </c>
      <c r="AE46" s="65">
        <f>VLOOKUP(AD46,المرجع!$B$3:$C$12,2)</f>
        <v>2.5</v>
      </c>
      <c r="AF46" s="44" t="str">
        <f>VLOOKUP(AE46,المرجع!$D$3:$E$12,2)</f>
        <v>د+</v>
      </c>
      <c r="AG46" s="40">
        <f t="shared" si="21"/>
        <v>5</v>
      </c>
      <c r="AH46" s="21">
        <v>2</v>
      </c>
      <c r="AI46" s="67">
        <v>70</v>
      </c>
      <c r="AJ46" s="65">
        <f>VLOOKUP(AI46,المرجع!$B$3:$C$12,2)</f>
        <v>3</v>
      </c>
      <c r="AK46" s="44" t="str">
        <f>VLOOKUP(AJ46,المرجع!$D$3:$E$12,2)</f>
        <v>ج</v>
      </c>
      <c r="AL46" s="40">
        <f t="shared" si="22"/>
        <v>6</v>
      </c>
      <c r="AM46" s="21">
        <v>2</v>
      </c>
      <c r="AN46" s="67">
        <v>68</v>
      </c>
      <c r="AO46" s="65">
        <f>VLOOKUP(AN46,المرجع!$B$3:$C$12,2)</f>
        <v>2.5</v>
      </c>
      <c r="AP46" s="44" t="str">
        <f>VLOOKUP(AO46,المرجع!$D$3:$E$12,2)</f>
        <v>د+</v>
      </c>
      <c r="AQ46" s="40">
        <f t="shared" si="23"/>
        <v>5</v>
      </c>
      <c r="AR46" s="21">
        <v>2</v>
      </c>
      <c r="AS46" s="67">
        <v>75</v>
      </c>
      <c r="AT46" s="65">
        <f>VLOOKUP(AS46,المرجع!$B$3:$C$12,2)</f>
        <v>3.5</v>
      </c>
      <c r="AU46" s="44" t="str">
        <f>VLOOKUP(AT46,المرجع!$D$3:$E$12,2)</f>
        <v>ج+</v>
      </c>
      <c r="AV46" s="40">
        <f t="shared" si="24"/>
        <v>7</v>
      </c>
      <c r="AW46" s="21">
        <v>2</v>
      </c>
      <c r="AX46" s="67">
        <v>65</v>
      </c>
      <c r="AY46" s="65">
        <f>VLOOKUP(AX46,المرجع!$B$3:$C$12,2)</f>
        <v>2.5</v>
      </c>
      <c r="AZ46" s="44" t="str">
        <f>VLOOKUP(AY46,المرجع!$D$3:$E$12,2)</f>
        <v>د+</v>
      </c>
      <c r="BA46" s="40">
        <f t="shared" si="25"/>
        <v>5</v>
      </c>
      <c r="BB46" s="21">
        <v>2</v>
      </c>
      <c r="BC46" s="67">
        <v>94</v>
      </c>
      <c r="BD46" s="65">
        <f>VLOOKUP(BC46,المرجع!$B$3:$C$12,2)</f>
        <v>4.75</v>
      </c>
      <c r="BE46" s="44" t="str">
        <f>VLOOKUP(BD46,المرجع!$D$3:$E$12,2)</f>
        <v>أ</v>
      </c>
      <c r="BF46" s="40">
        <f t="shared" si="26"/>
        <v>9.5</v>
      </c>
      <c r="BG46" s="21">
        <v>2</v>
      </c>
      <c r="BH46" s="67">
        <v>94</v>
      </c>
      <c r="BI46" s="65">
        <f>VLOOKUP(BH46,المرجع!$B$3:$C$12,2)</f>
        <v>4.75</v>
      </c>
      <c r="BJ46" s="44" t="str">
        <f>VLOOKUP(BI46,المرجع!$D$3:$E$12,2)</f>
        <v>أ</v>
      </c>
      <c r="BK46" s="40">
        <f t="shared" si="27"/>
        <v>9.5</v>
      </c>
      <c r="BL46" s="72">
        <f t="shared" si="15"/>
        <v>64</v>
      </c>
      <c r="BM46" s="73">
        <f t="shared" si="28"/>
        <v>23</v>
      </c>
      <c r="BN46" s="74">
        <f t="shared" si="29"/>
        <v>2.7826086956521738</v>
      </c>
      <c r="BO46" s="75"/>
      <c r="BP46" s="76" t="str">
        <f>VLOOKUP(BN46,المرجع!$D$3:$F$12,3)</f>
        <v xml:space="preserve">جيد </v>
      </c>
      <c r="BQ46" s="77">
        <f t="shared" si="30"/>
        <v>43</v>
      </c>
    </row>
    <row r="47" spans="2:69" ht="28.5">
      <c r="B47" s="66">
        <v>2023040</v>
      </c>
      <c r="C47" s="70" t="s">
        <v>14</v>
      </c>
      <c r="D47" s="21">
        <v>1</v>
      </c>
      <c r="E47" s="67">
        <v>95</v>
      </c>
      <c r="F47" s="65">
        <f>VLOOKUP(E47,المرجع!$B$3:$C$12,2)</f>
        <v>5</v>
      </c>
      <c r="G47" s="44" t="str">
        <f>VLOOKUP(F47,المرجع!$D$3:$E$12,2)</f>
        <v xml:space="preserve">أ+ </v>
      </c>
      <c r="H47" s="40">
        <f t="shared" si="16"/>
        <v>5</v>
      </c>
      <c r="I47" s="21">
        <v>2</v>
      </c>
      <c r="J47" s="67">
        <v>95</v>
      </c>
      <c r="K47" s="65">
        <f>VLOOKUP(J47,المرجع!$B$3:$C$12,2)</f>
        <v>5</v>
      </c>
      <c r="L47" s="44" t="str">
        <f>VLOOKUP(K47,المرجع!$D$3:$E$12,2)</f>
        <v xml:space="preserve">أ+ </v>
      </c>
      <c r="M47" s="40">
        <f t="shared" si="17"/>
        <v>10</v>
      </c>
      <c r="N47" s="21">
        <v>2</v>
      </c>
      <c r="O47" s="67">
        <v>50</v>
      </c>
      <c r="P47" s="65">
        <f>VLOOKUP(O47,المرجع!$B$3:$C$12,2)</f>
        <v>2</v>
      </c>
      <c r="Q47" s="44" t="str">
        <f>VLOOKUP(P47,المرجع!$D$3:$E$12,2)</f>
        <v>د</v>
      </c>
      <c r="R47" s="40">
        <f t="shared" si="18"/>
        <v>4</v>
      </c>
      <c r="S47" s="21">
        <v>2</v>
      </c>
      <c r="T47" s="67">
        <v>100</v>
      </c>
      <c r="U47" s="65">
        <f>VLOOKUP(T47,المرجع!$B$3:$C$12,2)</f>
        <v>5</v>
      </c>
      <c r="V47" s="44" t="str">
        <f>VLOOKUP(U47,المرجع!$D$3:$E$12,2)</f>
        <v xml:space="preserve">أ+ </v>
      </c>
      <c r="W47" s="40">
        <f t="shared" si="19"/>
        <v>10</v>
      </c>
      <c r="X47" s="21">
        <v>2</v>
      </c>
      <c r="Y47" s="67">
        <v>100</v>
      </c>
      <c r="Z47" s="65">
        <f>VLOOKUP(Y47,المرجع!$B$3:$C$12,2)</f>
        <v>5</v>
      </c>
      <c r="AA47" s="44" t="str">
        <f>VLOOKUP(Z47,المرجع!$D$3:$E$12,2)</f>
        <v xml:space="preserve">أ+ </v>
      </c>
      <c r="AB47" s="40">
        <f t="shared" si="20"/>
        <v>10</v>
      </c>
      <c r="AC47" s="21">
        <v>2</v>
      </c>
      <c r="AD47" s="67">
        <v>66</v>
      </c>
      <c r="AE47" s="65">
        <f>VLOOKUP(AD47,المرجع!$B$3:$C$12,2)</f>
        <v>2.5</v>
      </c>
      <c r="AF47" s="44" t="str">
        <f>VLOOKUP(AE47,المرجع!$D$3:$E$12,2)</f>
        <v>د+</v>
      </c>
      <c r="AG47" s="40">
        <f t="shared" si="21"/>
        <v>5</v>
      </c>
      <c r="AH47" s="21">
        <v>2</v>
      </c>
      <c r="AI47" s="67">
        <v>55</v>
      </c>
      <c r="AJ47" s="65">
        <f>VLOOKUP(AI47,المرجع!$B$3:$C$12,2)</f>
        <v>2</v>
      </c>
      <c r="AK47" s="44" t="str">
        <f>VLOOKUP(AJ47,المرجع!$D$3:$E$12,2)</f>
        <v>د</v>
      </c>
      <c r="AL47" s="40">
        <f t="shared" si="22"/>
        <v>4</v>
      </c>
      <c r="AM47" s="21">
        <v>2</v>
      </c>
      <c r="AN47" s="67">
        <v>65</v>
      </c>
      <c r="AO47" s="65">
        <f>VLOOKUP(AN47,المرجع!$B$3:$C$12,2)</f>
        <v>2.5</v>
      </c>
      <c r="AP47" s="44" t="str">
        <f>VLOOKUP(AO47,المرجع!$D$3:$E$12,2)</f>
        <v>د+</v>
      </c>
      <c r="AQ47" s="40">
        <f t="shared" si="23"/>
        <v>5</v>
      </c>
      <c r="AR47" s="21">
        <v>2</v>
      </c>
      <c r="AS47" s="67">
        <v>61</v>
      </c>
      <c r="AT47" s="65">
        <f>VLOOKUP(AS47,المرجع!$B$3:$C$12,2)</f>
        <v>2</v>
      </c>
      <c r="AU47" s="44" t="str">
        <f>VLOOKUP(AT47,المرجع!$D$3:$E$12,2)</f>
        <v>د</v>
      </c>
      <c r="AV47" s="40">
        <f t="shared" si="24"/>
        <v>4</v>
      </c>
      <c r="AW47" s="21">
        <v>2</v>
      </c>
      <c r="AX47" s="67">
        <v>60</v>
      </c>
      <c r="AY47" s="65">
        <f>VLOOKUP(AX47,المرجع!$B$3:$C$12,2)</f>
        <v>2</v>
      </c>
      <c r="AZ47" s="44" t="str">
        <f>VLOOKUP(AY47,المرجع!$D$3:$E$12,2)</f>
        <v>د</v>
      </c>
      <c r="BA47" s="40">
        <f t="shared" si="25"/>
        <v>4</v>
      </c>
      <c r="BB47" s="21">
        <v>2</v>
      </c>
      <c r="BC47" s="67">
        <v>74</v>
      </c>
      <c r="BD47" s="65">
        <f>VLOOKUP(BC47,المرجع!$B$3:$C$12,2)</f>
        <v>3</v>
      </c>
      <c r="BE47" s="44" t="str">
        <f>VLOOKUP(BD47,المرجع!$D$3:$E$12,2)</f>
        <v>ج</v>
      </c>
      <c r="BF47" s="40">
        <f t="shared" si="26"/>
        <v>6</v>
      </c>
      <c r="BG47" s="21">
        <v>2</v>
      </c>
      <c r="BH47" s="67">
        <v>97</v>
      </c>
      <c r="BI47" s="65">
        <f>VLOOKUP(BH47,المرجع!$B$3:$C$12,2)</f>
        <v>5</v>
      </c>
      <c r="BJ47" s="44" t="str">
        <f>VLOOKUP(BI47,المرجع!$D$3:$E$12,2)</f>
        <v xml:space="preserve">أ+ </v>
      </c>
      <c r="BK47" s="40">
        <f t="shared" si="27"/>
        <v>10</v>
      </c>
      <c r="BL47" s="72">
        <f t="shared" si="15"/>
        <v>57</v>
      </c>
      <c r="BM47" s="73">
        <f t="shared" si="28"/>
        <v>23</v>
      </c>
      <c r="BN47" s="74">
        <f t="shared" si="29"/>
        <v>2.4782608695652173</v>
      </c>
      <c r="BO47" s="75"/>
      <c r="BP47" s="76" t="str">
        <f>VLOOKUP(BN47,المرجع!$D$3:$F$12,3)</f>
        <v xml:space="preserve">مقبول مرتفع </v>
      </c>
      <c r="BQ47" s="77">
        <f t="shared" si="30"/>
        <v>60</v>
      </c>
    </row>
    <row r="48" spans="2:69" ht="28.5">
      <c r="B48" s="66">
        <v>2023039</v>
      </c>
      <c r="C48" s="70" t="s">
        <v>89</v>
      </c>
      <c r="D48" s="21">
        <v>1</v>
      </c>
      <c r="E48" s="67">
        <v>90</v>
      </c>
      <c r="F48" s="65">
        <f>VLOOKUP(E48,المرجع!$B$3:$C$12,2)</f>
        <v>4.75</v>
      </c>
      <c r="G48" s="44" t="str">
        <f>VLOOKUP(F48,المرجع!$D$3:$E$12,2)</f>
        <v>أ</v>
      </c>
      <c r="H48" s="40">
        <f t="shared" si="16"/>
        <v>4.75</v>
      </c>
      <c r="I48" s="21">
        <v>2</v>
      </c>
      <c r="J48" s="67">
        <v>99</v>
      </c>
      <c r="K48" s="65">
        <f>VLOOKUP(J48,المرجع!$B$3:$C$12,2)</f>
        <v>5</v>
      </c>
      <c r="L48" s="44" t="str">
        <f>VLOOKUP(K48,المرجع!$D$3:$E$12,2)</f>
        <v xml:space="preserve">أ+ </v>
      </c>
      <c r="M48" s="40">
        <f t="shared" si="17"/>
        <v>10</v>
      </c>
      <c r="N48" s="21">
        <v>2</v>
      </c>
      <c r="O48" s="67">
        <v>55</v>
      </c>
      <c r="P48" s="65">
        <f>VLOOKUP(O48,المرجع!$B$3:$C$12,2)</f>
        <v>2</v>
      </c>
      <c r="Q48" s="44" t="str">
        <f>VLOOKUP(P48,المرجع!$D$3:$E$12,2)</f>
        <v>د</v>
      </c>
      <c r="R48" s="40">
        <f t="shared" si="18"/>
        <v>4</v>
      </c>
      <c r="S48" s="21">
        <v>2</v>
      </c>
      <c r="T48" s="67">
        <v>91</v>
      </c>
      <c r="U48" s="65">
        <f>VLOOKUP(T48,المرجع!$B$3:$C$12,2)</f>
        <v>4.75</v>
      </c>
      <c r="V48" s="44" t="str">
        <f>VLOOKUP(U48,المرجع!$D$3:$E$12,2)</f>
        <v>أ</v>
      </c>
      <c r="W48" s="40">
        <f t="shared" si="19"/>
        <v>9.5</v>
      </c>
      <c r="X48" s="21">
        <v>2</v>
      </c>
      <c r="Y48" s="67">
        <v>66</v>
      </c>
      <c r="Z48" s="65">
        <f>VLOOKUP(Y48,المرجع!$B$3:$C$12,2)</f>
        <v>2.5</v>
      </c>
      <c r="AA48" s="44" t="str">
        <f>VLOOKUP(Z48,المرجع!$D$3:$E$12,2)</f>
        <v>د+</v>
      </c>
      <c r="AB48" s="40">
        <f t="shared" si="20"/>
        <v>5</v>
      </c>
      <c r="AC48" s="21">
        <v>2</v>
      </c>
      <c r="AD48" s="67">
        <v>51</v>
      </c>
      <c r="AE48" s="65">
        <f>VLOOKUP(AD48,المرجع!$B$3:$C$12,2)</f>
        <v>2</v>
      </c>
      <c r="AF48" s="44" t="str">
        <f>VLOOKUP(AE48,المرجع!$D$3:$E$12,2)</f>
        <v>د</v>
      </c>
      <c r="AG48" s="40">
        <f t="shared" si="21"/>
        <v>4</v>
      </c>
      <c r="AH48" s="21">
        <v>2</v>
      </c>
      <c r="AI48" s="67">
        <v>62</v>
      </c>
      <c r="AJ48" s="65">
        <f>VLOOKUP(AI48,المرجع!$B$3:$C$12,2)</f>
        <v>2</v>
      </c>
      <c r="AK48" s="44" t="str">
        <f>VLOOKUP(AJ48,المرجع!$D$3:$E$12,2)</f>
        <v>د</v>
      </c>
      <c r="AL48" s="40">
        <f t="shared" si="22"/>
        <v>4</v>
      </c>
      <c r="AM48" s="21">
        <v>2</v>
      </c>
      <c r="AN48" s="67">
        <v>76</v>
      </c>
      <c r="AO48" s="65">
        <f>VLOOKUP(AN48,المرجع!$B$3:$C$12,2)</f>
        <v>3.5</v>
      </c>
      <c r="AP48" s="44" t="str">
        <f>VLOOKUP(AO48,المرجع!$D$3:$E$12,2)</f>
        <v>ج+</v>
      </c>
      <c r="AQ48" s="40">
        <f t="shared" si="23"/>
        <v>7</v>
      </c>
      <c r="AR48" s="21">
        <v>2</v>
      </c>
      <c r="AS48" s="67">
        <v>72</v>
      </c>
      <c r="AT48" s="65">
        <f>VLOOKUP(AS48,المرجع!$B$3:$C$12,2)</f>
        <v>3</v>
      </c>
      <c r="AU48" s="44" t="str">
        <f>VLOOKUP(AT48,المرجع!$D$3:$E$12,2)</f>
        <v>ج</v>
      </c>
      <c r="AV48" s="40">
        <f t="shared" si="24"/>
        <v>6</v>
      </c>
      <c r="AW48" s="21">
        <v>2</v>
      </c>
      <c r="AX48" s="67">
        <v>60</v>
      </c>
      <c r="AY48" s="65">
        <f>VLOOKUP(AX48,المرجع!$B$3:$C$12,2)</f>
        <v>2</v>
      </c>
      <c r="AZ48" s="44" t="str">
        <f>VLOOKUP(AY48,المرجع!$D$3:$E$12,2)</f>
        <v>د</v>
      </c>
      <c r="BA48" s="40">
        <f t="shared" si="25"/>
        <v>4</v>
      </c>
      <c r="BB48" s="21">
        <v>2</v>
      </c>
      <c r="BC48" s="67">
        <v>99</v>
      </c>
      <c r="BD48" s="65">
        <f>VLOOKUP(BC48,المرجع!$B$3:$C$12,2)</f>
        <v>5</v>
      </c>
      <c r="BE48" s="44" t="str">
        <f>VLOOKUP(BD48,المرجع!$D$3:$E$12,2)</f>
        <v xml:space="preserve">أ+ </v>
      </c>
      <c r="BF48" s="40">
        <f t="shared" si="26"/>
        <v>10</v>
      </c>
      <c r="BG48" s="21">
        <v>2</v>
      </c>
      <c r="BH48" s="67">
        <v>88</v>
      </c>
      <c r="BI48" s="65">
        <f>VLOOKUP(BH48,المرجع!$B$3:$C$12,2)</f>
        <v>4.5</v>
      </c>
      <c r="BJ48" s="44" t="str">
        <f>VLOOKUP(BI48,المرجع!$D$3:$E$12,2)</f>
        <v>ب+</v>
      </c>
      <c r="BK48" s="40">
        <f t="shared" si="27"/>
        <v>9</v>
      </c>
      <c r="BL48" s="72">
        <f t="shared" si="15"/>
        <v>59.25</v>
      </c>
      <c r="BM48" s="73">
        <f t="shared" si="28"/>
        <v>23</v>
      </c>
      <c r="BN48" s="74">
        <f t="shared" si="29"/>
        <v>2.5760869565217392</v>
      </c>
      <c r="BO48" s="75"/>
      <c r="BP48" s="76" t="str">
        <f>VLOOKUP(BN48,المرجع!$D$3:$F$12,3)</f>
        <v xml:space="preserve">مقبول مرتفع </v>
      </c>
      <c r="BQ48" s="77">
        <f t="shared" si="30"/>
        <v>56</v>
      </c>
    </row>
    <row r="49" spans="2:69" ht="28.5">
      <c r="B49" s="66">
        <v>2023107</v>
      </c>
      <c r="C49" s="70" t="s">
        <v>93</v>
      </c>
      <c r="D49" s="21">
        <v>1</v>
      </c>
      <c r="E49" s="67">
        <v>90</v>
      </c>
      <c r="F49" s="65">
        <f>VLOOKUP(E49,المرجع!$B$3:$C$12,2)</f>
        <v>4.75</v>
      </c>
      <c r="G49" s="44" t="str">
        <f>VLOOKUP(F49,المرجع!$D$3:$E$12,2)</f>
        <v>أ</v>
      </c>
      <c r="H49" s="40">
        <f t="shared" si="16"/>
        <v>4.75</v>
      </c>
      <c r="I49" s="21">
        <v>2</v>
      </c>
      <c r="J49" s="67">
        <v>90</v>
      </c>
      <c r="K49" s="65">
        <f>VLOOKUP(J49,المرجع!$B$3:$C$12,2)</f>
        <v>4.75</v>
      </c>
      <c r="L49" s="44" t="str">
        <f>VLOOKUP(K49,المرجع!$D$3:$E$12,2)</f>
        <v>أ</v>
      </c>
      <c r="M49" s="40">
        <f t="shared" si="17"/>
        <v>9.5</v>
      </c>
      <c r="N49" s="21">
        <v>2</v>
      </c>
      <c r="O49" s="67">
        <v>54</v>
      </c>
      <c r="P49" s="65">
        <f>VLOOKUP(O49,المرجع!$B$3:$C$12,2)</f>
        <v>2</v>
      </c>
      <c r="Q49" s="44" t="str">
        <f>VLOOKUP(P49,المرجع!$D$3:$E$12,2)</f>
        <v>د</v>
      </c>
      <c r="R49" s="40">
        <f t="shared" si="18"/>
        <v>4</v>
      </c>
      <c r="S49" s="21">
        <v>2</v>
      </c>
      <c r="T49" s="67">
        <v>94</v>
      </c>
      <c r="U49" s="65">
        <f>VLOOKUP(T49,المرجع!$B$3:$C$12,2)</f>
        <v>4.75</v>
      </c>
      <c r="V49" s="44" t="str">
        <f>VLOOKUP(U49,المرجع!$D$3:$E$12,2)</f>
        <v>أ</v>
      </c>
      <c r="W49" s="40">
        <f t="shared" si="19"/>
        <v>9.5</v>
      </c>
      <c r="X49" s="21">
        <v>2</v>
      </c>
      <c r="Y49" s="67">
        <v>99</v>
      </c>
      <c r="Z49" s="65">
        <f>VLOOKUP(Y49,المرجع!$B$3:$C$12,2)</f>
        <v>5</v>
      </c>
      <c r="AA49" s="44" t="str">
        <f>VLOOKUP(Z49,المرجع!$D$3:$E$12,2)</f>
        <v xml:space="preserve">أ+ </v>
      </c>
      <c r="AB49" s="40">
        <f t="shared" si="20"/>
        <v>10</v>
      </c>
      <c r="AC49" s="21">
        <v>2</v>
      </c>
      <c r="AD49" s="67">
        <v>56</v>
      </c>
      <c r="AE49" s="65">
        <f>VLOOKUP(AD49,المرجع!$B$3:$C$12,2)</f>
        <v>2</v>
      </c>
      <c r="AF49" s="44" t="str">
        <f>VLOOKUP(AE49,المرجع!$D$3:$E$12,2)</f>
        <v>د</v>
      </c>
      <c r="AG49" s="40">
        <f t="shared" si="21"/>
        <v>4</v>
      </c>
      <c r="AH49" s="21">
        <v>2</v>
      </c>
      <c r="AI49" s="67">
        <v>60</v>
      </c>
      <c r="AJ49" s="65">
        <f>VLOOKUP(AI49,المرجع!$B$3:$C$12,2)</f>
        <v>2</v>
      </c>
      <c r="AK49" s="44" t="str">
        <f>VLOOKUP(AJ49,المرجع!$D$3:$E$12,2)</f>
        <v>د</v>
      </c>
      <c r="AL49" s="40">
        <f t="shared" si="22"/>
        <v>4</v>
      </c>
      <c r="AM49" s="21">
        <v>2</v>
      </c>
      <c r="AN49" s="67">
        <v>79</v>
      </c>
      <c r="AO49" s="65">
        <f>VLOOKUP(AN49,المرجع!$B$3:$C$12,2)</f>
        <v>3.5</v>
      </c>
      <c r="AP49" s="44" t="str">
        <f>VLOOKUP(AO49,المرجع!$D$3:$E$12,2)</f>
        <v>ج+</v>
      </c>
      <c r="AQ49" s="40">
        <f t="shared" si="23"/>
        <v>7</v>
      </c>
      <c r="AR49" s="21">
        <v>2</v>
      </c>
      <c r="AS49" s="67">
        <v>68</v>
      </c>
      <c r="AT49" s="65">
        <f>VLOOKUP(AS49,المرجع!$B$3:$C$12,2)</f>
        <v>2.5</v>
      </c>
      <c r="AU49" s="44" t="str">
        <f>VLOOKUP(AT49,المرجع!$D$3:$E$12,2)</f>
        <v>د+</v>
      </c>
      <c r="AV49" s="40">
        <f t="shared" si="24"/>
        <v>5</v>
      </c>
      <c r="AW49" s="21">
        <v>2</v>
      </c>
      <c r="AX49" s="67">
        <v>55</v>
      </c>
      <c r="AY49" s="65">
        <f>VLOOKUP(AX49,المرجع!$B$3:$C$12,2)</f>
        <v>2</v>
      </c>
      <c r="AZ49" s="44" t="str">
        <f>VLOOKUP(AY49,المرجع!$D$3:$E$12,2)</f>
        <v>د</v>
      </c>
      <c r="BA49" s="40">
        <f t="shared" si="25"/>
        <v>4</v>
      </c>
      <c r="BB49" s="21">
        <v>2</v>
      </c>
      <c r="BC49" s="67">
        <v>79</v>
      </c>
      <c r="BD49" s="65">
        <f>VLOOKUP(BC49,المرجع!$B$3:$C$12,2)</f>
        <v>3.5</v>
      </c>
      <c r="BE49" s="44" t="str">
        <f>VLOOKUP(BD49,المرجع!$D$3:$E$12,2)</f>
        <v>ج+</v>
      </c>
      <c r="BF49" s="40">
        <f t="shared" si="26"/>
        <v>7</v>
      </c>
      <c r="BG49" s="21">
        <v>2</v>
      </c>
      <c r="BH49" s="67">
        <v>69</v>
      </c>
      <c r="BI49" s="65">
        <f>VLOOKUP(BH49,المرجع!$B$3:$C$12,2)</f>
        <v>2.5</v>
      </c>
      <c r="BJ49" s="44" t="str">
        <f>VLOOKUP(BI49,المرجع!$D$3:$E$12,2)</f>
        <v>د+</v>
      </c>
      <c r="BK49" s="40">
        <f t="shared" si="27"/>
        <v>5</v>
      </c>
      <c r="BL49" s="72">
        <f t="shared" si="15"/>
        <v>63.75</v>
      </c>
      <c r="BM49" s="73">
        <f t="shared" si="28"/>
        <v>23</v>
      </c>
      <c r="BN49" s="74">
        <f t="shared" si="29"/>
        <v>2.7717391304347827</v>
      </c>
      <c r="BO49" s="75"/>
      <c r="BP49" s="76" t="str">
        <f>VLOOKUP(BN49,المرجع!$D$3:$F$12,3)</f>
        <v xml:space="preserve">جيد </v>
      </c>
      <c r="BQ49" s="77">
        <f t="shared" si="30"/>
        <v>45</v>
      </c>
    </row>
    <row r="50" spans="2:69" ht="28.5">
      <c r="B50" s="66">
        <v>2023111</v>
      </c>
      <c r="C50" s="70" t="s">
        <v>79</v>
      </c>
      <c r="D50" s="21">
        <v>1</v>
      </c>
      <c r="E50" s="67">
        <v>91</v>
      </c>
      <c r="F50" s="65">
        <f>VLOOKUP(E50,المرجع!$B$3:$C$12,2)</f>
        <v>4.75</v>
      </c>
      <c r="G50" s="44" t="str">
        <f>VLOOKUP(F50,المرجع!$D$3:$E$12,2)</f>
        <v>أ</v>
      </c>
      <c r="H50" s="40">
        <f t="shared" si="16"/>
        <v>4.75</v>
      </c>
      <c r="I50" s="21">
        <v>2</v>
      </c>
      <c r="J50" s="67">
        <v>85</v>
      </c>
      <c r="K50" s="65">
        <f>VLOOKUP(J50,المرجع!$B$3:$C$12,2)</f>
        <v>4.5</v>
      </c>
      <c r="L50" s="44" t="str">
        <f>VLOOKUP(K50,المرجع!$D$3:$E$12,2)</f>
        <v>ب+</v>
      </c>
      <c r="M50" s="40">
        <f t="shared" si="17"/>
        <v>9</v>
      </c>
      <c r="N50" s="21">
        <v>2</v>
      </c>
      <c r="O50" s="67">
        <v>50</v>
      </c>
      <c r="P50" s="65">
        <f>VLOOKUP(O50,المرجع!$B$3:$C$12,2)</f>
        <v>2</v>
      </c>
      <c r="Q50" s="44" t="str">
        <f>VLOOKUP(P50,المرجع!$D$3:$E$12,2)</f>
        <v>د</v>
      </c>
      <c r="R50" s="40">
        <f t="shared" si="18"/>
        <v>4</v>
      </c>
      <c r="S50" s="21">
        <v>2</v>
      </c>
      <c r="T50" s="67">
        <v>90</v>
      </c>
      <c r="U50" s="65">
        <f>VLOOKUP(T50,المرجع!$B$3:$C$12,2)</f>
        <v>4.75</v>
      </c>
      <c r="V50" s="44" t="str">
        <f>VLOOKUP(U50,المرجع!$D$3:$E$12,2)</f>
        <v>أ</v>
      </c>
      <c r="W50" s="40">
        <f t="shared" si="19"/>
        <v>9.5</v>
      </c>
      <c r="X50" s="21">
        <v>2</v>
      </c>
      <c r="Y50" s="67">
        <v>95</v>
      </c>
      <c r="Z50" s="65">
        <f>VLOOKUP(Y50,المرجع!$B$3:$C$12,2)</f>
        <v>5</v>
      </c>
      <c r="AA50" s="44" t="str">
        <f>VLOOKUP(Z50,المرجع!$D$3:$E$12,2)</f>
        <v xml:space="preserve">أ+ </v>
      </c>
      <c r="AB50" s="40">
        <f t="shared" si="20"/>
        <v>10</v>
      </c>
      <c r="AC50" s="21">
        <v>2</v>
      </c>
      <c r="AD50" s="67">
        <v>94</v>
      </c>
      <c r="AE50" s="65">
        <f>VLOOKUP(AD50,المرجع!$B$3:$C$12,2)</f>
        <v>4.75</v>
      </c>
      <c r="AF50" s="44" t="str">
        <f>VLOOKUP(AE50,المرجع!$D$3:$E$12,2)</f>
        <v>أ</v>
      </c>
      <c r="AG50" s="40">
        <f t="shared" si="21"/>
        <v>9.5</v>
      </c>
      <c r="AH50" s="21">
        <v>2</v>
      </c>
      <c r="AI50" s="67">
        <v>50</v>
      </c>
      <c r="AJ50" s="65">
        <f>VLOOKUP(AI50,المرجع!$B$3:$C$12,2)</f>
        <v>2</v>
      </c>
      <c r="AK50" s="44" t="str">
        <f>VLOOKUP(AJ50,المرجع!$D$3:$E$12,2)</f>
        <v>د</v>
      </c>
      <c r="AL50" s="40">
        <f t="shared" si="22"/>
        <v>4</v>
      </c>
      <c r="AM50" s="21">
        <v>2</v>
      </c>
      <c r="AN50" s="67">
        <v>72</v>
      </c>
      <c r="AO50" s="65">
        <f>VLOOKUP(AN50,المرجع!$B$3:$C$12,2)</f>
        <v>3</v>
      </c>
      <c r="AP50" s="44" t="str">
        <f>VLOOKUP(AO50,المرجع!$D$3:$E$12,2)</f>
        <v>ج</v>
      </c>
      <c r="AQ50" s="40">
        <f t="shared" si="23"/>
        <v>6</v>
      </c>
      <c r="AR50" s="21">
        <v>2</v>
      </c>
      <c r="AS50" s="67">
        <v>65</v>
      </c>
      <c r="AT50" s="65">
        <f>VLOOKUP(AS50,المرجع!$B$3:$C$12,2)</f>
        <v>2.5</v>
      </c>
      <c r="AU50" s="44" t="str">
        <f>VLOOKUP(AT50,المرجع!$D$3:$E$12,2)</f>
        <v>د+</v>
      </c>
      <c r="AV50" s="40">
        <f t="shared" si="24"/>
        <v>5</v>
      </c>
      <c r="AW50" s="21">
        <v>2</v>
      </c>
      <c r="AX50" s="67">
        <v>55</v>
      </c>
      <c r="AY50" s="65">
        <f>VLOOKUP(AX50,المرجع!$B$3:$C$12,2)</f>
        <v>2</v>
      </c>
      <c r="AZ50" s="44" t="str">
        <f>VLOOKUP(AY50,المرجع!$D$3:$E$12,2)</f>
        <v>د</v>
      </c>
      <c r="BA50" s="40">
        <f t="shared" si="25"/>
        <v>4</v>
      </c>
      <c r="BB50" s="21">
        <v>2</v>
      </c>
      <c r="BC50" s="67">
        <v>56</v>
      </c>
      <c r="BD50" s="65">
        <f>VLOOKUP(BC50,المرجع!$B$3:$C$12,2)</f>
        <v>2</v>
      </c>
      <c r="BE50" s="44" t="str">
        <f>VLOOKUP(BD50,المرجع!$D$3:$E$12,2)</f>
        <v>د</v>
      </c>
      <c r="BF50" s="40">
        <f t="shared" si="26"/>
        <v>4</v>
      </c>
      <c r="BG50" s="21">
        <v>2</v>
      </c>
      <c r="BH50" s="67">
        <v>50</v>
      </c>
      <c r="BI50" s="65">
        <f>VLOOKUP(BH50,المرجع!$B$3:$C$12,2)</f>
        <v>2</v>
      </c>
      <c r="BJ50" s="44" t="str">
        <f>VLOOKUP(BI50,المرجع!$D$3:$E$12,2)</f>
        <v>د</v>
      </c>
      <c r="BK50" s="40">
        <f t="shared" si="27"/>
        <v>4</v>
      </c>
      <c r="BL50" s="72">
        <f t="shared" si="15"/>
        <v>65.75</v>
      </c>
      <c r="BM50" s="73">
        <f t="shared" si="28"/>
        <v>23</v>
      </c>
      <c r="BN50" s="74">
        <f t="shared" si="29"/>
        <v>2.8586956521739131</v>
      </c>
      <c r="BO50" s="75"/>
      <c r="BP50" s="76" t="str">
        <f>VLOOKUP(BN50,المرجع!$D$3:$F$12,3)</f>
        <v xml:space="preserve">جيد </v>
      </c>
      <c r="BQ50" s="77">
        <f t="shared" si="30"/>
        <v>40</v>
      </c>
    </row>
    <row r="51" spans="2:69" ht="28.5">
      <c r="B51" s="66">
        <v>2023019</v>
      </c>
      <c r="C51" s="70" t="s">
        <v>23</v>
      </c>
      <c r="D51" s="21">
        <v>1</v>
      </c>
      <c r="E51" s="67">
        <v>83</v>
      </c>
      <c r="F51" s="65">
        <f>VLOOKUP(E51,المرجع!$B$3:$C$12,2)</f>
        <v>4</v>
      </c>
      <c r="G51" s="44" t="str">
        <f>VLOOKUP(F51,المرجع!$D$3:$E$12,2)</f>
        <v>ب</v>
      </c>
      <c r="H51" s="40">
        <f t="shared" si="16"/>
        <v>4</v>
      </c>
      <c r="I51" s="21">
        <v>2</v>
      </c>
      <c r="J51" s="67">
        <v>90</v>
      </c>
      <c r="K51" s="65">
        <f>VLOOKUP(J51,المرجع!$B$3:$C$12,2)</f>
        <v>4.75</v>
      </c>
      <c r="L51" s="44" t="str">
        <f>VLOOKUP(K51,المرجع!$D$3:$E$12,2)</f>
        <v>أ</v>
      </c>
      <c r="M51" s="40">
        <f t="shared" si="17"/>
        <v>9.5</v>
      </c>
      <c r="N51" s="21">
        <v>2</v>
      </c>
      <c r="O51" s="67">
        <v>50</v>
      </c>
      <c r="P51" s="65">
        <f>VLOOKUP(O51,المرجع!$B$3:$C$12,2)</f>
        <v>2</v>
      </c>
      <c r="Q51" s="44" t="str">
        <f>VLOOKUP(P51,المرجع!$D$3:$E$12,2)</f>
        <v>د</v>
      </c>
      <c r="R51" s="40">
        <f t="shared" si="18"/>
        <v>4</v>
      </c>
      <c r="S51" s="21">
        <v>2</v>
      </c>
      <c r="T51" s="67">
        <v>68</v>
      </c>
      <c r="U51" s="65">
        <f>VLOOKUP(T51,المرجع!$B$3:$C$12,2)</f>
        <v>2.5</v>
      </c>
      <c r="V51" s="44" t="str">
        <f>VLOOKUP(U51,المرجع!$D$3:$E$12,2)</f>
        <v>د+</v>
      </c>
      <c r="W51" s="40">
        <f t="shared" si="19"/>
        <v>5</v>
      </c>
      <c r="X51" s="21">
        <v>2</v>
      </c>
      <c r="Y51" s="67">
        <v>100</v>
      </c>
      <c r="Z51" s="65">
        <f>VLOOKUP(Y51,المرجع!$B$3:$C$12,2)</f>
        <v>5</v>
      </c>
      <c r="AA51" s="44" t="str">
        <f>VLOOKUP(Z51,المرجع!$D$3:$E$12,2)</f>
        <v xml:space="preserve">أ+ </v>
      </c>
      <c r="AB51" s="40">
        <f t="shared" si="20"/>
        <v>10</v>
      </c>
      <c r="AC51" s="21">
        <v>2</v>
      </c>
      <c r="AD51" s="67">
        <v>85</v>
      </c>
      <c r="AE51" s="65">
        <f>VLOOKUP(AD51,المرجع!$B$3:$C$12,2)</f>
        <v>4.5</v>
      </c>
      <c r="AF51" s="44" t="str">
        <f>VLOOKUP(AE51,المرجع!$D$3:$E$12,2)</f>
        <v>ب+</v>
      </c>
      <c r="AG51" s="40">
        <f t="shared" si="21"/>
        <v>9</v>
      </c>
      <c r="AH51" s="21">
        <v>2</v>
      </c>
      <c r="AI51" s="67">
        <v>50</v>
      </c>
      <c r="AJ51" s="65">
        <f>VLOOKUP(AI51,المرجع!$B$3:$C$12,2)</f>
        <v>2</v>
      </c>
      <c r="AK51" s="44" t="str">
        <f>VLOOKUP(AJ51,المرجع!$D$3:$E$12,2)</f>
        <v>د</v>
      </c>
      <c r="AL51" s="40">
        <f t="shared" si="22"/>
        <v>4</v>
      </c>
      <c r="AM51" s="21">
        <v>2</v>
      </c>
      <c r="AN51" s="67">
        <v>84</v>
      </c>
      <c r="AO51" s="65">
        <f>VLOOKUP(AN51,المرجع!$B$3:$C$12,2)</f>
        <v>4</v>
      </c>
      <c r="AP51" s="44" t="str">
        <f>VLOOKUP(AO51,المرجع!$D$3:$E$12,2)</f>
        <v>ب</v>
      </c>
      <c r="AQ51" s="40">
        <f t="shared" si="23"/>
        <v>8</v>
      </c>
      <c r="AR51" s="21">
        <v>2</v>
      </c>
      <c r="AS51" s="67">
        <v>67</v>
      </c>
      <c r="AT51" s="65">
        <f>VLOOKUP(AS51,المرجع!$B$3:$C$12,2)</f>
        <v>2.5</v>
      </c>
      <c r="AU51" s="44" t="str">
        <f>VLOOKUP(AT51,المرجع!$D$3:$E$12,2)</f>
        <v>د+</v>
      </c>
      <c r="AV51" s="40">
        <f t="shared" si="24"/>
        <v>5</v>
      </c>
      <c r="AW51" s="21">
        <v>2</v>
      </c>
      <c r="AX51" s="67">
        <v>70</v>
      </c>
      <c r="AY51" s="65">
        <f>VLOOKUP(AX51,المرجع!$B$3:$C$12,2)</f>
        <v>3</v>
      </c>
      <c r="AZ51" s="44" t="str">
        <f>VLOOKUP(AY51,المرجع!$D$3:$E$12,2)</f>
        <v>ج</v>
      </c>
      <c r="BA51" s="40">
        <f t="shared" si="25"/>
        <v>6</v>
      </c>
      <c r="BB51" s="21">
        <v>2</v>
      </c>
      <c r="BC51" s="67">
        <v>51</v>
      </c>
      <c r="BD51" s="65">
        <f>VLOOKUP(BC51,المرجع!$B$3:$C$12,2)</f>
        <v>2</v>
      </c>
      <c r="BE51" s="44" t="str">
        <f>VLOOKUP(BD51,المرجع!$D$3:$E$12,2)</f>
        <v>د</v>
      </c>
      <c r="BF51" s="40">
        <f t="shared" si="26"/>
        <v>4</v>
      </c>
      <c r="BG51" s="21">
        <v>2</v>
      </c>
      <c r="BH51" s="67">
        <v>74</v>
      </c>
      <c r="BI51" s="65">
        <f>VLOOKUP(BH51,المرجع!$B$3:$C$12,2)</f>
        <v>3</v>
      </c>
      <c r="BJ51" s="44" t="str">
        <f>VLOOKUP(BI51,المرجع!$D$3:$E$12,2)</f>
        <v>ج</v>
      </c>
      <c r="BK51" s="40">
        <f t="shared" si="27"/>
        <v>6</v>
      </c>
      <c r="BL51" s="72">
        <f t="shared" si="15"/>
        <v>62.5</v>
      </c>
      <c r="BM51" s="73">
        <f t="shared" si="28"/>
        <v>23</v>
      </c>
      <c r="BN51" s="74">
        <f t="shared" si="29"/>
        <v>2.7173913043478262</v>
      </c>
      <c r="BO51" s="75"/>
      <c r="BP51" s="76" t="str">
        <f>VLOOKUP(BN51,المرجع!$D$3:$F$12,3)</f>
        <v xml:space="preserve">جيد </v>
      </c>
      <c r="BQ51" s="77">
        <f t="shared" si="30"/>
        <v>48</v>
      </c>
    </row>
    <row r="52" spans="2:69" ht="28.5">
      <c r="B52" s="66">
        <v>2023022</v>
      </c>
      <c r="C52" s="70" t="s">
        <v>16</v>
      </c>
      <c r="D52" s="21">
        <v>1</v>
      </c>
      <c r="E52" s="67">
        <v>91</v>
      </c>
      <c r="F52" s="65">
        <f>VLOOKUP(E52,المرجع!$B$3:$C$12,2)</f>
        <v>4.75</v>
      </c>
      <c r="G52" s="44" t="str">
        <f>VLOOKUP(F52,المرجع!$D$3:$E$12,2)</f>
        <v>أ</v>
      </c>
      <c r="H52" s="40">
        <f t="shared" si="16"/>
        <v>4.75</v>
      </c>
      <c r="I52" s="21">
        <v>2</v>
      </c>
      <c r="J52" s="67">
        <v>85</v>
      </c>
      <c r="K52" s="65">
        <f>VLOOKUP(J52,المرجع!$B$3:$C$12,2)</f>
        <v>4.5</v>
      </c>
      <c r="L52" s="44" t="str">
        <f>VLOOKUP(K52,المرجع!$D$3:$E$12,2)</f>
        <v>ب+</v>
      </c>
      <c r="M52" s="40">
        <f t="shared" si="17"/>
        <v>9</v>
      </c>
      <c r="N52" s="21">
        <v>2</v>
      </c>
      <c r="O52" s="67">
        <v>50</v>
      </c>
      <c r="P52" s="65">
        <f>VLOOKUP(O52,المرجع!$B$3:$C$12,2)</f>
        <v>2</v>
      </c>
      <c r="Q52" s="44" t="str">
        <f>VLOOKUP(P52,المرجع!$D$3:$E$12,2)</f>
        <v>د</v>
      </c>
      <c r="R52" s="40">
        <f t="shared" si="18"/>
        <v>4</v>
      </c>
      <c r="S52" s="21">
        <v>2</v>
      </c>
      <c r="T52" s="67">
        <v>97</v>
      </c>
      <c r="U52" s="65">
        <f>VLOOKUP(T52,المرجع!$B$3:$C$12,2)</f>
        <v>5</v>
      </c>
      <c r="V52" s="44" t="str">
        <f>VLOOKUP(U52,المرجع!$D$3:$E$12,2)</f>
        <v xml:space="preserve">أ+ </v>
      </c>
      <c r="W52" s="40">
        <f t="shared" si="19"/>
        <v>10</v>
      </c>
      <c r="X52" s="21">
        <v>2</v>
      </c>
      <c r="Y52" s="67">
        <v>90</v>
      </c>
      <c r="Z52" s="65">
        <f>VLOOKUP(Y52,المرجع!$B$3:$C$12,2)</f>
        <v>4.75</v>
      </c>
      <c r="AA52" s="44" t="str">
        <f>VLOOKUP(Z52,المرجع!$D$3:$E$12,2)</f>
        <v>أ</v>
      </c>
      <c r="AB52" s="40">
        <f t="shared" si="20"/>
        <v>9.5</v>
      </c>
      <c r="AC52" s="21">
        <v>2</v>
      </c>
      <c r="AD52" s="67">
        <v>50</v>
      </c>
      <c r="AE52" s="65">
        <f>VLOOKUP(AD52,المرجع!$B$3:$C$12,2)</f>
        <v>2</v>
      </c>
      <c r="AF52" s="44" t="str">
        <f>VLOOKUP(AE52,المرجع!$D$3:$E$12,2)</f>
        <v>د</v>
      </c>
      <c r="AG52" s="40">
        <f t="shared" si="21"/>
        <v>4</v>
      </c>
      <c r="AH52" s="21">
        <v>2</v>
      </c>
      <c r="AI52" s="67">
        <v>50</v>
      </c>
      <c r="AJ52" s="65">
        <f>VLOOKUP(AI52,المرجع!$B$3:$C$12,2)</f>
        <v>2</v>
      </c>
      <c r="AK52" s="44" t="str">
        <f>VLOOKUP(AJ52,المرجع!$D$3:$E$12,2)</f>
        <v>د</v>
      </c>
      <c r="AL52" s="40">
        <f t="shared" si="22"/>
        <v>4</v>
      </c>
      <c r="AM52" s="21">
        <v>2</v>
      </c>
      <c r="AN52" s="67">
        <v>69</v>
      </c>
      <c r="AO52" s="65">
        <f>VLOOKUP(AN52,المرجع!$B$3:$C$12,2)</f>
        <v>2.5</v>
      </c>
      <c r="AP52" s="44" t="str">
        <f>VLOOKUP(AO52,المرجع!$D$3:$E$12,2)</f>
        <v>د+</v>
      </c>
      <c r="AQ52" s="40">
        <f t="shared" si="23"/>
        <v>5</v>
      </c>
      <c r="AR52" s="21">
        <v>2</v>
      </c>
      <c r="AS52" s="67">
        <v>75</v>
      </c>
      <c r="AT52" s="65">
        <f>VLOOKUP(AS52,المرجع!$B$3:$C$12,2)</f>
        <v>3.5</v>
      </c>
      <c r="AU52" s="44" t="str">
        <f>VLOOKUP(AT52,المرجع!$D$3:$E$12,2)</f>
        <v>ج+</v>
      </c>
      <c r="AV52" s="40">
        <f t="shared" si="24"/>
        <v>7</v>
      </c>
      <c r="AW52" s="21">
        <v>2</v>
      </c>
      <c r="AX52" s="67">
        <v>55</v>
      </c>
      <c r="AY52" s="65">
        <f>VLOOKUP(AX52,المرجع!$B$3:$C$12,2)</f>
        <v>2</v>
      </c>
      <c r="AZ52" s="44" t="str">
        <f>VLOOKUP(AY52,المرجع!$D$3:$E$12,2)</f>
        <v>د</v>
      </c>
      <c r="BA52" s="40">
        <f t="shared" si="25"/>
        <v>4</v>
      </c>
      <c r="BB52" s="21">
        <v>2</v>
      </c>
      <c r="BC52" s="67">
        <v>50</v>
      </c>
      <c r="BD52" s="65">
        <f>VLOOKUP(BC52,المرجع!$B$3:$C$12,2)</f>
        <v>2</v>
      </c>
      <c r="BE52" s="44" t="str">
        <f>VLOOKUP(BD52,المرجع!$D$3:$E$12,2)</f>
        <v>د</v>
      </c>
      <c r="BF52" s="40">
        <f t="shared" si="26"/>
        <v>4</v>
      </c>
      <c r="BG52" s="21">
        <v>2</v>
      </c>
      <c r="BH52" s="67">
        <v>81</v>
      </c>
      <c r="BI52" s="65">
        <f>VLOOKUP(BH52,المرجع!$B$3:$C$12,2)</f>
        <v>4</v>
      </c>
      <c r="BJ52" s="44" t="str">
        <f>VLOOKUP(BI52,المرجع!$D$3:$E$12,2)</f>
        <v>ب</v>
      </c>
      <c r="BK52" s="40">
        <f t="shared" si="27"/>
        <v>8</v>
      </c>
      <c r="BL52" s="72">
        <f t="shared" si="15"/>
        <v>57.25</v>
      </c>
      <c r="BM52" s="73">
        <f t="shared" si="28"/>
        <v>23</v>
      </c>
      <c r="BN52" s="74">
        <f t="shared" si="29"/>
        <v>2.4891304347826089</v>
      </c>
      <c r="BO52" s="75"/>
      <c r="BP52" s="76" t="str">
        <f>VLOOKUP(BN52,المرجع!$D$3:$F$12,3)</f>
        <v xml:space="preserve">مقبول مرتفع </v>
      </c>
      <c r="BQ52" s="77">
        <f t="shared" si="30"/>
        <v>59</v>
      </c>
    </row>
    <row r="53" spans="2:69" ht="28.5">
      <c r="B53" s="66">
        <v>2023067</v>
      </c>
      <c r="C53" s="70" t="s">
        <v>71</v>
      </c>
      <c r="D53" s="21">
        <v>1</v>
      </c>
      <c r="E53" s="67">
        <v>81</v>
      </c>
      <c r="F53" s="65">
        <f>VLOOKUP(E53,المرجع!$B$3:$C$12,2)</f>
        <v>4</v>
      </c>
      <c r="G53" s="44" t="str">
        <f>VLOOKUP(F53,المرجع!$D$3:$E$12,2)</f>
        <v>ب</v>
      </c>
      <c r="H53" s="40">
        <f t="shared" si="16"/>
        <v>4</v>
      </c>
      <c r="I53" s="21">
        <v>2</v>
      </c>
      <c r="J53" s="67">
        <v>100</v>
      </c>
      <c r="K53" s="65">
        <f>VLOOKUP(J53,المرجع!$B$3:$C$12,2)</f>
        <v>5</v>
      </c>
      <c r="L53" s="44" t="str">
        <f>VLOOKUP(K53,المرجع!$D$3:$E$12,2)</f>
        <v xml:space="preserve">أ+ </v>
      </c>
      <c r="M53" s="40">
        <f t="shared" si="17"/>
        <v>10</v>
      </c>
      <c r="N53" s="21">
        <v>2</v>
      </c>
      <c r="O53" s="67">
        <v>50</v>
      </c>
      <c r="P53" s="65">
        <f>VLOOKUP(O53,المرجع!$B$3:$C$12,2)</f>
        <v>2</v>
      </c>
      <c r="Q53" s="44" t="str">
        <f>VLOOKUP(P53,المرجع!$D$3:$E$12,2)</f>
        <v>د</v>
      </c>
      <c r="R53" s="40">
        <f t="shared" si="18"/>
        <v>4</v>
      </c>
      <c r="S53" s="21">
        <v>2</v>
      </c>
      <c r="T53" s="67">
        <v>93</v>
      </c>
      <c r="U53" s="65">
        <f>VLOOKUP(T53,المرجع!$B$3:$C$12,2)</f>
        <v>4.75</v>
      </c>
      <c r="V53" s="44" t="str">
        <f>VLOOKUP(U53,المرجع!$D$3:$E$12,2)</f>
        <v>أ</v>
      </c>
      <c r="W53" s="40">
        <f t="shared" si="19"/>
        <v>9.5</v>
      </c>
      <c r="X53" s="21">
        <v>2</v>
      </c>
      <c r="Y53" s="67">
        <v>70</v>
      </c>
      <c r="Z53" s="65">
        <f>VLOOKUP(Y53,المرجع!$B$3:$C$12,2)</f>
        <v>3</v>
      </c>
      <c r="AA53" s="44" t="str">
        <f>VLOOKUP(Z53,المرجع!$D$3:$E$12,2)</f>
        <v>ج</v>
      </c>
      <c r="AB53" s="40">
        <f t="shared" si="20"/>
        <v>6</v>
      </c>
      <c r="AC53" s="21">
        <v>2</v>
      </c>
      <c r="AD53" s="67">
        <v>60</v>
      </c>
      <c r="AE53" s="65">
        <f>VLOOKUP(AD53,المرجع!$B$3:$C$12,2)</f>
        <v>2</v>
      </c>
      <c r="AF53" s="44" t="str">
        <f>VLOOKUP(AE53,المرجع!$D$3:$E$12,2)</f>
        <v>د</v>
      </c>
      <c r="AG53" s="40">
        <f t="shared" si="21"/>
        <v>4</v>
      </c>
      <c r="AH53" s="21">
        <v>2</v>
      </c>
      <c r="AI53" s="67">
        <v>88</v>
      </c>
      <c r="AJ53" s="65">
        <f>VLOOKUP(AI53,المرجع!$B$3:$C$12,2)</f>
        <v>4.5</v>
      </c>
      <c r="AK53" s="44" t="str">
        <f>VLOOKUP(AJ53,المرجع!$D$3:$E$12,2)</f>
        <v>ب+</v>
      </c>
      <c r="AL53" s="40">
        <f t="shared" si="22"/>
        <v>9</v>
      </c>
      <c r="AM53" s="21">
        <v>2</v>
      </c>
      <c r="AN53" s="67">
        <v>59</v>
      </c>
      <c r="AO53" s="65">
        <f>VLOOKUP(AN53,المرجع!$B$3:$C$12,2)</f>
        <v>2</v>
      </c>
      <c r="AP53" s="44" t="str">
        <f>VLOOKUP(AO53,المرجع!$D$3:$E$12,2)</f>
        <v>د</v>
      </c>
      <c r="AQ53" s="40">
        <f t="shared" si="23"/>
        <v>4</v>
      </c>
      <c r="AR53" s="21">
        <v>2</v>
      </c>
      <c r="AS53" s="67">
        <v>79</v>
      </c>
      <c r="AT53" s="65">
        <f>VLOOKUP(AS53,المرجع!$B$3:$C$12,2)</f>
        <v>3.5</v>
      </c>
      <c r="AU53" s="44" t="str">
        <f>VLOOKUP(AT53,المرجع!$D$3:$E$12,2)</f>
        <v>ج+</v>
      </c>
      <c r="AV53" s="40">
        <f t="shared" si="24"/>
        <v>7</v>
      </c>
      <c r="AW53" s="21">
        <v>2</v>
      </c>
      <c r="AX53" s="67">
        <v>65</v>
      </c>
      <c r="AY53" s="65">
        <f>VLOOKUP(AX53,المرجع!$B$3:$C$12,2)</f>
        <v>2.5</v>
      </c>
      <c r="AZ53" s="44" t="str">
        <f>VLOOKUP(AY53,المرجع!$D$3:$E$12,2)</f>
        <v>د+</v>
      </c>
      <c r="BA53" s="40">
        <f t="shared" si="25"/>
        <v>5</v>
      </c>
      <c r="BB53" s="21">
        <v>2</v>
      </c>
      <c r="BC53" s="67">
        <v>72</v>
      </c>
      <c r="BD53" s="65">
        <f>VLOOKUP(BC53,المرجع!$B$3:$C$12,2)</f>
        <v>3</v>
      </c>
      <c r="BE53" s="44" t="str">
        <f>VLOOKUP(BD53,المرجع!$D$3:$E$12,2)</f>
        <v>ج</v>
      </c>
      <c r="BF53" s="40">
        <f t="shared" si="26"/>
        <v>6</v>
      </c>
      <c r="BG53" s="21">
        <v>2</v>
      </c>
      <c r="BH53" s="67">
        <v>69</v>
      </c>
      <c r="BI53" s="65">
        <f>VLOOKUP(BH53,المرجع!$B$3:$C$12,2)</f>
        <v>2.5</v>
      </c>
      <c r="BJ53" s="44" t="str">
        <f>VLOOKUP(BI53,المرجع!$D$3:$E$12,2)</f>
        <v>د+</v>
      </c>
      <c r="BK53" s="40">
        <f t="shared" si="27"/>
        <v>5</v>
      </c>
      <c r="BL53" s="72">
        <f t="shared" si="15"/>
        <v>63.5</v>
      </c>
      <c r="BM53" s="73">
        <f t="shared" si="28"/>
        <v>23</v>
      </c>
      <c r="BN53" s="74">
        <f t="shared" si="29"/>
        <v>2.7608695652173911</v>
      </c>
      <c r="BO53" s="75"/>
      <c r="BP53" s="76" t="str">
        <f>VLOOKUP(BN53,المرجع!$D$3:$F$12,3)</f>
        <v xml:space="preserve">جيد </v>
      </c>
      <c r="BQ53" s="77">
        <f t="shared" si="30"/>
        <v>46</v>
      </c>
    </row>
    <row r="54" spans="2:69" ht="28.5">
      <c r="B54" s="66">
        <v>2023016</v>
      </c>
      <c r="C54" s="70" t="s">
        <v>20</v>
      </c>
      <c r="D54" s="21">
        <v>1</v>
      </c>
      <c r="E54" s="67">
        <v>98</v>
      </c>
      <c r="F54" s="65">
        <f>VLOOKUP(E54,المرجع!$B$3:$C$12,2)</f>
        <v>5</v>
      </c>
      <c r="G54" s="44" t="str">
        <f>VLOOKUP(F54,المرجع!$D$3:$E$12,2)</f>
        <v xml:space="preserve">أ+ </v>
      </c>
      <c r="H54" s="40">
        <f t="shared" si="16"/>
        <v>5</v>
      </c>
      <c r="I54" s="21">
        <v>2</v>
      </c>
      <c r="J54" s="67">
        <v>70</v>
      </c>
      <c r="K54" s="65">
        <f>VLOOKUP(J54,المرجع!$B$3:$C$12,2)</f>
        <v>3</v>
      </c>
      <c r="L54" s="44" t="str">
        <f>VLOOKUP(K54,المرجع!$D$3:$E$12,2)</f>
        <v>ج</v>
      </c>
      <c r="M54" s="40">
        <f t="shared" si="17"/>
        <v>6</v>
      </c>
      <c r="N54" s="21">
        <v>2</v>
      </c>
      <c r="O54" s="67">
        <v>50</v>
      </c>
      <c r="P54" s="65">
        <f>VLOOKUP(O54,المرجع!$B$3:$C$12,2)</f>
        <v>2</v>
      </c>
      <c r="Q54" s="44" t="str">
        <f>VLOOKUP(P54,المرجع!$D$3:$E$12,2)</f>
        <v>د</v>
      </c>
      <c r="R54" s="40">
        <f t="shared" si="18"/>
        <v>4</v>
      </c>
      <c r="S54" s="21">
        <v>2</v>
      </c>
      <c r="T54" s="67">
        <v>99</v>
      </c>
      <c r="U54" s="65">
        <f>VLOOKUP(T54,المرجع!$B$3:$C$12,2)</f>
        <v>5</v>
      </c>
      <c r="V54" s="44" t="str">
        <f>VLOOKUP(U54,المرجع!$D$3:$E$12,2)</f>
        <v xml:space="preserve">أ+ </v>
      </c>
      <c r="W54" s="40">
        <f t="shared" si="19"/>
        <v>10</v>
      </c>
      <c r="X54" s="21">
        <v>2</v>
      </c>
      <c r="Y54" s="67">
        <v>100</v>
      </c>
      <c r="Z54" s="65">
        <f>VLOOKUP(Y54,المرجع!$B$3:$C$12,2)</f>
        <v>5</v>
      </c>
      <c r="AA54" s="44" t="str">
        <f>VLOOKUP(Z54,المرجع!$D$3:$E$12,2)</f>
        <v xml:space="preserve">أ+ </v>
      </c>
      <c r="AB54" s="40">
        <f t="shared" si="20"/>
        <v>10</v>
      </c>
      <c r="AC54" s="21">
        <v>2</v>
      </c>
      <c r="AD54" s="67">
        <v>79</v>
      </c>
      <c r="AE54" s="65">
        <f>VLOOKUP(AD54,المرجع!$B$3:$C$12,2)</f>
        <v>3.5</v>
      </c>
      <c r="AF54" s="44" t="str">
        <f>VLOOKUP(AE54,المرجع!$D$3:$E$12,2)</f>
        <v>ج+</v>
      </c>
      <c r="AG54" s="40">
        <f t="shared" si="21"/>
        <v>7</v>
      </c>
      <c r="AH54" s="21">
        <v>2</v>
      </c>
      <c r="AI54" s="67">
        <v>55</v>
      </c>
      <c r="AJ54" s="65">
        <f>VLOOKUP(AI54,المرجع!$B$3:$C$12,2)</f>
        <v>2</v>
      </c>
      <c r="AK54" s="44" t="str">
        <f>VLOOKUP(AJ54,المرجع!$D$3:$E$12,2)</f>
        <v>د</v>
      </c>
      <c r="AL54" s="40">
        <f t="shared" si="22"/>
        <v>4</v>
      </c>
      <c r="AM54" s="21">
        <v>2</v>
      </c>
      <c r="AN54" s="67">
        <v>65</v>
      </c>
      <c r="AO54" s="65">
        <f>VLOOKUP(AN54,المرجع!$B$3:$C$12,2)</f>
        <v>2.5</v>
      </c>
      <c r="AP54" s="44" t="str">
        <f>VLOOKUP(AO54,المرجع!$D$3:$E$12,2)</f>
        <v>د+</v>
      </c>
      <c r="AQ54" s="40">
        <f t="shared" si="23"/>
        <v>5</v>
      </c>
      <c r="AR54" s="21">
        <v>2</v>
      </c>
      <c r="AS54" s="67">
        <v>67</v>
      </c>
      <c r="AT54" s="65">
        <f>VLOOKUP(AS54,المرجع!$B$3:$C$12,2)</f>
        <v>2.5</v>
      </c>
      <c r="AU54" s="44" t="str">
        <f>VLOOKUP(AT54,المرجع!$D$3:$E$12,2)</f>
        <v>د+</v>
      </c>
      <c r="AV54" s="40">
        <f t="shared" si="24"/>
        <v>5</v>
      </c>
      <c r="AW54" s="21">
        <v>2</v>
      </c>
      <c r="AX54" s="67">
        <v>70</v>
      </c>
      <c r="AY54" s="65">
        <f>VLOOKUP(AX54,المرجع!$B$3:$C$12,2)</f>
        <v>3</v>
      </c>
      <c r="AZ54" s="44" t="str">
        <f>VLOOKUP(AY54,المرجع!$D$3:$E$12,2)</f>
        <v>ج</v>
      </c>
      <c r="BA54" s="40">
        <f t="shared" si="25"/>
        <v>6</v>
      </c>
      <c r="BB54" s="21">
        <v>2</v>
      </c>
      <c r="BC54" s="67">
        <v>73</v>
      </c>
      <c r="BD54" s="65">
        <f>VLOOKUP(BC54,المرجع!$B$3:$C$12,2)</f>
        <v>3</v>
      </c>
      <c r="BE54" s="44" t="str">
        <f>VLOOKUP(BD54,المرجع!$D$3:$E$12,2)</f>
        <v>ج</v>
      </c>
      <c r="BF54" s="40">
        <f t="shared" si="26"/>
        <v>6</v>
      </c>
      <c r="BG54" s="21">
        <v>2</v>
      </c>
      <c r="BH54" s="67">
        <v>86</v>
      </c>
      <c r="BI54" s="65">
        <f>VLOOKUP(BH54,المرجع!$B$3:$C$12,2)</f>
        <v>4.5</v>
      </c>
      <c r="BJ54" s="44" t="str">
        <f>VLOOKUP(BI54,المرجع!$D$3:$E$12,2)</f>
        <v>ب+</v>
      </c>
      <c r="BK54" s="40">
        <f t="shared" si="27"/>
        <v>9</v>
      </c>
      <c r="BL54" s="72">
        <f t="shared" si="15"/>
        <v>59</v>
      </c>
      <c r="BM54" s="73">
        <f t="shared" si="28"/>
        <v>23</v>
      </c>
      <c r="BN54" s="74">
        <f t="shared" si="29"/>
        <v>2.5652173913043477</v>
      </c>
      <c r="BO54" s="75"/>
      <c r="BP54" s="76" t="str">
        <f>VLOOKUP(BN54,المرجع!$D$3:$F$12,3)</f>
        <v xml:space="preserve">مقبول مرتفع </v>
      </c>
      <c r="BQ54" s="77">
        <f t="shared" si="30"/>
        <v>57</v>
      </c>
    </row>
    <row r="55" spans="2:69" ht="28.5">
      <c r="B55" s="66">
        <v>2023007</v>
      </c>
      <c r="C55" s="70" t="s">
        <v>27</v>
      </c>
      <c r="D55" s="21">
        <v>1</v>
      </c>
      <c r="E55" s="67">
        <v>90</v>
      </c>
      <c r="F55" s="65">
        <f>VLOOKUP(E55,المرجع!$B$3:$C$12,2)</f>
        <v>4.75</v>
      </c>
      <c r="G55" s="44" t="str">
        <f>VLOOKUP(F55,المرجع!$D$3:$E$12,2)</f>
        <v>أ</v>
      </c>
      <c r="H55" s="40">
        <f t="shared" si="16"/>
        <v>4.75</v>
      </c>
      <c r="I55" s="21">
        <v>2</v>
      </c>
      <c r="J55" s="67">
        <v>81</v>
      </c>
      <c r="K55" s="65">
        <f>VLOOKUP(J55,المرجع!$B$3:$C$12,2)</f>
        <v>4</v>
      </c>
      <c r="L55" s="44" t="str">
        <f>VLOOKUP(K55,المرجع!$D$3:$E$12,2)</f>
        <v>ب</v>
      </c>
      <c r="M55" s="40">
        <f t="shared" si="17"/>
        <v>8</v>
      </c>
      <c r="N55" s="21">
        <v>2</v>
      </c>
      <c r="O55" s="67">
        <v>50</v>
      </c>
      <c r="P55" s="65">
        <f>VLOOKUP(O55,المرجع!$B$3:$C$12,2)</f>
        <v>2</v>
      </c>
      <c r="Q55" s="44" t="str">
        <f>VLOOKUP(P55,المرجع!$D$3:$E$12,2)</f>
        <v>د</v>
      </c>
      <c r="R55" s="40">
        <f t="shared" si="18"/>
        <v>4</v>
      </c>
      <c r="S55" s="21">
        <v>2</v>
      </c>
      <c r="T55" s="67">
        <v>90</v>
      </c>
      <c r="U55" s="65">
        <f>VLOOKUP(T55,المرجع!$B$3:$C$12,2)</f>
        <v>4.75</v>
      </c>
      <c r="V55" s="44" t="str">
        <f>VLOOKUP(U55,المرجع!$D$3:$E$12,2)</f>
        <v>أ</v>
      </c>
      <c r="W55" s="40">
        <f t="shared" si="19"/>
        <v>9.5</v>
      </c>
      <c r="X55" s="21">
        <v>2</v>
      </c>
      <c r="Y55" s="67">
        <v>54</v>
      </c>
      <c r="Z55" s="65">
        <f>VLOOKUP(Y55,المرجع!$B$3:$C$12,2)</f>
        <v>2</v>
      </c>
      <c r="AA55" s="44" t="str">
        <f>VLOOKUP(Z55,المرجع!$D$3:$E$12,2)</f>
        <v>د</v>
      </c>
      <c r="AB55" s="40">
        <f t="shared" si="20"/>
        <v>4</v>
      </c>
      <c r="AC55" s="21">
        <v>2</v>
      </c>
      <c r="AD55" s="67">
        <v>67</v>
      </c>
      <c r="AE55" s="65">
        <f>VLOOKUP(AD55,المرجع!$B$3:$C$12,2)</f>
        <v>2.5</v>
      </c>
      <c r="AF55" s="44" t="str">
        <f>VLOOKUP(AE55,المرجع!$D$3:$E$12,2)</f>
        <v>د+</v>
      </c>
      <c r="AG55" s="40">
        <f t="shared" si="21"/>
        <v>5</v>
      </c>
      <c r="AH55" s="21">
        <v>2</v>
      </c>
      <c r="AI55" s="67">
        <v>50</v>
      </c>
      <c r="AJ55" s="65">
        <f>VLOOKUP(AI55,المرجع!$B$3:$C$12,2)</f>
        <v>2</v>
      </c>
      <c r="AK55" s="44" t="str">
        <f>VLOOKUP(AJ55,المرجع!$D$3:$E$12,2)</f>
        <v>د</v>
      </c>
      <c r="AL55" s="40">
        <f t="shared" si="22"/>
        <v>4</v>
      </c>
      <c r="AM55" s="21">
        <v>2</v>
      </c>
      <c r="AN55" s="67">
        <v>76</v>
      </c>
      <c r="AO55" s="65">
        <f>VLOOKUP(AN55,المرجع!$B$3:$C$12,2)</f>
        <v>3.5</v>
      </c>
      <c r="AP55" s="44" t="str">
        <f>VLOOKUP(AO55,المرجع!$D$3:$E$12,2)</f>
        <v>ج+</v>
      </c>
      <c r="AQ55" s="40">
        <f t="shared" si="23"/>
        <v>7</v>
      </c>
      <c r="AR55" s="21">
        <v>2</v>
      </c>
      <c r="AS55" s="67">
        <v>76</v>
      </c>
      <c r="AT55" s="65">
        <f>VLOOKUP(AS55,المرجع!$B$3:$C$12,2)</f>
        <v>3.5</v>
      </c>
      <c r="AU55" s="44" t="str">
        <f>VLOOKUP(AT55,المرجع!$D$3:$E$12,2)</f>
        <v>ج+</v>
      </c>
      <c r="AV55" s="40">
        <f t="shared" si="24"/>
        <v>7</v>
      </c>
      <c r="AW55" s="21">
        <v>2</v>
      </c>
      <c r="AX55" s="67">
        <v>60</v>
      </c>
      <c r="AY55" s="65">
        <f>VLOOKUP(AX55,المرجع!$B$3:$C$12,2)</f>
        <v>2</v>
      </c>
      <c r="AZ55" s="44" t="str">
        <f>VLOOKUP(AY55,المرجع!$D$3:$E$12,2)</f>
        <v>د</v>
      </c>
      <c r="BA55" s="40">
        <f t="shared" si="25"/>
        <v>4</v>
      </c>
      <c r="BB55" s="21">
        <v>2</v>
      </c>
      <c r="BC55" s="67">
        <v>70</v>
      </c>
      <c r="BD55" s="65">
        <f>VLOOKUP(BC55,المرجع!$B$3:$C$12,2)</f>
        <v>3</v>
      </c>
      <c r="BE55" s="44" t="str">
        <f>VLOOKUP(BD55,المرجع!$D$3:$E$12,2)</f>
        <v>ج</v>
      </c>
      <c r="BF55" s="40">
        <f t="shared" si="26"/>
        <v>6</v>
      </c>
      <c r="BG55" s="21">
        <v>2</v>
      </c>
      <c r="BH55" s="67">
        <v>90</v>
      </c>
      <c r="BI55" s="65">
        <f>VLOOKUP(BH55,المرجع!$B$3:$C$12,2)</f>
        <v>4.75</v>
      </c>
      <c r="BJ55" s="44" t="str">
        <f>VLOOKUP(BI55,المرجع!$D$3:$E$12,2)</f>
        <v>أ</v>
      </c>
      <c r="BK55" s="40">
        <f t="shared" si="27"/>
        <v>9.5</v>
      </c>
      <c r="BL55" s="72">
        <f t="shared" si="15"/>
        <v>53.75</v>
      </c>
      <c r="BM55" s="73">
        <f t="shared" si="28"/>
        <v>23</v>
      </c>
      <c r="BN55" s="74">
        <f t="shared" si="29"/>
        <v>2.3369565217391304</v>
      </c>
      <c r="BO55" s="75"/>
      <c r="BP55" s="76" t="str">
        <f>VLOOKUP(BN55,المرجع!$D$3:$F$12,3)</f>
        <v xml:space="preserve">مقبول مرتفع </v>
      </c>
      <c r="BQ55" s="77">
        <f t="shared" si="30"/>
        <v>65</v>
      </c>
    </row>
    <row r="56" spans="2:69" ht="28.5">
      <c r="B56" s="66">
        <v>2023029</v>
      </c>
      <c r="C56" s="70" t="s">
        <v>25</v>
      </c>
      <c r="D56" s="21">
        <v>1</v>
      </c>
      <c r="E56" s="67">
        <v>66</v>
      </c>
      <c r="F56" s="65">
        <f>VLOOKUP(E56,المرجع!$B$3:$C$12,2)</f>
        <v>2.5</v>
      </c>
      <c r="G56" s="44" t="str">
        <f>VLOOKUP(F56,المرجع!$D$3:$E$12,2)</f>
        <v>د+</v>
      </c>
      <c r="H56" s="40">
        <f t="shared" si="16"/>
        <v>2.5</v>
      </c>
      <c r="I56" s="21">
        <v>2</v>
      </c>
      <c r="J56" s="67">
        <v>75</v>
      </c>
      <c r="K56" s="65">
        <f>VLOOKUP(J56,المرجع!$B$3:$C$12,2)</f>
        <v>3.5</v>
      </c>
      <c r="L56" s="44" t="str">
        <f>VLOOKUP(K56,المرجع!$D$3:$E$12,2)</f>
        <v>ج+</v>
      </c>
      <c r="M56" s="40">
        <f t="shared" si="17"/>
        <v>7</v>
      </c>
      <c r="N56" s="21">
        <v>2</v>
      </c>
      <c r="O56" s="67">
        <v>50</v>
      </c>
      <c r="P56" s="65">
        <f>VLOOKUP(O56,المرجع!$B$3:$C$12,2)</f>
        <v>2</v>
      </c>
      <c r="Q56" s="44" t="str">
        <f>VLOOKUP(P56,المرجع!$D$3:$E$12,2)</f>
        <v>د</v>
      </c>
      <c r="R56" s="40">
        <f t="shared" si="18"/>
        <v>4</v>
      </c>
      <c r="S56" s="21">
        <v>2</v>
      </c>
      <c r="T56" s="67">
        <v>100</v>
      </c>
      <c r="U56" s="65">
        <f>VLOOKUP(T56,المرجع!$B$3:$C$12,2)</f>
        <v>5</v>
      </c>
      <c r="V56" s="44" t="str">
        <f>VLOOKUP(U56,المرجع!$D$3:$E$12,2)</f>
        <v xml:space="preserve">أ+ </v>
      </c>
      <c r="W56" s="40">
        <f t="shared" si="19"/>
        <v>10</v>
      </c>
      <c r="X56" s="21">
        <v>2</v>
      </c>
      <c r="Y56" s="67">
        <v>100</v>
      </c>
      <c r="Z56" s="65">
        <f>VLOOKUP(Y56,المرجع!$B$3:$C$12,2)</f>
        <v>5</v>
      </c>
      <c r="AA56" s="44" t="str">
        <f>VLOOKUP(Z56,المرجع!$D$3:$E$12,2)</f>
        <v xml:space="preserve">أ+ </v>
      </c>
      <c r="AB56" s="40">
        <f t="shared" si="20"/>
        <v>10</v>
      </c>
      <c r="AC56" s="21">
        <v>2</v>
      </c>
      <c r="AD56" s="67">
        <v>68</v>
      </c>
      <c r="AE56" s="65">
        <f>VLOOKUP(AD56,المرجع!$B$3:$C$12,2)</f>
        <v>2.5</v>
      </c>
      <c r="AF56" s="44" t="str">
        <f>VLOOKUP(AE56,المرجع!$D$3:$E$12,2)</f>
        <v>د+</v>
      </c>
      <c r="AG56" s="40">
        <f t="shared" si="21"/>
        <v>5</v>
      </c>
      <c r="AH56" s="21">
        <v>2</v>
      </c>
      <c r="AI56" s="67">
        <v>55</v>
      </c>
      <c r="AJ56" s="65">
        <f>VLOOKUP(AI56,المرجع!$B$3:$C$12,2)</f>
        <v>2</v>
      </c>
      <c r="AK56" s="44" t="str">
        <f>VLOOKUP(AJ56,المرجع!$D$3:$E$12,2)</f>
        <v>د</v>
      </c>
      <c r="AL56" s="40">
        <f t="shared" si="22"/>
        <v>4</v>
      </c>
      <c r="AM56" s="21">
        <v>2</v>
      </c>
      <c r="AN56" s="67">
        <v>86</v>
      </c>
      <c r="AO56" s="65">
        <f>VLOOKUP(AN56,المرجع!$B$3:$C$12,2)</f>
        <v>4.5</v>
      </c>
      <c r="AP56" s="44" t="str">
        <f>VLOOKUP(AO56,المرجع!$D$3:$E$12,2)</f>
        <v>ب+</v>
      </c>
      <c r="AQ56" s="40">
        <f t="shared" si="23"/>
        <v>9</v>
      </c>
      <c r="AR56" s="21">
        <v>2</v>
      </c>
      <c r="AS56" s="67">
        <v>86</v>
      </c>
      <c r="AT56" s="65">
        <f>VLOOKUP(AS56,المرجع!$B$3:$C$12,2)</f>
        <v>4.5</v>
      </c>
      <c r="AU56" s="44" t="str">
        <f>VLOOKUP(AT56,المرجع!$D$3:$E$12,2)</f>
        <v>ب+</v>
      </c>
      <c r="AV56" s="40">
        <f t="shared" si="24"/>
        <v>9</v>
      </c>
      <c r="AW56" s="21">
        <v>2</v>
      </c>
      <c r="AX56" s="67">
        <v>65</v>
      </c>
      <c r="AY56" s="65">
        <f>VLOOKUP(AX56,المرجع!$B$3:$C$12,2)</f>
        <v>2.5</v>
      </c>
      <c r="AZ56" s="44" t="str">
        <f>VLOOKUP(AY56,المرجع!$D$3:$E$12,2)</f>
        <v>د+</v>
      </c>
      <c r="BA56" s="40">
        <f t="shared" si="25"/>
        <v>5</v>
      </c>
      <c r="BB56" s="21">
        <v>2</v>
      </c>
      <c r="BC56" s="67">
        <v>65</v>
      </c>
      <c r="BD56" s="65">
        <f>VLOOKUP(BC56,المرجع!$B$3:$C$12,2)</f>
        <v>2.5</v>
      </c>
      <c r="BE56" s="44" t="str">
        <f>VLOOKUP(BD56,المرجع!$D$3:$E$12,2)</f>
        <v>د+</v>
      </c>
      <c r="BF56" s="40">
        <f t="shared" si="26"/>
        <v>5</v>
      </c>
      <c r="BG56" s="21">
        <v>2</v>
      </c>
      <c r="BH56" s="67">
        <v>96</v>
      </c>
      <c r="BI56" s="65">
        <f>VLOOKUP(BH56,المرجع!$B$3:$C$12,2)</f>
        <v>5</v>
      </c>
      <c r="BJ56" s="44" t="str">
        <f>VLOOKUP(BI56,المرجع!$D$3:$E$12,2)</f>
        <v xml:space="preserve">أ+ </v>
      </c>
      <c r="BK56" s="40">
        <f t="shared" si="27"/>
        <v>10</v>
      </c>
      <c r="BL56" s="72">
        <f t="shared" si="15"/>
        <v>60.5</v>
      </c>
      <c r="BM56" s="73">
        <f t="shared" si="28"/>
        <v>23</v>
      </c>
      <c r="BN56" s="74">
        <f t="shared" si="29"/>
        <v>2.6304347826086958</v>
      </c>
      <c r="BO56" s="75"/>
      <c r="BP56" s="76" t="str">
        <f>VLOOKUP(BN56,المرجع!$D$3:$F$12,3)</f>
        <v xml:space="preserve">جيد </v>
      </c>
      <c r="BQ56" s="77">
        <f t="shared" si="30"/>
        <v>53</v>
      </c>
    </row>
    <row r="57" spans="2:69" ht="28.5">
      <c r="B57" s="66">
        <v>2023101</v>
      </c>
      <c r="C57" s="70" t="s">
        <v>65</v>
      </c>
      <c r="D57" s="21">
        <v>1</v>
      </c>
      <c r="E57" s="67">
        <v>92</v>
      </c>
      <c r="F57" s="65">
        <f>VLOOKUP(E57,المرجع!$B$3:$C$12,2)</f>
        <v>4.75</v>
      </c>
      <c r="G57" s="44" t="str">
        <f>VLOOKUP(F57,المرجع!$D$3:$E$12,2)</f>
        <v>أ</v>
      </c>
      <c r="H57" s="40">
        <f t="shared" si="16"/>
        <v>4.75</v>
      </c>
      <c r="I57" s="21">
        <v>2</v>
      </c>
      <c r="J57" s="67">
        <v>65</v>
      </c>
      <c r="K57" s="65">
        <f>VLOOKUP(J57,المرجع!$B$3:$C$12,2)</f>
        <v>2.5</v>
      </c>
      <c r="L57" s="44" t="str">
        <f>VLOOKUP(K57,المرجع!$D$3:$E$12,2)</f>
        <v>د+</v>
      </c>
      <c r="M57" s="40">
        <f t="shared" si="17"/>
        <v>5</v>
      </c>
      <c r="N57" s="21">
        <v>2</v>
      </c>
      <c r="O57" s="67">
        <v>70</v>
      </c>
      <c r="P57" s="65">
        <f>VLOOKUP(O57,المرجع!$B$3:$C$12,2)</f>
        <v>3</v>
      </c>
      <c r="Q57" s="44" t="str">
        <f>VLOOKUP(P57,المرجع!$D$3:$E$12,2)</f>
        <v>ج</v>
      </c>
      <c r="R57" s="40">
        <f t="shared" si="18"/>
        <v>6</v>
      </c>
      <c r="S57" s="21">
        <v>2</v>
      </c>
      <c r="T57" s="67">
        <v>91</v>
      </c>
      <c r="U57" s="65">
        <f>VLOOKUP(T57,المرجع!$B$3:$C$12,2)</f>
        <v>4.75</v>
      </c>
      <c r="V57" s="44" t="str">
        <f>VLOOKUP(U57,المرجع!$D$3:$E$12,2)</f>
        <v>أ</v>
      </c>
      <c r="W57" s="40">
        <f t="shared" si="19"/>
        <v>9.5</v>
      </c>
      <c r="X57" s="21">
        <v>2</v>
      </c>
      <c r="Y57" s="67">
        <v>90</v>
      </c>
      <c r="Z57" s="65">
        <f>VLOOKUP(Y57,المرجع!$B$3:$C$12,2)</f>
        <v>4.75</v>
      </c>
      <c r="AA57" s="44" t="str">
        <f>VLOOKUP(Z57,المرجع!$D$3:$E$12,2)</f>
        <v>أ</v>
      </c>
      <c r="AB57" s="40">
        <f t="shared" si="20"/>
        <v>9.5</v>
      </c>
      <c r="AC57" s="21">
        <v>2</v>
      </c>
      <c r="AD57" s="67">
        <v>50</v>
      </c>
      <c r="AE57" s="65">
        <f>VLOOKUP(AD57,المرجع!$B$3:$C$12,2)</f>
        <v>2</v>
      </c>
      <c r="AF57" s="44" t="str">
        <f>VLOOKUP(AE57,المرجع!$D$3:$E$12,2)</f>
        <v>د</v>
      </c>
      <c r="AG57" s="40">
        <f t="shared" si="21"/>
        <v>4</v>
      </c>
      <c r="AH57" s="21">
        <v>2</v>
      </c>
      <c r="AI57" s="67">
        <v>50</v>
      </c>
      <c r="AJ57" s="65">
        <f>VLOOKUP(AI57,المرجع!$B$3:$C$12,2)</f>
        <v>2</v>
      </c>
      <c r="AK57" s="44" t="str">
        <f>VLOOKUP(AJ57,المرجع!$D$3:$E$12,2)</f>
        <v>د</v>
      </c>
      <c r="AL57" s="40">
        <f t="shared" si="22"/>
        <v>4</v>
      </c>
      <c r="AM57" s="21">
        <v>2</v>
      </c>
      <c r="AN57" s="67">
        <v>88</v>
      </c>
      <c r="AO57" s="65">
        <f>VLOOKUP(AN57,المرجع!$B$3:$C$12,2)</f>
        <v>4.5</v>
      </c>
      <c r="AP57" s="44" t="str">
        <f>VLOOKUP(AO57,المرجع!$D$3:$E$12,2)</f>
        <v>ب+</v>
      </c>
      <c r="AQ57" s="40">
        <f t="shared" si="23"/>
        <v>9</v>
      </c>
      <c r="AR57" s="21">
        <v>2</v>
      </c>
      <c r="AS57" s="67">
        <v>76</v>
      </c>
      <c r="AT57" s="65">
        <f>VLOOKUP(AS57,المرجع!$B$3:$C$12,2)</f>
        <v>3.5</v>
      </c>
      <c r="AU57" s="44" t="str">
        <f>VLOOKUP(AT57,المرجع!$D$3:$E$12,2)</f>
        <v>ج+</v>
      </c>
      <c r="AV57" s="40">
        <f t="shared" si="24"/>
        <v>7</v>
      </c>
      <c r="AW57" s="21">
        <v>2</v>
      </c>
      <c r="AX57" s="67">
        <v>63</v>
      </c>
      <c r="AY57" s="65">
        <f>VLOOKUP(AX57,المرجع!$B$3:$C$12,2)</f>
        <v>2</v>
      </c>
      <c r="AZ57" s="44" t="str">
        <f>VLOOKUP(AY57,المرجع!$D$3:$E$12,2)</f>
        <v>د</v>
      </c>
      <c r="BA57" s="40">
        <f t="shared" si="25"/>
        <v>4</v>
      </c>
      <c r="BB57" s="21">
        <v>2</v>
      </c>
      <c r="BC57" s="67">
        <v>75</v>
      </c>
      <c r="BD57" s="65">
        <f>VLOOKUP(BC57,المرجع!$B$3:$C$12,2)</f>
        <v>3.5</v>
      </c>
      <c r="BE57" s="44" t="str">
        <f>VLOOKUP(BD57,المرجع!$D$3:$E$12,2)</f>
        <v>ج+</v>
      </c>
      <c r="BF57" s="40">
        <f t="shared" si="26"/>
        <v>7</v>
      </c>
      <c r="BG57" s="21">
        <v>2</v>
      </c>
      <c r="BH57" s="67">
        <v>84</v>
      </c>
      <c r="BI57" s="65">
        <f>VLOOKUP(BH57,المرجع!$B$3:$C$12,2)</f>
        <v>4</v>
      </c>
      <c r="BJ57" s="44" t="str">
        <f>VLOOKUP(BI57,المرجع!$D$3:$E$12,2)</f>
        <v>ب</v>
      </c>
      <c r="BK57" s="40">
        <f t="shared" si="27"/>
        <v>8</v>
      </c>
      <c r="BL57" s="72">
        <f t="shared" si="15"/>
        <v>61.75</v>
      </c>
      <c r="BM57" s="73">
        <f t="shared" si="28"/>
        <v>23</v>
      </c>
      <c r="BN57" s="74">
        <f t="shared" si="29"/>
        <v>2.6847826086956523</v>
      </c>
      <c r="BO57" s="75"/>
      <c r="BP57" s="76" t="str">
        <f>VLOOKUP(BN57,المرجع!$D$3:$F$12,3)</f>
        <v xml:space="preserve">جيد </v>
      </c>
      <c r="BQ57" s="77">
        <f t="shared" si="30"/>
        <v>51</v>
      </c>
    </row>
    <row r="58" spans="2:69" ht="28.5">
      <c r="B58" s="66">
        <v>2023096</v>
      </c>
      <c r="C58" s="70" t="s">
        <v>64</v>
      </c>
      <c r="D58" s="21">
        <v>1</v>
      </c>
      <c r="E58" s="67">
        <v>100</v>
      </c>
      <c r="F58" s="65">
        <f>VLOOKUP(E58,المرجع!$B$3:$C$12,2)</f>
        <v>5</v>
      </c>
      <c r="G58" s="44" t="str">
        <f>VLOOKUP(F58,المرجع!$D$3:$E$12,2)</f>
        <v xml:space="preserve">أ+ </v>
      </c>
      <c r="H58" s="40">
        <f t="shared" si="16"/>
        <v>5</v>
      </c>
      <c r="I58" s="21">
        <v>2</v>
      </c>
      <c r="J58" s="67">
        <v>74</v>
      </c>
      <c r="K58" s="65">
        <f>VLOOKUP(J58,المرجع!$B$3:$C$12,2)</f>
        <v>3</v>
      </c>
      <c r="L58" s="44" t="str">
        <f>VLOOKUP(K58,المرجع!$D$3:$E$12,2)</f>
        <v>ج</v>
      </c>
      <c r="M58" s="40">
        <f t="shared" si="17"/>
        <v>6</v>
      </c>
      <c r="N58" s="21">
        <v>2</v>
      </c>
      <c r="O58" s="67">
        <v>50</v>
      </c>
      <c r="P58" s="65">
        <f>VLOOKUP(O58,المرجع!$B$3:$C$12,2)</f>
        <v>2</v>
      </c>
      <c r="Q58" s="44" t="str">
        <f>VLOOKUP(P58,المرجع!$D$3:$E$12,2)</f>
        <v>د</v>
      </c>
      <c r="R58" s="40">
        <f t="shared" si="18"/>
        <v>4</v>
      </c>
      <c r="S58" s="21">
        <v>2</v>
      </c>
      <c r="T58" s="67">
        <v>98</v>
      </c>
      <c r="U58" s="65">
        <f>VLOOKUP(T58,المرجع!$B$3:$C$12,2)</f>
        <v>5</v>
      </c>
      <c r="V58" s="44" t="str">
        <f>VLOOKUP(U58,المرجع!$D$3:$E$12,2)</f>
        <v xml:space="preserve">أ+ </v>
      </c>
      <c r="W58" s="40">
        <f t="shared" si="19"/>
        <v>10</v>
      </c>
      <c r="X58" s="21">
        <v>2</v>
      </c>
      <c r="Y58" s="67">
        <v>90</v>
      </c>
      <c r="Z58" s="65">
        <f>VLOOKUP(Y58,المرجع!$B$3:$C$12,2)</f>
        <v>4.75</v>
      </c>
      <c r="AA58" s="44" t="str">
        <f>VLOOKUP(Z58,المرجع!$D$3:$E$12,2)</f>
        <v>أ</v>
      </c>
      <c r="AB58" s="40">
        <f t="shared" si="20"/>
        <v>9.5</v>
      </c>
      <c r="AC58" s="21">
        <v>2</v>
      </c>
      <c r="AD58" s="67">
        <v>61</v>
      </c>
      <c r="AE58" s="65">
        <f>VLOOKUP(AD58,المرجع!$B$3:$C$12,2)</f>
        <v>2</v>
      </c>
      <c r="AF58" s="44" t="str">
        <f>VLOOKUP(AE58,المرجع!$D$3:$E$12,2)</f>
        <v>د</v>
      </c>
      <c r="AG58" s="40">
        <f t="shared" si="21"/>
        <v>4</v>
      </c>
      <c r="AH58" s="21">
        <v>2</v>
      </c>
      <c r="AI58" s="67">
        <v>55</v>
      </c>
      <c r="AJ58" s="65">
        <f>VLOOKUP(AI58,المرجع!$B$3:$C$12,2)</f>
        <v>2</v>
      </c>
      <c r="AK58" s="44" t="str">
        <f>VLOOKUP(AJ58,المرجع!$D$3:$E$12,2)</f>
        <v>د</v>
      </c>
      <c r="AL58" s="40">
        <f t="shared" si="22"/>
        <v>4</v>
      </c>
      <c r="AM58" s="21">
        <v>2</v>
      </c>
      <c r="AN58" s="67">
        <v>80</v>
      </c>
      <c r="AO58" s="65">
        <f>VLOOKUP(AN58,المرجع!$B$3:$C$12,2)</f>
        <v>4</v>
      </c>
      <c r="AP58" s="44" t="str">
        <f>VLOOKUP(AO58,المرجع!$D$3:$E$12,2)</f>
        <v>ب</v>
      </c>
      <c r="AQ58" s="40">
        <f t="shared" si="23"/>
        <v>8</v>
      </c>
      <c r="AR58" s="21">
        <v>2</v>
      </c>
      <c r="AS58" s="67">
        <v>79</v>
      </c>
      <c r="AT58" s="65">
        <f>VLOOKUP(AS58,المرجع!$B$3:$C$12,2)</f>
        <v>3.5</v>
      </c>
      <c r="AU58" s="44" t="str">
        <f>VLOOKUP(AT58,المرجع!$D$3:$E$12,2)</f>
        <v>ج+</v>
      </c>
      <c r="AV58" s="40">
        <f t="shared" si="24"/>
        <v>7</v>
      </c>
      <c r="AW58" s="21">
        <v>2</v>
      </c>
      <c r="AX58" s="67">
        <v>55</v>
      </c>
      <c r="AY58" s="65">
        <f>VLOOKUP(AX58,المرجع!$B$3:$C$12,2)</f>
        <v>2</v>
      </c>
      <c r="AZ58" s="44" t="str">
        <f>VLOOKUP(AY58,المرجع!$D$3:$E$12,2)</f>
        <v>د</v>
      </c>
      <c r="BA58" s="40">
        <f t="shared" si="25"/>
        <v>4</v>
      </c>
      <c r="BB58" s="21">
        <v>2</v>
      </c>
      <c r="BC58" s="67">
        <v>74</v>
      </c>
      <c r="BD58" s="65">
        <f>VLOOKUP(BC58,المرجع!$B$3:$C$12,2)</f>
        <v>3</v>
      </c>
      <c r="BE58" s="44" t="str">
        <f>VLOOKUP(BD58,المرجع!$D$3:$E$12,2)</f>
        <v>ج</v>
      </c>
      <c r="BF58" s="40">
        <f t="shared" si="26"/>
        <v>6</v>
      </c>
      <c r="BG58" s="21">
        <v>2</v>
      </c>
      <c r="BH58" s="67">
        <v>76</v>
      </c>
      <c r="BI58" s="65">
        <f>VLOOKUP(BH58,المرجع!$B$3:$C$12,2)</f>
        <v>3.5</v>
      </c>
      <c r="BJ58" s="44" t="str">
        <f>VLOOKUP(BI58,المرجع!$D$3:$E$12,2)</f>
        <v>ج+</v>
      </c>
      <c r="BK58" s="40">
        <f t="shared" si="27"/>
        <v>7</v>
      </c>
      <c r="BL58" s="72">
        <f t="shared" si="15"/>
        <v>60.5</v>
      </c>
      <c r="BM58" s="73">
        <f t="shared" si="28"/>
        <v>23</v>
      </c>
      <c r="BN58" s="74">
        <f t="shared" si="29"/>
        <v>2.6304347826086958</v>
      </c>
      <c r="BO58" s="75"/>
      <c r="BP58" s="76" t="str">
        <f>VLOOKUP(BN58,المرجع!$D$3:$F$12,3)</f>
        <v xml:space="preserve">جيد </v>
      </c>
      <c r="BQ58" s="77">
        <f t="shared" si="30"/>
        <v>53</v>
      </c>
    </row>
    <row r="59" spans="2:69" ht="28.5">
      <c r="B59" s="66">
        <v>2023031</v>
      </c>
      <c r="C59" s="70" t="s">
        <v>164</v>
      </c>
      <c r="D59" s="21">
        <v>1</v>
      </c>
      <c r="E59" s="67">
        <v>96</v>
      </c>
      <c r="F59" s="65">
        <f>VLOOKUP(E59,المرجع!$B$3:$C$12,2)</f>
        <v>5</v>
      </c>
      <c r="G59" s="44" t="str">
        <f>VLOOKUP(F59,المرجع!$D$3:$E$12,2)</f>
        <v xml:space="preserve">أ+ </v>
      </c>
      <c r="H59" s="40">
        <f t="shared" si="16"/>
        <v>5</v>
      </c>
      <c r="I59" s="21">
        <v>2</v>
      </c>
      <c r="J59" s="67">
        <v>70</v>
      </c>
      <c r="K59" s="65">
        <f>VLOOKUP(J59,المرجع!$B$3:$C$12,2)</f>
        <v>3</v>
      </c>
      <c r="L59" s="44" t="str">
        <f>VLOOKUP(K59,المرجع!$D$3:$E$12,2)</f>
        <v>ج</v>
      </c>
      <c r="M59" s="40">
        <f t="shared" si="17"/>
        <v>6</v>
      </c>
      <c r="N59" s="21">
        <v>2</v>
      </c>
      <c r="O59" s="67">
        <v>60</v>
      </c>
      <c r="P59" s="65">
        <f>VLOOKUP(O59,المرجع!$B$3:$C$12,2)</f>
        <v>2</v>
      </c>
      <c r="Q59" s="44" t="str">
        <f>VLOOKUP(P59,المرجع!$D$3:$E$12,2)</f>
        <v>د</v>
      </c>
      <c r="R59" s="40">
        <f t="shared" si="18"/>
        <v>4</v>
      </c>
      <c r="S59" s="21">
        <v>2</v>
      </c>
      <c r="T59" s="67">
        <v>100</v>
      </c>
      <c r="U59" s="65">
        <f>VLOOKUP(T59,المرجع!$B$3:$C$12,2)</f>
        <v>5</v>
      </c>
      <c r="V59" s="44" t="str">
        <f>VLOOKUP(U59,المرجع!$D$3:$E$12,2)</f>
        <v xml:space="preserve">أ+ </v>
      </c>
      <c r="W59" s="40">
        <f t="shared" si="19"/>
        <v>10</v>
      </c>
      <c r="X59" s="21">
        <v>2</v>
      </c>
      <c r="Y59" s="67">
        <v>100</v>
      </c>
      <c r="Z59" s="65">
        <f>VLOOKUP(Y59,المرجع!$B$3:$C$12,2)</f>
        <v>5</v>
      </c>
      <c r="AA59" s="44" t="str">
        <f>VLOOKUP(Z59,المرجع!$D$3:$E$12,2)</f>
        <v xml:space="preserve">أ+ </v>
      </c>
      <c r="AB59" s="40">
        <f t="shared" si="20"/>
        <v>10</v>
      </c>
      <c r="AC59" s="21">
        <v>2</v>
      </c>
      <c r="AD59" s="67">
        <v>57</v>
      </c>
      <c r="AE59" s="65">
        <f>VLOOKUP(AD59,المرجع!$B$3:$C$12,2)</f>
        <v>2</v>
      </c>
      <c r="AF59" s="44" t="str">
        <f>VLOOKUP(AE59,المرجع!$D$3:$E$12,2)</f>
        <v>د</v>
      </c>
      <c r="AG59" s="40">
        <f t="shared" si="21"/>
        <v>4</v>
      </c>
      <c r="AH59" s="21">
        <v>2</v>
      </c>
      <c r="AI59" s="67">
        <v>55</v>
      </c>
      <c r="AJ59" s="65">
        <f>VLOOKUP(AI59,المرجع!$B$3:$C$12,2)</f>
        <v>2</v>
      </c>
      <c r="AK59" s="44" t="str">
        <f>VLOOKUP(AJ59,المرجع!$D$3:$E$12,2)</f>
        <v>د</v>
      </c>
      <c r="AL59" s="40">
        <f t="shared" si="22"/>
        <v>4</v>
      </c>
      <c r="AM59" s="21">
        <v>2</v>
      </c>
      <c r="AN59" s="67">
        <v>90</v>
      </c>
      <c r="AO59" s="65">
        <f>VLOOKUP(AN59,المرجع!$B$3:$C$12,2)</f>
        <v>4.75</v>
      </c>
      <c r="AP59" s="44" t="str">
        <f>VLOOKUP(AO59,المرجع!$D$3:$E$12,2)</f>
        <v>أ</v>
      </c>
      <c r="AQ59" s="40">
        <f t="shared" si="23"/>
        <v>9.5</v>
      </c>
      <c r="AR59" s="21">
        <v>2</v>
      </c>
      <c r="AS59" s="67">
        <v>54</v>
      </c>
      <c r="AT59" s="65">
        <f>VLOOKUP(AS59,المرجع!$B$3:$C$12,2)</f>
        <v>2</v>
      </c>
      <c r="AU59" s="44" t="str">
        <f>VLOOKUP(AT59,المرجع!$D$3:$E$12,2)</f>
        <v>د</v>
      </c>
      <c r="AV59" s="40">
        <f t="shared" si="24"/>
        <v>4</v>
      </c>
      <c r="AW59" s="21">
        <v>2</v>
      </c>
      <c r="AX59" s="67">
        <v>60</v>
      </c>
      <c r="AY59" s="65">
        <f>VLOOKUP(AX59,المرجع!$B$3:$C$12,2)</f>
        <v>2</v>
      </c>
      <c r="AZ59" s="44" t="str">
        <f>VLOOKUP(AY59,المرجع!$D$3:$E$12,2)</f>
        <v>د</v>
      </c>
      <c r="BA59" s="40">
        <f t="shared" si="25"/>
        <v>4</v>
      </c>
      <c r="BB59" s="21">
        <v>2</v>
      </c>
      <c r="BC59" s="67">
        <v>55</v>
      </c>
      <c r="BD59" s="65">
        <f>VLOOKUP(BC59,المرجع!$B$3:$C$12,2)</f>
        <v>2</v>
      </c>
      <c r="BE59" s="44" t="str">
        <f>VLOOKUP(BD59,المرجع!$D$3:$E$12,2)</f>
        <v>د</v>
      </c>
      <c r="BF59" s="40">
        <f t="shared" si="26"/>
        <v>4</v>
      </c>
      <c r="BG59" s="21">
        <v>2</v>
      </c>
      <c r="BH59" s="67">
        <v>93</v>
      </c>
      <c r="BI59" s="65">
        <f>VLOOKUP(BH59,المرجع!$B$3:$C$12,2)</f>
        <v>4.75</v>
      </c>
      <c r="BJ59" s="44" t="str">
        <f>VLOOKUP(BI59,المرجع!$D$3:$E$12,2)</f>
        <v>أ</v>
      </c>
      <c r="BK59" s="40">
        <f t="shared" si="27"/>
        <v>9.5</v>
      </c>
      <c r="BL59" s="72">
        <f t="shared" si="15"/>
        <v>55</v>
      </c>
      <c r="BM59" s="73">
        <f t="shared" si="28"/>
        <v>23</v>
      </c>
      <c r="BN59" s="74">
        <f t="shared" si="29"/>
        <v>2.3913043478260869</v>
      </c>
      <c r="BO59" s="75"/>
      <c r="BP59" s="76" t="str">
        <f>VLOOKUP(BN59,المرجع!$D$3:$F$12,3)</f>
        <v xml:space="preserve">مقبول مرتفع </v>
      </c>
      <c r="BQ59" s="77">
        <f t="shared" si="30"/>
        <v>63</v>
      </c>
    </row>
    <row r="60" spans="2:69" ht="28.5">
      <c r="B60" s="66">
        <v>2023043</v>
      </c>
      <c r="C60" s="70" t="s">
        <v>32</v>
      </c>
      <c r="D60" s="21">
        <v>1</v>
      </c>
      <c r="E60" s="67">
        <v>95</v>
      </c>
      <c r="F60" s="65">
        <f>VLOOKUP(E60,المرجع!$B$3:$C$12,2)</f>
        <v>5</v>
      </c>
      <c r="G60" s="44" t="str">
        <f>VLOOKUP(F60,المرجع!$D$3:$E$12,2)</f>
        <v xml:space="preserve">أ+ </v>
      </c>
      <c r="H60" s="40">
        <f t="shared" si="16"/>
        <v>5</v>
      </c>
      <c r="I60" s="21">
        <v>2</v>
      </c>
      <c r="J60" s="67">
        <v>80</v>
      </c>
      <c r="K60" s="65">
        <f>VLOOKUP(J60,المرجع!$B$3:$C$12,2)</f>
        <v>4</v>
      </c>
      <c r="L60" s="44" t="str">
        <f>VLOOKUP(K60,المرجع!$D$3:$E$12,2)</f>
        <v>ب</v>
      </c>
      <c r="M60" s="40">
        <f t="shared" si="17"/>
        <v>8</v>
      </c>
      <c r="N60" s="21">
        <v>2</v>
      </c>
      <c r="O60" s="67">
        <v>50</v>
      </c>
      <c r="P60" s="65">
        <f>VLOOKUP(O60,المرجع!$B$3:$C$12,2)</f>
        <v>2</v>
      </c>
      <c r="Q60" s="44" t="str">
        <f>VLOOKUP(P60,المرجع!$D$3:$E$12,2)</f>
        <v>د</v>
      </c>
      <c r="R60" s="40">
        <f t="shared" si="18"/>
        <v>4</v>
      </c>
      <c r="S60" s="21">
        <v>2</v>
      </c>
      <c r="T60" s="67">
        <v>100</v>
      </c>
      <c r="U60" s="65">
        <f>VLOOKUP(T60,المرجع!$B$3:$C$12,2)</f>
        <v>5</v>
      </c>
      <c r="V60" s="44" t="str">
        <f>VLOOKUP(U60,المرجع!$D$3:$E$12,2)</f>
        <v xml:space="preserve">أ+ </v>
      </c>
      <c r="W60" s="40">
        <f t="shared" si="19"/>
        <v>10</v>
      </c>
      <c r="X60" s="21">
        <v>2</v>
      </c>
      <c r="Y60" s="67">
        <v>70</v>
      </c>
      <c r="Z60" s="65">
        <f>VLOOKUP(Y60,المرجع!$B$3:$C$12,2)</f>
        <v>3</v>
      </c>
      <c r="AA60" s="44" t="str">
        <f>VLOOKUP(Z60,المرجع!$D$3:$E$12,2)</f>
        <v>ج</v>
      </c>
      <c r="AB60" s="40">
        <f t="shared" si="20"/>
        <v>6</v>
      </c>
      <c r="AC60" s="21">
        <v>2</v>
      </c>
      <c r="AD60" s="67">
        <v>79</v>
      </c>
      <c r="AE60" s="65">
        <f>VLOOKUP(AD60,المرجع!$B$3:$C$12,2)</f>
        <v>3.5</v>
      </c>
      <c r="AF60" s="44" t="str">
        <f>VLOOKUP(AE60,المرجع!$D$3:$E$12,2)</f>
        <v>ج+</v>
      </c>
      <c r="AG60" s="40">
        <f t="shared" si="21"/>
        <v>7</v>
      </c>
      <c r="AH60" s="21">
        <v>2</v>
      </c>
      <c r="AI60" s="67">
        <v>50</v>
      </c>
      <c r="AJ60" s="65">
        <f>VLOOKUP(AI60,المرجع!$B$3:$C$12,2)</f>
        <v>2</v>
      </c>
      <c r="AK60" s="44" t="str">
        <f>VLOOKUP(AJ60,المرجع!$D$3:$E$12,2)</f>
        <v>د</v>
      </c>
      <c r="AL60" s="40">
        <f t="shared" si="22"/>
        <v>4</v>
      </c>
      <c r="AM60" s="21">
        <v>2</v>
      </c>
      <c r="AN60" s="67">
        <v>74</v>
      </c>
      <c r="AO60" s="65">
        <f>VLOOKUP(AN60,المرجع!$B$3:$C$12,2)</f>
        <v>3</v>
      </c>
      <c r="AP60" s="44" t="str">
        <f>VLOOKUP(AO60,المرجع!$D$3:$E$12,2)</f>
        <v>ج</v>
      </c>
      <c r="AQ60" s="40">
        <f t="shared" si="23"/>
        <v>6</v>
      </c>
      <c r="AR60" s="21">
        <v>2</v>
      </c>
      <c r="AS60" s="67">
        <v>61</v>
      </c>
      <c r="AT60" s="65">
        <f>VLOOKUP(AS60,المرجع!$B$3:$C$12,2)</f>
        <v>2</v>
      </c>
      <c r="AU60" s="44" t="str">
        <f>VLOOKUP(AT60,المرجع!$D$3:$E$12,2)</f>
        <v>د</v>
      </c>
      <c r="AV60" s="40">
        <f t="shared" si="24"/>
        <v>4</v>
      </c>
      <c r="AW60" s="21">
        <v>2</v>
      </c>
      <c r="AX60" s="67">
        <v>55</v>
      </c>
      <c r="AY60" s="65">
        <f>VLOOKUP(AX60,المرجع!$B$3:$C$12,2)</f>
        <v>2</v>
      </c>
      <c r="AZ60" s="44" t="str">
        <f>VLOOKUP(AY60,المرجع!$D$3:$E$12,2)</f>
        <v>د</v>
      </c>
      <c r="BA60" s="40">
        <f t="shared" si="25"/>
        <v>4</v>
      </c>
      <c r="BB60" s="21">
        <v>2</v>
      </c>
      <c r="BC60" s="67">
        <v>81</v>
      </c>
      <c r="BD60" s="65">
        <f>VLOOKUP(BC60,المرجع!$B$3:$C$12,2)</f>
        <v>4</v>
      </c>
      <c r="BE60" s="44" t="str">
        <f>VLOOKUP(BD60,المرجع!$D$3:$E$12,2)</f>
        <v>ب</v>
      </c>
      <c r="BF60" s="40">
        <f t="shared" si="26"/>
        <v>8</v>
      </c>
      <c r="BG60" s="21">
        <v>2</v>
      </c>
      <c r="BH60" s="67">
        <v>55</v>
      </c>
      <c r="BI60" s="65">
        <f>VLOOKUP(BH60,المرجع!$B$3:$C$12,2)</f>
        <v>2</v>
      </c>
      <c r="BJ60" s="44" t="str">
        <f>VLOOKUP(BI60,المرجع!$D$3:$E$12,2)</f>
        <v>د</v>
      </c>
      <c r="BK60" s="40">
        <f t="shared" si="27"/>
        <v>4</v>
      </c>
      <c r="BL60" s="72">
        <f t="shared" si="15"/>
        <v>62</v>
      </c>
      <c r="BM60" s="73">
        <f t="shared" si="28"/>
        <v>23</v>
      </c>
      <c r="BN60" s="74">
        <f t="shared" si="29"/>
        <v>2.6956521739130435</v>
      </c>
      <c r="BO60" s="75"/>
      <c r="BP60" s="76" t="str">
        <f>VLOOKUP(BN60,المرجع!$D$3:$F$12,3)</f>
        <v xml:space="preserve">جيد </v>
      </c>
      <c r="BQ60" s="77">
        <f t="shared" si="30"/>
        <v>49</v>
      </c>
    </row>
    <row r="61" spans="2:69" ht="28.5">
      <c r="B61" s="66">
        <v>2023080</v>
      </c>
      <c r="C61" s="70" t="s">
        <v>61</v>
      </c>
      <c r="D61" s="21">
        <v>1</v>
      </c>
      <c r="E61" s="67">
        <v>97</v>
      </c>
      <c r="F61" s="65">
        <f>VLOOKUP(E61,المرجع!$B$3:$C$12,2)</f>
        <v>5</v>
      </c>
      <c r="G61" s="44" t="str">
        <f>VLOOKUP(F61,المرجع!$D$3:$E$12,2)</f>
        <v xml:space="preserve">أ+ </v>
      </c>
      <c r="H61" s="40">
        <f t="shared" si="16"/>
        <v>5</v>
      </c>
      <c r="I61" s="21">
        <v>2</v>
      </c>
      <c r="J61" s="67">
        <v>90</v>
      </c>
      <c r="K61" s="65">
        <f>VLOOKUP(J61,المرجع!$B$3:$C$12,2)</f>
        <v>4.75</v>
      </c>
      <c r="L61" s="44" t="str">
        <f>VLOOKUP(K61,المرجع!$D$3:$E$12,2)</f>
        <v>أ</v>
      </c>
      <c r="M61" s="40">
        <f t="shared" si="17"/>
        <v>9.5</v>
      </c>
      <c r="N61" s="21">
        <v>2</v>
      </c>
      <c r="O61" s="67">
        <v>50</v>
      </c>
      <c r="P61" s="65">
        <f>VLOOKUP(O61,المرجع!$B$3:$C$12,2)</f>
        <v>2</v>
      </c>
      <c r="Q61" s="44" t="str">
        <f>VLOOKUP(P61,المرجع!$D$3:$E$12,2)</f>
        <v>د</v>
      </c>
      <c r="R61" s="40">
        <f t="shared" si="18"/>
        <v>4</v>
      </c>
      <c r="S61" s="21">
        <v>2</v>
      </c>
      <c r="T61" s="67">
        <v>100</v>
      </c>
      <c r="U61" s="65">
        <f>VLOOKUP(T61,المرجع!$B$3:$C$12,2)</f>
        <v>5</v>
      </c>
      <c r="V61" s="44" t="str">
        <f>VLOOKUP(U61,المرجع!$D$3:$E$12,2)</f>
        <v xml:space="preserve">أ+ </v>
      </c>
      <c r="W61" s="40">
        <f t="shared" si="19"/>
        <v>10</v>
      </c>
      <c r="X61" s="21">
        <v>2</v>
      </c>
      <c r="Y61" s="67">
        <v>100</v>
      </c>
      <c r="Z61" s="65">
        <f>VLOOKUP(Y61,المرجع!$B$3:$C$12,2)</f>
        <v>5</v>
      </c>
      <c r="AA61" s="44" t="str">
        <f>VLOOKUP(Z61,المرجع!$D$3:$E$12,2)</f>
        <v xml:space="preserve">أ+ </v>
      </c>
      <c r="AB61" s="40">
        <f t="shared" si="20"/>
        <v>10</v>
      </c>
      <c r="AC61" s="21">
        <v>2</v>
      </c>
      <c r="AD61" s="67">
        <v>58</v>
      </c>
      <c r="AE61" s="65">
        <f>VLOOKUP(AD61,المرجع!$B$3:$C$12,2)</f>
        <v>2</v>
      </c>
      <c r="AF61" s="44" t="str">
        <f>VLOOKUP(AE61,المرجع!$D$3:$E$12,2)</f>
        <v>د</v>
      </c>
      <c r="AG61" s="40">
        <f t="shared" si="21"/>
        <v>4</v>
      </c>
      <c r="AH61" s="21">
        <v>2</v>
      </c>
      <c r="AI61" s="67">
        <v>50</v>
      </c>
      <c r="AJ61" s="65">
        <f>VLOOKUP(AI61,المرجع!$B$3:$C$12,2)</f>
        <v>2</v>
      </c>
      <c r="AK61" s="44" t="str">
        <f>VLOOKUP(AJ61,المرجع!$D$3:$E$12,2)</f>
        <v>د</v>
      </c>
      <c r="AL61" s="40">
        <f t="shared" si="22"/>
        <v>4</v>
      </c>
      <c r="AM61" s="21">
        <v>2</v>
      </c>
      <c r="AN61" s="67">
        <v>21</v>
      </c>
      <c r="AO61" s="65">
        <f>VLOOKUP(AN61,المرجع!$B$3:$C$12,2)</f>
        <v>0</v>
      </c>
      <c r="AP61" s="44" t="str">
        <f>VLOOKUP(AO61,المرجع!$D$3:$E$12,2)</f>
        <v>ه</v>
      </c>
      <c r="AQ61" s="40">
        <f t="shared" si="23"/>
        <v>0</v>
      </c>
      <c r="AR61" s="21">
        <v>2</v>
      </c>
      <c r="AS61" s="67">
        <v>71</v>
      </c>
      <c r="AT61" s="65">
        <f>VLOOKUP(AS61,المرجع!$B$3:$C$12,2)</f>
        <v>3</v>
      </c>
      <c r="AU61" s="44" t="str">
        <f>VLOOKUP(AT61,المرجع!$D$3:$E$12,2)</f>
        <v>ج</v>
      </c>
      <c r="AV61" s="40">
        <f t="shared" si="24"/>
        <v>6</v>
      </c>
      <c r="AW61" s="21">
        <v>2</v>
      </c>
      <c r="AX61" s="67">
        <v>65</v>
      </c>
      <c r="AY61" s="65">
        <f>VLOOKUP(AX61,المرجع!$B$3:$C$12,2)</f>
        <v>2.5</v>
      </c>
      <c r="AZ61" s="44" t="str">
        <f>VLOOKUP(AY61,المرجع!$D$3:$E$12,2)</f>
        <v>د+</v>
      </c>
      <c r="BA61" s="40">
        <f t="shared" si="25"/>
        <v>5</v>
      </c>
      <c r="BB61" s="21">
        <v>2</v>
      </c>
      <c r="BC61" s="67">
        <v>53</v>
      </c>
      <c r="BD61" s="65">
        <f>VLOOKUP(BC61,المرجع!$B$3:$C$12,2)</f>
        <v>2</v>
      </c>
      <c r="BE61" s="44" t="str">
        <f>VLOOKUP(BD61,المرجع!$D$3:$E$12,2)</f>
        <v>د</v>
      </c>
      <c r="BF61" s="40">
        <f t="shared" si="26"/>
        <v>4</v>
      </c>
      <c r="BG61" s="21">
        <v>2</v>
      </c>
      <c r="BH61" s="67">
        <v>65</v>
      </c>
      <c r="BI61" s="65">
        <f>VLOOKUP(BH61,المرجع!$B$3:$C$12,2)</f>
        <v>2.5</v>
      </c>
      <c r="BJ61" s="44" t="str">
        <f>VLOOKUP(BI61,المرجع!$D$3:$E$12,2)</f>
        <v>د+</v>
      </c>
      <c r="BK61" s="40">
        <f t="shared" si="27"/>
        <v>5</v>
      </c>
      <c r="BL61" s="72">
        <f t="shared" si="15"/>
        <v>56.5</v>
      </c>
      <c r="BM61" s="73">
        <f t="shared" si="28"/>
        <v>23</v>
      </c>
      <c r="BN61" s="74">
        <f t="shared" si="29"/>
        <v>2.4565217391304346</v>
      </c>
      <c r="BO61" s="75"/>
      <c r="BP61" s="76" t="str">
        <f>VLOOKUP(BN61,المرجع!$D$3:$F$12,3)</f>
        <v xml:space="preserve">مقبول مرتفع </v>
      </c>
      <c r="BQ61" s="77">
        <f t="shared" si="30"/>
        <v>61</v>
      </c>
    </row>
    <row r="62" spans="2:69" ht="28.5">
      <c r="B62" s="66">
        <v>2023077</v>
      </c>
      <c r="C62" s="70" t="s">
        <v>67</v>
      </c>
      <c r="D62" s="21">
        <v>1</v>
      </c>
      <c r="E62" s="67">
        <v>89</v>
      </c>
      <c r="F62" s="65">
        <f>VLOOKUP(E62,المرجع!$B$3:$C$12,2)</f>
        <v>4.5</v>
      </c>
      <c r="G62" s="44" t="str">
        <f>VLOOKUP(F62,المرجع!$D$3:$E$12,2)</f>
        <v>ب+</v>
      </c>
      <c r="H62" s="40">
        <f t="shared" si="16"/>
        <v>4.5</v>
      </c>
      <c r="I62" s="21">
        <v>2</v>
      </c>
      <c r="J62" s="67">
        <v>80</v>
      </c>
      <c r="K62" s="65">
        <f>VLOOKUP(J62,المرجع!$B$3:$C$12,2)</f>
        <v>4</v>
      </c>
      <c r="L62" s="44" t="str">
        <f>VLOOKUP(K62,المرجع!$D$3:$E$12,2)</f>
        <v>ب</v>
      </c>
      <c r="M62" s="40">
        <f t="shared" si="17"/>
        <v>8</v>
      </c>
      <c r="N62" s="21">
        <v>2</v>
      </c>
      <c r="O62" s="67">
        <v>50</v>
      </c>
      <c r="P62" s="65">
        <f>VLOOKUP(O62,المرجع!$B$3:$C$12,2)</f>
        <v>2</v>
      </c>
      <c r="Q62" s="44" t="str">
        <f>VLOOKUP(P62,المرجع!$D$3:$E$12,2)</f>
        <v>د</v>
      </c>
      <c r="R62" s="40">
        <f t="shared" si="18"/>
        <v>4</v>
      </c>
      <c r="S62" s="21">
        <v>2</v>
      </c>
      <c r="T62" s="67">
        <v>100</v>
      </c>
      <c r="U62" s="65">
        <f>VLOOKUP(T62,المرجع!$B$3:$C$12,2)</f>
        <v>5</v>
      </c>
      <c r="V62" s="44" t="str">
        <f>VLOOKUP(U62,المرجع!$D$3:$E$12,2)</f>
        <v xml:space="preserve">أ+ </v>
      </c>
      <c r="W62" s="40">
        <f t="shared" si="19"/>
        <v>10</v>
      </c>
      <c r="X62" s="21">
        <v>2</v>
      </c>
      <c r="Y62" s="67">
        <v>80</v>
      </c>
      <c r="Z62" s="65">
        <f>VLOOKUP(Y62,المرجع!$B$3:$C$12,2)</f>
        <v>4</v>
      </c>
      <c r="AA62" s="44" t="str">
        <f>VLOOKUP(Z62,المرجع!$D$3:$E$12,2)</f>
        <v>ب</v>
      </c>
      <c r="AB62" s="40">
        <f t="shared" si="20"/>
        <v>8</v>
      </c>
      <c r="AC62" s="21">
        <v>2</v>
      </c>
      <c r="AD62" s="67">
        <v>71</v>
      </c>
      <c r="AE62" s="65">
        <f>VLOOKUP(AD62,المرجع!$B$3:$C$12,2)</f>
        <v>3</v>
      </c>
      <c r="AF62" s="44" t="str">
        <f>VLOOKUP(AE62,المرجع!$D$3:$E$12,2)</f>
        <v>ج</v>
      </c>
      <c r="AG62" s="40">
        <f t="shared" si="21"/>
        <v>6</v>
      </c>
      <c r="AH62" s="21">
        <v>2</v>
      </c>
      <c r="AI62" s="67">
        <v>50</v>
      </c>
      <c r="AJ62" s="65">
        <f>VLOOKUP(AI62,المرجع!$B$3:$C$12,2)</f>
        <v>2</v>
      </c>
      <c r="AK62" s="44" t="str">
        <f>VLOOKUP(AJ62,المرجع!$D$3:$E$12,2)</f>
        <v>د</v>
      </c>
      <c r="AL62" s="40">
        <f t="shared" si="22"/>
        <v>4</v>
      </c>
      <c r="AM62" s="21">
        <v>2</v>
      </c>
      <c r="AN62" s="67">
        <v>66</v>
      </c>
      <c r="AO62" s="65">
        <f>VLOOKUP(AN62,المرجع!$B$3:$C$12,2)</f>
        <v>2.5</v>
      </c>
      <c r="AP62" s="44" t="str">
        <f>VLOOKUP(AO62,المرجع!$D$3:$E$12,2)</f>
        <v>د+</v>
      </c>
      <c r="AQ62" s="40">
        <f t="shared" si="23"/>
        <v>5</v>
      </c>
      <c r="AR62" s="21">
        <v>2</v>
      </c>
      <c r="AS62" s="67">
        <v>50</v>
      </c>
      <c r="AT62" s="65">
        <f>VLOOKUP(AS62,المرجع!$B$3:$C$12,2)</f>
        <v>2</v>
      </c>
      <c r="AU62" s="44" t="str">
        <f>VLOOKUP(AT62,المرجع!$D$3:$E$12,2)</f>
        <v>د</v>
      </c>
      <c r="AV62" s="40">
        <f t="shared" si="24"/>
        <v>4</v>
      </c>
      <c r="AW62" s="21">
        <v>2</v>
      </c>
      <c r="AX62" s="67">
        <v>65</v>
      </c>
      <c r="AY62" s="65">
        <f>VLOOKUP(AX62,المرجع!$B$3:$C$12,2)</f>
        <v>2.5</v>
      </c>
      <c r="AZ62" s="44" t="str">
        <f>VLOOKUP(AY62,المرجع!$D$3:$E$12,2)</f>
        <v>د+</v>
      </c>
      <c r="BA62" s="40">
        <f t="shared" si="25"/>
        <v>5</v>
      </c>
      <c r="BB62" s="21">
        <v>2</v>
      </c>
      <c r="BC62" s="67">
        <v>77</v>
      </c>
      <c r="BD62" s="65">
        <f>VLOOKUP(BC62,المرجع!$B$3:$C$12,2)</f>
        <v>3.5</v>
      </c>
      <c r="BE62" s="44" t="str">
        <f>VLOOKUP(BD62,المرجع!$D$3:$E$12,2)</f>
        <v>ج+</v>
      </c>
      <c r="BF62" s="40">
        <f t="shared" si="26"/>
        <v>7</v>
      </c>
      <c r="BG62" s="21">
        <v>2</v>
      </c>
      <c r="BH62" s="67">
        <v>66</v>
      </c>
      <c r="BI62" s="65">
        <f>VLOOKUP(BH62,المرجع!$B$3:$C$12,2)</f>
        <v>2.5</v>
      </c>
      <c r="BJ62" s="44" t="str">
        <f>VLOOKUP(BI62,المرجع!$D$3:$E$12,2)</f>
        <v>د+</v>
      </c>
      <c r="BK62" s="40">
        <f t="shared" si="27"/>
        <v>5</v>
      </c>
      <c r="BL62" s="72">
        <f t="shared" si="15"/>
        <v>60.5</v>
      </c>
      <c r="BM62" s="73">
        <f t="shared" si="28"/>
        <v>23</v>
      </c>
      <c r="BN62" s="74">
        <f t="shared" si="29"/>
        <v>2.6304347826086958</v>
      </c>
      <c r="BO62" s="75"/>
      <c r="BP62" s="76" t="str">
        <f>VLOOKUP(BN62,المرجع!$D$3:$F$12,3)</f>
        <v xml:space="preserve">جيد </v>
      </c>
      <c r="BQ62" s="77">
        <f t="shared" si="30"/>
        <v>53</v>
      </c>
    </row>
    <row r="63" spans="2:69" ht="28.5">
      <c r="B63" s="66">
        <v>2023060</v>
      </c>
      <c r="C63" s="70" t="s">
        <v>76</v>
      </c>
      <c r="D63" s="21">
        <v>1</v>
      </c>
      <c r="E63" s="67">
        <v>93</v>
      </c>
      <c r="F63" s="65">
        <f>VLOOKUP(E63,المرجع!$B$3:$C$12,2)</f>
        <v>4.75</v>
      </c>
      <c r="G63" s="44" t="str">
        <f>VLOOKUP(F63,المرجع!$D$3:$E$12,2)</f>
        <v>أ</v>
      </c>
      <c r="H63" s="40">
        <f t="shared" si="16"/>
        <v>4.75</v>
      </c>
      <c r="I63" s="21">
        <v>2</v>
      </c>
      <c r="J63" s="67">
        <v>88</v>
      </c>
      <c r="K63" s="65">
        <f>VLOOKUP(J63,المرجع!$B$3:$C$12,2)</f>
        <v>4.5</v>
      </c>
      <c r="L63" s="44" t="str">
        <f>VLOOKUP(K63,المرجع!$D$3:$E$12,2)</f>
        <v>ب+</v>
      </c>
      <c r="M63" s="40">
        <f t="shared" si="17"/>
        <v>9</v>
      </c>
      <c r="N63" s="21">
        <v>2</v>
      </c>
      <c r="O63" s="67">
        <v>50</v>
      </c>
      <c r="P63" s="65">
        <f>VLOOKUP(O63,المرجع!$B$3:$C$12,2)</f>
        <v>2</v>
      </c>
      <c r="Q63" s="44" t="str">
        <f>VLOOKUP(P63,المرجع!$D$3:$E$12,2)</f>
        <v>د</v>
      </c>
      <c r="R63" s="40">
        <f t="shared" si="18"/>
        <v>4</v>
      </c>
      <c r="S63" s="21">
        <v>2</v>
      </c>
      <c r="T63" s="67">
        <v>96</v>
      </c>
      <c r="U63" s="65">
        <f>VLOOKUP(T63,المرجع!$B$3:$C$12,2)</f>
        <v>5</v>
      </c>
      <c r="V63" s="44" t="str">
        <f>VLOOKUP(U63,المرجع!$D$3:$E$12,2)</f>
        <v xml:space="preserve">أ+ </v>
      </c>
      <c r="W63" s="40">
        <f t="shared" si="19"/>
        <v>10</v>
      </c>
      <c r="X63" s="21">
        <v>2</v>
      </c>
      <c r="Y63" s="67">
        <v>90</v>
      </c>
      <c r="Z63" s="65">
        <f>VLOOKUP(Y63,المرجع!$B$3:$C$12,2)</f>
        <v>4.75</v>
      </c>
      <c r="AA63" s="44" t="str">
        <f>VLOOKUP(Z63,المرجع!$D$3:$E$12,2)</f>
        <v>أ</v>
      </c>
      <c r="AB63" s="40">
        <f t="shared" si="20"/>
        <v>9.5</v>
      </c>
      <c r="AC63" s="21">
        <v>2</v>
      </c>
      <c r="AD63" s="67">
        <v>56</v>
      </c>
      <c r="AE63" s="65">
        <f>VLOOKUP(AD63,المرجع!$B$3:$C$12,2)</f>
        <v>2</v>
      </c>
      <c r="AF63" s="44" t="str">
        <f>VLOOKUP(AE63,المرجع!$D$3:$E$12,2)</f>
        <v>د</v>
      </c>
      <c r="AG63" s="40">
        <f t="shared" si="21"/>
        <v>4</v>
      </c>
      <c r="AH63" s="21">
        <v>2</v>
      </c>
      <c r="AI63" s="67">
        <v>50</v>
      </c>
      <c r="AJ63" s="65">
        <f>VLOOKUP(AI63,المرجع!$B$3:$C$12,2)</f>
        <v>2</v>
      </c>
      <c r="AK63" s="44" t="str">
        <f>VLOOKUP(AJ63,المرجع!$D$3:$E$12,2)</f>
        <v>د</v>
      </c>
      <c r="AL63" s="40">
        <f t="shared" si="22"/>
        <v>4</v>
      </c>
      <c r="AM63" s="21">
        <v>2</v>
      </c>
      <c r="AN63" s="67">
        <v>65</v>
      </c>
      <c r="AO63" s="65">
        <f>VLOOKUP(AN63,المرجع!$B$3:$C$12,2)</f>
        <v>2.5</v>
      </c>
      <c r="AP63" s="44" t="str">
        <f>VLOOKUP(AO63,المرجع!$D$3:$E$12,2)</f>
        <v>د+</v>
      </c>
      <c r="AQ63" s="40">
        <f t="shared" si="23"/>
        <v>5</v>
      </c>
      <c r="AR63" s="21">
        <v>2</v>
      </c>
      <c r="AS63" s="67">
        <v>93</v>
      </c>
      <c r="AT63" s="65">
        <f>VLOOKUP(AS63,المرجع!$B$3:$C$12,2)</f>
        <v>4.75</v>
      </c>
      <c r="AU63" s="44" t="str">
        <f>VLOOKUP(AT63,المرجع!$D$3:$E$12,2)</f>
        <v>أ</v>
      </c>
      <c r="AV63" s="40">
        <f t="shared" si="24"/>
        <v>9.5</v>
      </c>
      <c r="AW63" s="21">
        <v>2</v>
      </c>
      <c r="AX63" s="67">
        <v>60</v>
      </c>
      <c r="AY63" s="65">
        <f>VLOOKUP(AX63,المرجع!$B$3:$C$12,2)</f>
        <v>2</v>
      </c>
      <c r="AZ63" s="44" t="str">
        <f>VLOOKUP(AY63,المرجع!$D$3:$E$12,2)</f>
        <v>د</v>
      </c>
      <c r="BA63" s="40">
        <f t="shared" si="25"/>
        <v>4</v>
      </c>
      <c r="BB63" s="21">
        <v>2</v>
      </c>
      <c r="BC63" s="67">
        <v>63</v>
      </c>
      <c r="BD63" s="65">
        <f>VLOOKUP(BC63,المرجع!$B$3:$C$12,2)</f>
        <v>2</v>
      </c>
      <c r="BE63" s="44" t="str">
        <f>VLOOKUP(BD63,المرجع!$D$3:$E$12,2)</f>
        <v>د</v>
      </c>
      <c r="BF63" s="40">
        <f t="shared" si="26"/>
        <v>4</v>
      </c>
      <c r="BG63" s="21">
        <v>2</v>
      </c>
      <c r="BH63" s="67">
        <v>20</v>
      </c>
      <c r="BI63" s="65">
        <f>VLOOKUP(BH63,المرجع!$B$3:$C$12,2)</f>
        <v>0</v>
      </c>
      <c r="BJ63" s="44" t="str">
        <f>VLOOKUP(BI63,المرجع!$D$3:$E$12,2)</f>
        <v>ه</v>
      </c>
      <c r="BK63" s="40">
        <f t="shared" si="27"/>
        <v>0</v>
      </c>
      <c r="BL63" s="72">
        <f t="shared" si="15"/>
        <v>67.75</v>
      </c>
      <c r="BM63" s="73">
        <f t="shared" si="28"/>
        <v>23</v>
      </c>
      <c r="BN63" s="74">
        <f t="shared" si="29"/>
        <v>2.9456521739130435</v>
      </c>
      <c r="BO63" s="75"/>
      <c r="BP63" s="76" t="str">
        <f>VLOOKUP(BN63,المرجع!$D$3:$F$12,3)</f>
        <v xml:space="preserve">جيد </v>
      </c>
      <c r="BQ63" s="77">
        <f t="shared" si="30"/>
        <v>34</v>
      </c>
    </row>
    <row r="64" spans="2:69" ht="28.5">
      <c r="B64" s="66">
        <v>2023099</v>
      </c>
      <c r="C64" s="70" t="s">
        <v>69</v>
      </c>
      <c r="D64" s="21">
        <v>1</v>
      </c>
      <c r="E64" s="67">
        <v>82</v>
      </c>
      <c r="F64" s="65">
        <f>VLOOKUP(E64,المرجع!$B$3:$C$12,2)</f>
        <v>4</v>
      </c>
      <c r="G64" s="44" t="str">
        <f>VLOOKUP(F64,المرجع!$D$3:$E$12,2)</f>
        <v>ب</v>
      </c>
      <c r="H64" s="40">
        <f t="shared" si="16"/>
        <v>4</v>
      </c>
      <c r="I64" s="21">
        <v>2</v>
      </c>
      <c r="J64" s="67">
        <v>65</v>
      </c>
      <c r="K64" s="65">
        <f>VLOOKUP(J64,المرجع!$B$3:$C$12,2)</f>
        <v>2.5</v>
      </c>
      <c r="L64" s="44" t="str">
        <f>VLOOKUP(K64,المرجع!$D$3:$E$12,2)</f>
        <v>د+</v>
      </c>
      <c r="M64" s="40">
        <f t="shared" si="17"/>
        <v>5</v>
      </c>
      <c r="N64" s="21">
        <v>2</v>
      </c>
      <c r="O64" s="67">
        <v>50</v>
      </c>
      <c r="P64" s="65">
        <f>VLOOKUP(O64,المرجع!$B$3:$C$12,2)</f>
        <v>2</v>
      </c>
      <c r="Q64" s="44" t="str">
        <f>VLOOKUP(P64,المرجع!$D$3:$E$12,2)</f>
        <v>د</v>
      </c>
      <c r="R64" s="40">
        <f t="shared" si="18"/>
        <v>4</v>
      </c>
      <c r="S64" s="21">
        <v>2</v>
      </c>
      <c r="T64" s="67">
        <v>88</v>
      </c>
      <c r="U64" s="65">
        <f>VLOOKUP(T64,المرجع!$B$3:$C$12,2)</f>
        <v>4.5</v>
      </c>
      <c r="V64" s="44" t="str">
        <f>VLOOKUP(U64,المرجع!$D$3:$E$12,2)</f>
        <v>ب+</v>
      </c>
      <c r="W64" s="40">
        <f t="shared" si="19"/>
        <v>9</v>
      </c>
      <c r="X64" s="21">
        <v>2</v>
      </c>
      <c r="Y64" s="67">
        <v>95</v>
      </c>
      <c r="Z64" s="65">
        <f>VLOOKUP(Y64,المرجع!$B$3:$C$12,2)</f>
        <v>5</v>
      </c>
      <c r="AA64" s="44" t="str">
        <f>VLOOKUP(Z64,المرجع!$D$3:$E$12,2)</f>
        <v xml:space="preserve">أ+ </v>
      </c>
      <c r="AB64" s="40">
        <f t="shared" si="20"/>
        <v>10</v>
      </c>
      <c r="AC64" s="21">
        <v>2</v>
      </c>
      <c r="AD64" s="67">
        <v>70</v>
      </c>
      <c r="AE64" s="65">
        <f>VLOOKUP(AD64,المرجع!$B$3:$C$12,2)</f>
        <v>3</v>
      </c>
      <c r="AF64" s="44" t="str">
        <f>VLOOKUP(AE64,المرجع!$D$3:$E$12,2)</f>
        <v>ج</v>
      </c>
      <c r="AG64" s="40">
        <f t="shared" si="21"/>
        <v>6</v>
      </c>
      <c r="AH64" s="21">
        <v>2</v>
      </c>
      <c r="AI64" s="67">
        <v>50</v>
      </c>
      <c r="AJ64" s="65">
        <f>VLOOKUP(AI64,المرجع!$B$3:$C$12,2)</f>
        <v>2</v>
      </c>
      <c r="AK64" s="44" t="str">
        <f>VLOOKUP(AJ64,المرجع!$D$3:$E$12,2)</f>
        <v>د</v>
      </c>
      <c r="AL64" s="40">
        <f t="shared" si="22"/>
        <v>4</v>
      </c>
      <c r="AM64" s="21">
        <v>2</v>
      </c>
      <c r="AN64" s="67">
        <v>79</v>
      </c>
      <c r="AO64" s="65">
        <f>VLOOKUP(AN64,المرجع!$B$3:$C$12,2)</f>
        <v>3.5</v>
      </c>
      <c r="AP64" s="44" t="str">
        <f>VLOOKUP(AO64,المرجع!$D$3:$E$12,2)</f>
        <v>ج+</v>
      </c>
      <c r="AQ64" s="40">
        <f t="shared" si="23"/>
        <v>7</v>
      </c>
      <c r="AR64" s="21">
        <v>2</v>
      </c>
      <c r="AS64" s="67">
        <v>86</v>
      </c>
      <c r="AT64" s="65">
        <f>VLOOKUP(AS64,المرجع!$B$3:$C$12,2)</f>
        <v>4.5</v>
      </c>
      <c r="AU64" s="44" t="str">
        <f>VLOOKUP(AT64,المرجع!$D$3:$E$12,2)</f>
        <v>ب+</v>
      </c>
      <c r="AV64" s="40">
        <f t="shared" si="24"/>
        <v>9</v>
      </c>
      <c r="AW64" s="21">
        <v>2</v>
      </c>
      <c r="AX64" s="67">
        <v>70</v>
      </c>
      <c r="AY64" s="65">
        <f>VLOOKUP(AX64,المرجع!$B$3:$C$12,2)</f>
        <v>3</v>
      </c>
      <c r="AZ64" s="44" t="str">
        <f>VLOOKUP(AY64,المرجع!$D$3:$E$12,2)</f>
        <v>ج</v>
      </c>
      <c r="BA64" s="40">
        <f t="shared" si="25"/>
        <v>6</v>
      </c>
      <c r="BB64" s="21">
        <v>2</v>
      </c>
      <c r="BC64" s="67">
        <v>72</v>
      </c>
      <c r="BD64" s="65">
        <f>VLOOKUP(BC64,المرجع!$B$3:$C$12,2)</f>
        <v>3</v>
      </c>
      <c r="BE64" s="44" t="str">
        <f>VLOOKUP(BD64,المرجع!$D$3:$E$12,2)</f>
        <v>ج</v>
      </c>
      <c r="BF64" s="40">
        <f t="shared" si="26"/>
        <v>6</v>
      </c>
      <c r="BG64" s="21">
        <v>2</v>
      </c>
      <c r="BH64" s="67">
        <v>57</v>
      </c>
      <c r="BI64" s="65">
        <f>VLOOKUP(BH64,المرجع!$B$3:$C$12,2)</f>
        <v>2</v>
      </c>
      <c r="BJ64" s="44" t="str">
        <f>VLOOKUP(BI64,المرجع!$D$3:$E$12,2)</f>
        <v>د</v>
      </c>
      <c r="BK64" s="40">
        <f t="shared" si="27"/>
        <v>4</v>
      </c>
      <c r="BL64" s="72">
        <f t="shared" si="15"/>
        <v>66</v>
      </c>
      <c r="BM64" s="73">
        <f t="shared" si="28"/>
        <v>23</v>
      </c>
      <c r="BN64" s="74">
        <f t="shared" si="29"/>
        <v>2.8695652173913042</v>
      </c>
      <c r="BO64" s="75"/>
      <c r="BP64" s="76" t="str">
        <f>VLOOKUP(BN64,المرجع!$D$3:$F$12,3)</f>
        <v xml:space="preserve">جيد </v>
      </c>
      <c r="BQ64" s="77">
        <f t="shared" si="30"/>
        <v>38</v>
      </c>
    </row>
    <row r="65" spans="2:69" ht="28.5">
      <c r="B65" s="66">
        <v>2023025</v>
      </c>
      <c r="C65" s="70" t="s">
        <v>94</v>
      </c>
      <c r="D65" s="21">
        <v>1</v>
      </c>
      <c r="E65" s="67">
        <v>90</v>
      </c>
      <c r="F65" s="65">
        <f>VLOOKUP(E65,المرجع!$B$3:$C$12,2)</f>
        <v>4.75</v>
      </c>
      <c r="G65" s="44" t="str">
        <f>VLOOKUP(F65,المرجع!$D$3:$E$12,2)</f>
        <v>أ</v>
      </c>
      <c r="H65" s="40">
        <f t="shared" si="16"/>
        <v>4.75</v>
      </c>
      <c r="I65" s="21">
        <v>2</v>
      </c>
      <c r="J65" s="67">
        <v>84</v>
      </c>
      <c r="K65" s="65">
        <f>VLOOKUP(J65,المرجع!$B$3:$C$12,2)</f>
        <v>4</v>
      </c>
      <c r="L65" s="44" t="str">
        <f>VLOOKUP(K65,المرجع!$D$3:$E$12,2)</f>
        <v>ب</v>
      </c>
      <c r="M65" s="40">
        <f t="shared" si="17"/>
        <v>8</v>
      </c>
      <c r="N65" s="21">
        <v>2</v>
      </c>
      <c r="O65" s="67">
        <v>53</v>
      </c>
      <c r="P65" s="65">
        <f>VLOOKUP(O65,المرجع!$B$3:$C$12,2)</f>
        <v>2</v>
      </c>
      <c r="Q65" s="44" t="str">
        <f>VLOOKUP(P65,المرجع!$D$3:$E$12,2)</f>
        <v>د</v>
      </c>
      <c r="R65" s="40">
        <f t="shared" si="18"/>
        <v>4</v>
      </c>
      <c r="S65" s="21">
        <v>2</v>
      </c>
      <c r="T65" s="67">
        <v>75</v>
      </c>
      <c r="U65" s="65">
        <f>VLOOKUP(T65,المرجع!$B$3:$C$12,2)</f>
        <v>3.5</v>
      </c>
      <c r="V65" s="44" t="str">
        <f>VLOOKUP(U65,المرجع!$D$3:$E$12,2)</f>
        <v>ج+</v>
      </c>
      <c r="W65" s="40">
        <f t="shared" si="19"/>
        <v>7</v>
      </c>
      <c r="X65" s="21">
        <v>2</v>
      </c>
      <c r="Y65" s="67">
        <v>59</v>
      </c>
      <c r="Z65" s="65">
        <f>VLOOKUP(Y65,المرجع!$B$3:$C$12,2)</f>
        <v>2</v>
      </c>
      <c r="AA65" s="44" t="str">
        <f>VLOOKUP(Z65,المرجع!$D$3:$E$12,2)</f>
        <v>د</v>
      </c>
      <c r="AB65" s="40">
        <f t="shared" si="20"/>
        <v>4</v>
      </c>
      <c r="AC65" s="21">
        <v>2</v>
      </c>
      <c r="AD65" s="67">
        <v>55</v>
      </c>
      <c r="AE65" s="65">
        <f>VLOOKUP(AD65,المرجع!$B$3:$C$12,2)</f>
        <v>2</v>
      </c>
      <c r="AF65" s="44" t="str">
        <f>VLOOKUP(AE65,المرجع!$D$3:$E$12,2)</f>
        <v>د</v>
      </c>
      <c r="AG65" s="40">
        <f t="shared" si="21"/>
        <v>4</v>
      </c>
      <c r="AH65" s="21">
        <v>2</v>
      </c>
      <c r="AI65" s="67">
        <v>70</v>
      </c>
      <c r="AJ65" s="65">
        <f>VLOOKUP(AI65,المرجع!$B$3:$C$12,2)</f>
        <v>3</v>
      </c>
      <c r="AK65" s="44" t="str">
        <f>VLOOKUP(AJ65,المرجع!$D$3:$E$12,2)</f>
        <v>ج</v>
      </c>
      <c r="AL65" s="40">
        <f t="shared" si="22"/>
        <v>6</v>
      </c>
      <c r="AM65" s="21">
        <v>2</v>
      </c>
      <c r="AN65" s="67">
        <v>67</v>
      </c>
      <c r="AO65" s="65">
        <f>VLOOKUP(AN65,المرجع!$B$3:$C$12,2)</f>
        <v>2.5</v>
      </c>
      <c r="AP65" s="44" t="str">
        <f>VLOOKUP(AO65,المرجع!$D$3:$E$12,2)</f>
        <v>د+</v>
      </c>
      <c r="AQ65" s="40">
        <f t="shared" si="23"/>
        <v>5</v>
      </c>
      <c r="AR65" s="21">
        <v>2</v>
      </c>
      <c r="AS65" s="67">
        <v>56</v>
      </c>
      <c r="AT65" s="65">
        <f>VLOOKUP(AS65,المرجع!$B$3:$C$12,2)</f>
        <v>2</v>
      </c>
      <c r="AU65" s="44" t="str">
        <f>VLOOKUP(AT65,المرجع!$D$3:$E$12,2)</f>
        <v>د</v>
      </c>
      <c r="AV65" s="40">
        <f t="shared" si="24"/>
        <v>4</v>
      </c>
      <c r="AW65" s="21">
        <v>2</v>
      </c>
      <c r="AX65" s="67">
        <v>55</v>
      </c>
      <c r="AY65" s="65">
        <f>VLOOKUP(AX65,المرجع!$B$3:$C$12,2)</f>
        <v>2</v>
      </c>
      <c r="AZ65" s="44" t="str">
        <f>VLOOKUP(AY65,المرجع!$D$3:$E$12,2)</f>
        <v>د</v>
      </c>
      <c r="BA65" s="40">
        <f t="shared" si="25"/>
        <v>4</v>
      </c>
      <c r="BB65" s="21">
        <v>2</v>
      </c>
      <c r="BC65" s="67">
        <v>69</v>
      </c>
      <c r="BD65" s="65">
        <f>VLOOKUP(BC65,المرجع!$B$3:$C$12,2)</f>
        <v>2.5</v>
      </c>
      <c r="BE65" s="44" t="str">
        <f>VLOOKUP(BD65,المرجع!$D$3:$E$12,2)</f>
        <v>د+</v>
      </c>
      <c r="BF65" s="40">
        <f t="shared" si="26"/>
        <v>5</v>
      </c>
      <c r="BG65" s="21">
        <v>2</v>
      </c>
      <c r="BH65" s="67">
        <v>90</v>
      </c>
      <c r="BI65" s="65">
        <f>VLOOKUP(BH65,المرجع!$B$3:$C$12,2)</f>
        <v>4.75</v>
      </c>
      <c r="BJ65" s="44" t="str">
        <f>VLOOKUP(BI65,المرجع!$D$3:$E$12,2)</f>
        <v>أ</v>
      </c>
      <c r="BK65" s="40">
        <f t="shared" si="27"/>
        <v>9.5</v>
      </c>
      <c r="BL65" s="72">
        <f t="shared" si="15"/>
        <v>46.25</v>
      </c>
      <c r="BM65" s="73">
        <f t="shared" si="28"/>
        <v>23</v>
      </c>
      <c r="BN65" s="74">
        <f t="shared" si="29"/>
        <v>2.0108695652173911</v>
      </c>
      <c r="BO65" s="75"/>
      <c r="BP65" s="76" t="str">
        <f>VLOOKUP(BN65,المرجع!$D$3:$F$12,3)</f>
        <v>مقبول</v>
      </c>
      <c r="BQ65" s="77">
        <f t="shared" si="30"/>
        <v>78</v>
      </c>
    </row>
    <row r="66" spans="2:69" ht="28.5">
      <c r="B66" s="66">
        <v>2023055</v>
      </c>
      <c r="C66" s="70" t="s">
        <v>91</v>
      </c>
      <c r="D66" s="21">
        <v>1</v>
      </c>
      <c r="E66" s="67">
        <v>95</v>
      </c>
      <c r="F66" s="65">
        <f>VLOOKUP(E66,المرجع!$B$3:$C$12,2)</f>
        <v>5</v>
      </c>
      <c r="G66" s="44" t="str">
        <f>VLOOKUP(F66,المرجع!$D$3:$E$12,2)</f>
        <v xml:space="preserve">أ+ </v>
      </c>
      <c r="H66" s="40">
        <f t="shared" si="16"/>
        <v>5</v>
      </c>
      <c r="I66" s="21">
        <v>2</v>
      </c>
      <c r="J66" s="67">
        <v>80</v>
      </c>
      <c r="K66" s="65">
        <f>VLOOKUP(J66,المرجع!$B$3:$C$12,2)</f>
        <v>4</v>
      </c>
      <c r="L66" s="44" t="str">
        <f>VLOOKUP(K66,المرجع!$D$3:$E$12,2)</f>
        <v>ب</v>
      </c>
      <c r="M66" s="40">
        <f t="shared" si="17"/>
        <v>8</v>
      </c>
      <c r="N66" s="21">
        <v>2</v>
      </c>
      <c r="O66" s="67">
        <v>55</v>
      </c>
      <c r="P66" s="65">
        <f>VLOOKUP(O66,المرجع!$B$3:$C$12,2)</f>
        <v>2</v>
      </c>
      <c r="Q66" s="44" t="str">
        <f>VLOOKUP(P66,المرجع!$D$3:$E$12,2)</f>
        <v>د</v>
      </c>
      <c r="R66" s="40">
        <f t="shared" si="18"/>
        <v>4</v>
      </c>
      <c r="S66" s="21">
        <v>2</v>
      </c>
      <c r="T66" s="67">
        <v>84</v>
      </c>
      <c r="U66" s="65">
        <f>VLOOKUP(T66,المرجع!$B$3:$C$12,2)</f>
        <v>4</v>
      </c>
      <c r="V66" s="44" t="str">
        <f>VLOOKUP(U66,المرجع!$D$3:$E$12,2)</f>
        <v>ب</v>
      </c>
      <c r="W66" s="40">
        <f t="shared" si="19"/>
        <v>8</v>
      </c>
      <c r="X66" s="21">
        <v>2</v>
      </c>
      <c r="Y66" s="67">
        <v>64</v>
      </c>
      <c r="Z66" s="65">
        <f>VLOOKUP(Y66,المرجع!$B$3:$C$12,2)</f>
        <v>2</v>
      </c>
      <c r="AA66" s="44" t="str">
        <f>VLOOKUP(Z66,المرجع!$D$3:$E$12,2)</f>
        <v>د</v>
      </c>
      <c r="AB66" s="40">
        <f t="shared" si="20"/>
        <v>4</v>
      </c>
      <c r="AC66" s="21">
        <v>2</v>
      </c>
      <c r="AD66" s="67">
        <v>36</v>
      </c>
      <c r="AE66" s="65">
        <f>VLOOKUP(AD66,المرجع!$B$3:$C$12,2)</f>
        <v>0</v>
      </c>
      <c r="AF66" s="44" t="str">
        <f>VLOOKUP(AE66,المرجع!$D$3:$E$12,2)</f>
        <v>ه</v>
      </c>
      <c r="AG66" s="40">
        <f t="shared" si="21"/>
        <v>0</v>
      </c>
      <c r="AH66" s="21">
        <v>2</v>
      </c>
      <c r="AI66" s="67">
        <v>55</v>
      </c>
      <c r="AJ66" s="65">
        <f>VLOOKUP(AI66,المرجع!$B$3:$C$12,2)</f>
        <v>2</v>
      </c>
      <c r="AK66" s="44" t="str">
        <f>VLOOKUP(AJ66,المرجع!$D$3:$E$12,2)</f>
        <v>د</v>
      </c>
      <c r="AL66" s="40">
        <f t="shared" si="22"/>
        <v>4</v>
      </c>
      <c r="AM66" s="21">
        <v>2</v>
      </c>
      <c r="AN66" s="67">
        <v>66</v>
      </c>
      <c r="AO66" s="65">
        <f>VLOOKUP(AN66,المرجع!$B$3:$C$12,2)</f>
        <v>2.5</v>
      </c>
      <c r="AP66" s="44" t="str">
        <f>VLOOKUP(AO66,المرجع!$D$3:$E$12,2)</f>
        <v>د+</v>
      </c>
      <c r="AQ66" s="40">
        <f t="shared" si="23"/>
        <v>5</v>
      </c>
      <c r="AR66" s="21">
        <v>2</v>
      </c>
      <c r="AS66" s="67">
        <v>52</v>
      </c>
      <c r="AT66" s="65">
        <f>VLOOKUP(AS66,المرجع!$B$3:$C$12,2)</f>
        <v>2</v>
      </c>
      <c r="AU66" s="44" t="str">
        <f>VLOOKUP(AT66,المرجع!$D$3:$E$12,2)</f>
        <v>د</v>
      </c>
      <c r="AV66" s="40">
        <f t="shared" si="24"/>
        <v>4</v>
      </c>
      <c r="AW66" s="21">
        <v>2</v>
      </c>
      <c r="AX66" s="67">
        <v>55</v>
      </c>
      <c r="AY66" s="65">
        <f>VLOOKUP(AX66,المرجع!$B$3:$C$12,2)</f>
        <v>2</v>
      </c>
      <c r="AZ66" s="44" t="str">
        <f>VLOOKUP(AY66,المرجع!$D$3:$E$12,2)</f>
        <v>د</v>
      </c>
      <c r="BA66" s="40">
        <f t="shared" si="25"/>
        <v>4</v>
      </c>
      <c r="BB66" s="21">
        <v>2</v>
      </c>
      <c r="BC66" s="67">
        <v>85</v>
      </c>
      <c r="BD66" s="65">
        <f>VLOOKUP(BC66,المرجع!$B$3:$C$12,2)</f>
        <v>4.5</v>
      </c>
      <c r="BE66" s="44" t="str">
        <f>VLOOKUP(BD66,المرجع!$D$3:$E$12,2)</f>
        <v>ب+</v>
      </c>
      <c r="BF66" s="40">
        <f t="shared" si="26"/>
        <v>9</v>
      </c>
      <c r="BG66" s="21">
        <v>2</v>
      </c>
      <c r="BH66" s="67">
        <v>93</v>
      </c>
      <c r="BI66" s="65">
        <f>VLOOKUP(BH66,المرجع!$B$3:$C$12,2)</f>
        <v>4.75</v>
      </c>
      <c r="BJ66" s="44" t="str">
        <f>VLOOKUP(BI66,المرجع!$D$3:$E$12,2)</f>
        <v>أ</v>
      </c>
      <c r="BK66" s="40">
        <f t="shared" si="27"/>
        <v>9.5</v>
      </c>
      <c r="BL66" s="72">
        <f t="shared" si="15"/>
        <v>45.5</v>
      </c>
      <c r="BM66" s="73">
        <f t="shared" si="28"/>
        <v>23</v>
      </c>
      <c r="BN66" s="74">
        <f t="shared" si="29"/>
        <v>1.9782608695652173</v>
      </c>
      <c r="BO66" s="75"/>
      <c r="BP66" s="76" t="str">
        <f>VLOOKUP(BN66,المرجع!$D$3:$F$12,3)</f>
        <v>راسب</v>
      </c>
      <c r="BQ66" s="77">
        <f t="shared" si="30"/>
        <v>79</v>
      </c>
    </row>
    <row r="67" spans="2:69" ht="28.5">
      <c r="B67" s="66">
        <v>2023032</v>
      </c>
      <c r="C67" s="70" t="s">
        <v>26</v>
      </c>
      <c r="D67" s="21">
        <v>1</v>
      </c>
      <c r="E67" s="67">
        <v>93</v>
      </c>
      <c r="F67" s="65">
        <f>VLOOKUP(E67,المرجع!$B$3:$C$12,2)</f>
        <v>4.75</v>
      </c>
      <c r="G67" s="44" t="str">
        <f>VLOOKUP(F67,المرجع!$D$3:$E$12,2)</f>
        <v>أ</v>
      </c>
      <c r="H67" s="40">
        <f t="shared" ref="H67:H98" si="31">F67*D67</f>
        <v>4.75</v>
      </c>
      <c r="I67" s="21">
        <v>2</v>
      </c>
      <c r="J67" s="67">
        <v>90</v>
      </c>
      <c r="K67" s="65">
        <f>VLOOKUP(J67,المرجع!$B$3:$C$12,2)</f>
        <v>4.75</v>
      </c>
      <c r="L67" s="44" t="str">
        <f>VLOOKUP(K67,المرجع!$D$3:$E$12,2)</f>
        <v>أ</v>
      </c>
      <c r="M67" s="40">
        <f t="shared" ref="M67:M98" si="32">K67*I67</f>
        <v>9.5</v>
      </c>
      <c r="N67" s="21">
        <v>2</v>
      </c>
      <c r="O67" s="67">
        <v>50</v>
      </c>
      <c r="P67" s="65">
        <f>VLOOKUP(O67,المرجع!$B$3:$C$12,2)</f>
        <v>2</v>
      </c>
      <c r="Q67" s="44" t="str">
        <f>VLOOKUP(P67,المرجع!$D$3:$E$12,2)</f>
        <v>د</v>
      </c>
      <c r="R67" s="40">
        <f t="shared" ref="R67:R98" si="33">P67*N67</f>
        <v>4</v>
      </c>
      <c r="S67" s="21">
        <v>2</v>
      </c>
      <c r="T67" s="67">
        <v>93</v>
      </c>
      <c r="U67" s="65">
        <f>VLOOKUP(T67,المرجع!$B$3:$C$12,2)</f>
        <v>4.75</v>
      </c>
      <c r="V67" s="44" t="str">
        <f>VLOOKUP(U67,المرجع!$D$3:$E$12,2)</f>
        <v>أ</v>
      </c>
      <c r="W67" s="40">
        <f t="shared" ref="W67:W98" si="34">U67*S67</f>
        <v>9.5</v>
      </c>
      <c r="X67" s="21">
        <v>2</v>
      </c>
      <c r="Y67" s="67">
        <v>55</v>
      </c>
      <c r="Z67" s="65">
        <f>VLOOKUP(Y67,المرجع!$B$3:$C$12,2)</f>
        <v>2</v>
      </c>
      <c r="AA67" s="44" t="str">
        <f>VLOOKUP(Z67,المرجع!$D$3:$E$12,2)</f>
        <v>د</v>
      </c>
      <c r="AB67" s="40">
        <f t="shared" ref="AB67:AB98" si="35">Z67*X67</f>
        <v>4</v>
      </c>
      <c r="AC67" s="21">
        <v>2</v>
      </c>
      <c r="AD67" s="67">
        <v>38</v>
      </c>
      <c r="AE67" s="65">
        <f>VLOOKUP(AD67,المرجع!$B$3:$C$12,2)</f>
        <v>0</v>
      </c>
      <c r="AF67" s="44" t="str">
        <f>VLOOKUP(AE67,المرجع!$D$3:$E$12,2)</f>
        <v>ه</v>
      </c>
      <c r="AG67" s="40">
        <f t="shared" ref="AG67:AG98" si="36">AE67*AC67</f>
        <v>0</v>
      </c>
      <c r="AH67" s="21">
        <v>2</v>
      </c>
      <c r="AI67" s="67">
        <v>50</v>
      </c>
      <c r="AJ67" s="65">
        <f>VLOOKUP(AI67,المرجع!$B$3:$C$12,2)</f>
        <v>2</v>
      </c>
      <c r="AK67" s="44" t="str">
        <f>VLOOKUP(AJ67,المرجع!$D$3:$E$12,2)</f>
        <v>د</v>
      </c>
      <c r="AL67" s="40">
        <f t="shared" ref="AL67:AL98" si="37">AJ67*AH67</f>
        <v>4</v>
      </c>
      <c r="AM67" s="21">
        <v>2</v>
      </c>
      <c r="AN67" s="67">
        <v>61</v>
      </c>
      <c r="AO67" s="65">
        <f>VLOOKUP(AN67,المرجع!$B$3:$C$12,2)</f>
        <v>2</v>
      </c>
      <c r="AP67" s="44" t="str">
        <f>VLOOKUP(AO67,المرجع!$D$3:$E$12,2)</f>
        <v>د</v>
      </c>
      <c r="AQ67" s="40">
        <f t="shared" ref="AQ67:AQ98" si="38">AO67*AM67</f>
        <v>4</v>
      </c>
      <c r="AR67" s="21">
        <v>2</v>
      </c>
      <c r="AS67" s="67">
        <v>50</v>
      </c>
      <c r="AT67" s="65">
        <f>VLOOKUP(AS67,المرجع!$B$3:$C$12,2)</f>
        <v>2</v>
      </c>
      <c r="AU67" s="44" t="str">
        <f>VLOOKUP(AT67,المرجع!$D$3:$E$12,2)</f>
        <v>د</v>
      </c>
      <c r="AV67" s="40">
        <f t="shared" ref="AV67:AV98" si="39">AT67*AR67</f>
        <v>4</v>
      </c>
      <c r="AW67" s="21">
        <v>2</v>
      </c>
      <c r="AX67" s="67">
        <v>60</v>
      </c>
      <c r="AY67" s="65">
        <f>VLOOKUP(AX67,المرجع!$B$3:$C$12,2)</f>
        <v>2</v>
      </c>
      <c r="AZ67" s="44" t="str">
        <f>VLOOKUP(AY67,المرجع!$D$3:$E$12,2)</f>
        <v>د</v>
      </c>
      <c r="BA67" s="40">
        <f t="shared" ref="BA67:BA98" si="40">AY67*AW67</f>
        <v>4</v>
      </c>
      <c r="BB67" s="21">
        <v>2</v>
      </c>
      <c r="BC67" s="67">
        <v>63</v>
      </c>
      <c r="BD67" s="65">
        <f>VLOOKUP(BC67,المرجع!$B$3:$C$12,2)</f>
        <v>2</v>
      </c>
      <c r="BE67" s="44" t="str">
        <f>VLOOKUP(BD67,المرجع!$D$3:$E$12,2)</f>
        <v>د</v>
      </c>
      <c r="BF67" s="40">
        <f t="shared" ref="BF67:BF98" si="41">BD67*BB67</f>
        <v>4</v>
      </c>
      <c r="BG67" s="21">
        <v>2</v>
      </c>
      <c r="BH67" s="67">
        <v>96</v>
      </c>
      <c r="BI67" s="65">
        <f>VLOOKUP(BH67,المرجع!$B$3:$C$12,2)</f>
        <v>5</v>
      </c>
      <c r="BJ67" s="44" t="str">
        <f>VLOOKUP(BI67,المرجع!$D$3:$E$12,2)</f>
        <v xml:space="preserve">أ+ </v>
      </c>
      <c r="BK67" s="40">
        <f t="shared" ref="BK67:BK98" si="42">BI67*BG67</f>
        <v>10</v>
      </c>
      <c r="BL67" s="72">
        <f t="shared" si="15"/>
        <v>41.75</v>
      </c>
      <c r="BM67" s="73">
        <f t="shared" ref="BM67:BM98" si="43">SUM(BG67+BB67+AW67+AR67+AM67+AH67+AC67+X67+S67+N67+I67+D67)</f>
        <v>23</v>
      </c>
      <c r="BN67" s="74">
        <f t="shared" ref="BN67:BN98" si="44">BL67/BM67</f>
        <v>1.8152173913043479</v>
      </c>
      <c r="BO67" s="75"/>
      <c r="BP67" s="76" t="str">
        <f>VLOOKUP(BN67,المرجع!$D$3:$F$12,3)</f>
        <v>راسب</v>
      </c>
      <c r="BQ67" s="77">
        <f t="shared" ref="BQ67:BQ98" si="45">RANK(BN67,$BN$3:$BN$98)</f>
        <v>85</v>
      </c>
    </row>
    <row r="68" spans="2:69" ht="28.5">
      <c r="B68" s="66">
        <v>2023091</v>
      </c>
      <c r="C68" s="70" t="s">
        <v>70</v>
      </c>
      <c r="D68" s="21">
        <v>1</v>
      </c>
      <c r="E68" s="67">
        <v>86</v>
      </c>
      <c r="F68" s="65">
        <f>VLOOKUP(E68,المرجع!$B$3:$C$12,2)</f>
        <v>4.5</v>
      </c>
      <c r="G68" s="44" t="str">
        <f>VLOOKUP(F68,المرجع!$D$3:$E$12,2)</f>
        <v>ب+</v>
      </c>
      <c r="H68" s="40">
        <f t="shared" si="31"/>
        <v>4.5</v>
      </c>
      <c r="I68" s="21">
        <v>2</v>
      </c>
      <c r="J68" s="67">
        <v>75</v>
      </c>
      <c r="K68" s="65">
        <f>VLOOKUP(J68,المرجع!$B$3:$C$12,2)</f>
        <v>3.5</v>
      </c>
      <c r="L68" s="44" t="str">
        <f>VLOOKUP(K68,المرجع!$D$3:$E$12,2)</f>
        <v>ج+</v>
      </c>
      <c r="M68" s="40">
        <f t="shared" si="32"/>
        <v>7</v>
      </c>
      <c r="N68" s="21">
        <v>2</v>
      </c>
      <c r="O68" s="67">
        <v>50</v>
      </c>
      <c r="P68" s="65">
        <f>VLOOKUP(O68,المرجع!$B$3:$C$12,2)</f>
        <v>2</v>
      </c>
      <c r="Q68" s="44" t="str">
        <f>VLOOKUP(P68,المرجع!$D$3:$E$12,2)</f>
        <v>د</v>
      </c>
      <c r="R68" s="40">
        <f t="shared" si="33"/>
        <v>4</v>
      </c>
      <c r="S68" s="21">
        <v>2</v>
      </c>
      <c r="T68" s="67">
        <v>90</v>
      </c>
      <c r="U68" s="65">
        <f>VLOOKUP(T68,المرجع!$B$3:$C$12,2)</f>
        <v>4.75</v>
      </c>
      <c r="V68" s="44" t="str">
        <f>VLOOKUP(U68,المرجع!$D$3:$E$12,2)</f>
        <v>أ</v>
      </c>
      <c r="W68" s="40">
        <f t="shared" si="34"/>
        <v>9.5</v>
      </c>
      <c r="X68" s="21">
        <v>2</v>
      </c>
      <c r="Y68" s="67">
        <v>80</v>
      </c>
      <c r="Z68" s="65">
        <f>VLOOKUP(Y68,المرجع!$B$3:$C$12,2)</f>
        <v>4</v>
      </c>
      <c r="AA68" s="44" t="str">
        <f>VLOOKUP(Z68,المرجع!$D$3:$E$12,2)</f>
        <v>ب</v>
      </c>
      <c r="AB68" s="40">
        <f t="shared" si="35"/>
        <v>8</v>
      </c>
      <c r="AC68" s="21">
        <v>2</v>
      </c>
      <c r="AD68" s="67">
        <v>50</v>
      </c>
      <c r="AE68" s="65">
        <f>VLOOKUP(AD68,المرجع!$B$3:$C$12,2)</f>
        <v>2</v>
      </c>
      <c r="AF68" s="44" t="str">
        <f>VLOOKUP(AE68,المرجع!$D$3:$E$12,2)</f>
        <v>د</v>
      </c>
      <c r="AG68" s="40">
        <f t="shared" si="36"/>
        <v>4</v>
      </c>
      <c r="AH68" s="21">
        <v>2</v>
      </c>
      <c r="AI68" s="67">
        <v>55</v>
      </c>
      <c r="AJ68" s="65">
        <f>VLOOKUP(AI68,المرجع!$B$3:$C$12,2)</f>
        <v>2</v>
      </c>
      <c r="AK68" s="44" t="str">
        <f>VLOOKUP(AJ68,المرجع!$D$3:$E$12,2)</f>
        <v>د</v>
      </c>
      <c r="AL68" s="40">
        <f t="shared" si="37"/>
        <v>4</v>
      </c>
      <c r="AM68" s="21">
        <v>2</v>
      </c>
      <c r="AN68" s="67">
        <v>69</v>
      </c>
      <c r="AO68" s="65">
        <f>VLOOKUP(AN68,المرجع!$B$3:$C$12,2)</f>
        <v>2.5</v>
      </c>
      <c r="AP68" s="44" t="str">
        <f>VLOOKUP(AO68,المرجع!$D$3:$E$12,2)</f>
        <v>د+</v>
      </c>
      <c r="AQ68" s="40">
        <f t="shared" si="38"/>
        <v>5</v>
      </c>
      <c r="AR68" s="21">
        <v>2</v>
      </c>
      <c r="AS68" s="67">
        <v>65</v>
      </c>
      <c r="AT68" s="65">
        <f>VLOOKUP(AS68,المرجع!$B$3:$C$12,2)</f>
        <v>2.5</v>
      </c>
      <c r="AU68" s="44" t="str">
        <f>VLOOKUP(AT68,المرجع!$D$3:$E$12,2)</f>
        <v>د+</v>
      </c>
      <c r="AV68" s="40">
        <f t="shared" si="39"/>
        <v>5</v>
      </c>
      <c r="AW68" s="21">
        <v>2</v>
      </c>
      <c r="AX68" s="67">
        <v>55</v>
      </c>
      <c r="AY68" s="65">
        <f>VLOOKUP(AX68,المرجع!$B$3:$C$12,2)</f>
        <v>2</v>
      </c>
      <c r="AZ68" s="44" t="str">
        <f>VLOOKUP(AY68,المرجع!$D$3:$E$12,2)</f>
        <v>د</v>
      </c>
      <c r="BA68" s="40">
        <f t="shared" si="40"/>
        <v>4</v>
      </c>
      <c r="BB68" s="21">
        <v>2</v>
      </c>
      <c r="BC68" s="67">
        <v>70</v>
      </c>
      <c r="BD68" s="65">
        <f>VLOOKUP(BC68,المرجع!$B$3:$C$12,2)</f>
        <v>3</v>
      </c>
      <c r="BE68" s="44" t="str">
        <f>VLOOKUP(BD68,المرجع!$D$3:$E$12,2)</f>
        <v>ج</v>
      </c>
      <c r="BF68" s="40">
        <f t="shared" si="41"/>
        <v>6</v>
      </c>
      <c r="BG68" s="21">
        <v>2</v>
      </c>
      <c r="BH68" s="67">
        <v>67</v>
      </c>
      <c r="BI68" s="65">
        <f>VLOOKUP(BH68,المرجع!$B$3:$C$12,2)</f>
        <v>2.5</v>
      </c>
      <c r="BJ68" s="44" t="str">
        <f>VLOOKUP(BI68,المرجع!$D$3:$E$12,2)</f>
        <v>د+</v>
      </c>
      <c r="BK68" s="40">
        <f t="shared" si="42"/>
        <v>5</v>
      </c>
      <c r="BL68" s="72">
        <f t="shared" ref="BL68:BL98" si="46">-BK68+BF68+BA68+AV68+AQ68+AL68+AG68+AB68+W68+R68+M68+H68</f>
        <v>56</v>
      </c>
      <c r="BM68" s="73">
        <f t="shared" si="43"/>
        <v>23</v>
      </c>
      <c r="BN68" s="74">
        <f t="shared" si="44"/>
        <v>2.4347826086956523</v>
      </c>
      <c r="BO68" s="75"/>
      <c r="BP68" s="76" t="str">
        <f>VLOOKUP(BN68,المرجع!$D$3:$F$12,3)</f>
        <v xml:space="preserve">مقبول مرتفع </v>
      </c>
      <c r="BQ68" s="77">
        <f t="shared" si="45"/>
        <v>62</v>
      </c>
    </row>
    <row r="69" spans="2:69" ht="28.5">
      <c r="B69" s="66">
        <v>2023013</v>
      </c>
      <c r="C69" s="70" t="s">
        <v>22</v>
      </c>
      <c r="D69" s="21">
        <v>1</v>
      </c>
      <c r="E69" s="67">
        <v>95</v>
      </c>
      <c r="F69" s="65">
        <f>VLOOKUP(E69,المرجع!$B$3:$C$12,2)</f>
        <v>5</v>
      </c>
      <c r="G69" s="44" t="str">
        <f>VLOOKUP(F69,المرجع!$D$3:$E$12,2)</f>
        <v xml:space="preserve">أ+ </v>
      </c>
      <c r="H69" s="40">
        <f t="shared" si="31"/>
        <v>5</v>
      </c>
      <c r="I69" s="21">
        <v>2</v>
      </c>
      <c r="J69" s="67">
        <v>70</v>
      </c>
      <c r="K69" s="65">
        <f>VLOOKUP(J69,المرجع!$B$3:$C$12,2)</f>
        <v>3</v>
      </c>
      <c r="L69" s="44" t="str">
        <f>VLOOKUP(K69,المرجع!$D$3:$E$12,2)</f>
        <v>ج</v>
      </c>
      <c r="M69" s="40">
        <f t="shared" si="32"/>
        <v>6</v>
      </c>
      <c r="N69" s="21">
        <v>2</v>
      </c>
      <c r="O69" s="67">
        <v>50</v>
      </c>
      <c r="P69" s="65">
        <f>VLOOKUP(O69,المرجع!$B$3:$C$12,2)</f>
        <v>2</v>
      </c>
      <c r="Q69" s="44" t="str">
        <f>VLOOKUP(P69,المرجع!$D$3:$E$12,2)</f>
        <v>د</v>
      </c>
      <c r="R69" s="40">
        <f t="shared" si="33"/>
        <v>4</v>
      </c>
      <c r="S69" s="21">
        <v>2</v>
      </c>
      <c r="T69" s="67">
        <v>89</v>
      </c>
      <c r="U69" s="65">
        <f>VLOOKUP(T69,المرجع!$B$3:$C$12,2)</f>
        <v>4.5</v>
      </c>
      <c r="V69" s="44" t="str">
        <f>VLOOKUP(U69,المرجع!$D$3:$E$12,2)</f>
        <v>ب+</v>
      </c>
      <c r="W69" s="40">
        <f t="shared" si="34"/>
        <v>9</v>
      </c>
      <c r="X69" s="21">
        <v>2</v>
      </c>
      <c r="Y69" s="67">
        <v>80</v>
      </c>
      <c r="Z69" s="65">
        <f>VLOOKUP(Y69,المرجع!$B$3:$C$12,2)</f>
        <v>4</v>
      </c>
      <c r="AA69" s="44" t="str">
        <f>VLOOKUP(Z69,المرجع!$D$3:$E$12,2)</f>
        <v>ب</v>
      </c>
      <c r="AB69" s="40">
        <f t="shared" si="35"/>
        <v>8</v>
      </c>
      <c r="AC69" s="21">
        <v>2</v>
      </c>
      <c r="AD69" s="67">
        <v>57</v>
      </c>
      <c r="AE69" s="65">
        <f>VLOOKUP(AD69,المرجع!$B$3:$C$12,2)</f>
        <v>2</v>
      </c>
      <c r="AF69" s="44" t="str">
        <f>VLOOKUP(AE69,المرجع!$D$3:$E$12,2)</f>
        <v>د</v>
      </c>
      <c r="AG69" s="40">
        <f t="shared" si="36"/>
        <v>4</v>
      </c>
      <c r="AH69" s="21">
        <v>2</v>
      </c>
      <c r="AI69" s="67">
        <v>50</v>
      </c>
      <c r="AJ69" s="65">
        <f>VLOOKUP(AI69,المرجع!$B$3:$C$12,2)</f>
        <v>2</v>
      </c>
      <c r="AK69" s="44" t="str">
        <f>VLOOKUP(AJ69,المرجع!$D$3:$E$12,2)</f>
        <v>د</v>
      </c>
      <c r="AL69" s="40">
        <f t="shared" si="37"/>
        <v>4</v>
      </c>
      <c r="AM69" s="21">
        <v>2</v>
      </c>
      <c r="AN69" s="67">
        <v>68</v>
      </c>
      <c r="AO69" s="65">
        <f>VLOOKUP(AN69,المرجع!$B$3:$C$12,2)</f>
        <v>2.5</v>
      </c>
      <c r="AP69" s="44" t="str">
        <f>VLOOKUP(AO69,المرجع!$D$3:$E$12,2)</f>
        <v>د+</v>
      </c>
      <c r="AQ69" s="40">
        <f t="shared" si="38"/>
        <v>5</v>
      </c>
      <c r="AR69" s="21">
        <v>2</v>
      </c>
      <c r="AS69" s="67">
        <v>67</v>
      </c>
      <c r="AT69" s="65">
        <f>VLOOKUP(AS69,المرجع!$B$3:$C$12,2)</f>
        <v>2.5</v>
      </c>
      <c r="AU69" s="44" t="str">
        <f>VLOOKUP(AT69,المرجع!$D$3:$E$12,2)</f>
        <v>د+</v>
      </c>
      <c r="AV69" s="40">
        <f t="shared" si="39"/>
        <v>5</v>
      </c>
      <c r="AW69" s="21">
        <v>2</v>
      </c>
      <c r="AX69" s="67">
        <v>57</v>
      </c>
      <c r="AY69" s="65">
        <f>VLOOKUP(AX69,المرجع!$B$3:$C$12,2)</f>
        <v>2</v>
      </c>
      <c r="AZ69" s="44" t="str">
        <f>VLOOKUP(AY69,المرجع!$D$3:$E$12,2)</f>
        <v>د</v>
      </c>
      <c r="BA69" s="40">
        <f t="shared" si="40"/>
        <v>4</v>
      </c>
      <c r="BB69" s="21">
        <v>2</v>
      </c>
      <c r="BC69" s="67">
        <v>56</v>
      </c>
      <c r="BD69" s="65">
        <f>VLOOKUP(BC69,المرجع!$B$3:$C$12,2)</f>
        <v>2</v>
      </c>
      <c r="BE69" s="44" t="str">
        <f>VLOOKUP(BD69,المرجع!$D$3:$E$12,2)</f>
        <v>د</v>
      </c>
      <c r="BF69" s="40">
        <f t="shared" si="41"/>
        <v>4</v>
      </c>
      <c r="BG69" s="21">
        <v>2</v>
      </c>
      <c r="BH69" s="67">
        <v>78</v>
      </c>
      <c r="BI69" s="65">
        <f>VLOOKUP(BH69,المرجع!$B$3:$C$12,2)</f>
        <v>3.5</v>
      </c>
      <c r="BJ69" s="44" t="str">
        <f>VLOOKUP(BI69,المرجع!$D$3:$E$12,2)</f>
        <v>ج+</v>
      </c>
      <c r="BK69" s="40">
        <f t="shared" si="42"/>
        <v>7</v>
      </c>
      <c r="BL69" s="72">
        <f t="shared" si="46"/>
        <v>51</v>
      </c>
      <c r="BM69" s="73">
        <f t="shared" si="43"/>
        <v>23</v>
      </c>
      <c r="BN69" s="74">
        <f t="shared" si="44"/>
        <v>2.2173913043478262</v>
      </c>
      <c r="BO69" s="75"/>
      <c r="BP69" s="76" t="str">
        <f>VLOOKUP(BN69,المرجع!$D$3:$F$12,3)</f>
        <v xml:space="preserve">مقبول مرتفع </v>
      </c>
      <c r="BQ69" s="77">
        <f t="shared" si="45"/>
        <v>68</v>
      </c>
    </row>
    <row r="70" spans="2:69" ht="28.5">
      <c r="B70" s="66">
        <v>2023032</v>
      </c>
      <c r="C70" s="70" t="s">
        <v>29</v>
      </c>
      <c r="D70" s="21">
        <v>1</v>
      </c>
      <c r="E70" s="67">
        <v>97</v>
      </c>
      <c r="F70" s="65">
        <f>VLOOKUP(E70,المرجع!$B$3:$C$12,2)</f>
        <v>5</v>
      </c>
      <c r="G70" s="44" t="str">
        <f>VLOOKUP(F70,المرجع!$D$3:$E$12,2)</f>
        <v xml:space="preserve">أ+ </v>
      </c>
      <c r="H70" s="40">
        <f t="shared" si="31"/>
        <v>5</v>
      </c>
      <c r="I70" s="21">
        <v>2</v>
      </c>
      <c r="J70" s="67">
        <v>90</v>
      </c>
      <c r="K70" s="65">
        <f>VLOOKUP(J70,المرجع!$B$3:$C$12,2)</f>
        <v>4.75</v>
      </c>
      <c r="L70" s="44" t="str">
        <f>VLOOKUP(K70,المرجع!$D$3:$E$12,2)</f>
        <v>أ</v>
      </c>
      <c r="M70" s="40">
        <f t="shared" si="32"/>
        <v>9.5</v>
      </c>
      <c r="N70" s="21">
        <v>2</v>
      </c>
      <c r="O70" s="67">
        <v>25</v>
      </c>
      <c r="P70" s="65">
        <f>VLOOKUP(O70,المرجع!$B$3:$C$12,2)</f>
        <v>0</v>
      </c>
      <c r="Q70" s="44" t="str">
        <f>VLOOKUP(P70,المرجع!$D$3:$E$12,2)</f>
        <v>ه</v>
      </c>
      <c r="R70" s="40">
        <f t="shared" si="33"/>
        <v>0</v>
      </c>
      <c r="S70" s="21">
        <v>2</v>
      </c>
      <c r="T70" s="67">
        <v>60</v>
      </c>
      <c r="U70" s="65">
        <f>VLOOKUP(T70,المرجع!$B$3:$C$12,2)</f>
        <v>2</v>
      </c>
      <c r="V70" s="44" t="str">
        <f>VLOOKUP(U70,المرجع!$D$3:$E$12,2)</f>
        <v>د</v>
      </c>
      <c r="W70" s="40">
        <f t="shared" si="34"/>
        <v>4</v>
      </c>
      <c r="X70" s="21">
        <v>2</v>
      </c>
      <c r="Y70" s="67">
        <v>80</v>
      </c>
      <c r="Z70" s="65">
        <f>VLOOKUP(Y70,المرجع!$B$3:$C$12,2)</f>
        <v>4</v>
      </c>
      <c r="AA70" s="44" t="str">
        <f>VLOOKUP(Z70,المرجع!$D$3:$E$12,2)</f>
        <v>ب</v>
      </c>
      <c r="AB70" s="40">
        <f t="shared" si="35"/>
        <v>8</v>
      </c>
      <c r="AC70" s="21">
        <v>2</v>
      </c>
      <c r="AD70" s="67">
        <v>53</v>
      </c>
      <c r="AE70" s="65">
        <f>VLOOKUP(AD70,المرجع!$B$3:$C$12,2)</f>
        <v>2</v>
      </c>
      <c r="AF70" s="44" t="str">
        <f>VLOOKUP(AE70,المرجع!$D$3:$E$12,2)</f>
        <v>د</v>
      </c>
      <c r="AG70" s="40">
        <f t="shared" si="36"/>
        <v>4</v>
      </c>
      <c r="AH70" s="21">
        <v>2</v>
      </c>
      <c r="AI70" s="67">
        <v>55</v>
      </c>
      <c r="AJ70" s="65">
        <f>VLOOKUP(AI70,المرجع!$B$3:$C$12,2)</f>
        <v>2</v>
      </c>
      <c r="AK70" s="44" t="str">
        <f>VLOOKUP(AJ70,المرجع!$D$3:$E$12,2)</f>
        <v>د</v>
      </c>
      <c r="AL70" s="40">
        <f t="shared" si="37"/>
        <v>4</v>
      </c>
      <c r="AM70" s="21">
        <v>2</v>
      </c>
      <c r="AN70" s="67">
        <v>70</v>
      </c>
      <c r="AO70" s="65">
        <f>VLOOKUP(AN70,المرجع!$B$3:$C$12,2)</f>
        <v>3</v>
      </c>
      <c r="AP70" s="44" t="str">
        <f>VLOOKUP(AO70,المرجع!$D$3:$E$12,2)</f>
        <v>ج</v>
      </c>
      <c r="AQ70" s="40">
        <f t="shared" si="38"/>
        <v>6</v>
      </c>
      <c r="AR70" s="21">
        <v>2</v>
      </c>
      <c r="AS70" s="67">
        <v>61</v>
      </c>
      <c r="AT70" s="65">
        <f>VLOOKUP(AS70,المرجع!$B$3:$C$12,2)</f>
        <v>2</v>
      </c>
      <c r="AU70" s="44" t="str">
        <f>VLOOKUP(AT70,المرجع!$D$3:$E$12,2)</f>
        <v>د</v>
      </c>
      <c r="AV70" s="40">
        <f t="shared" si="39"/>
        <v>4</v>
      </c>
      <c r="AW70" s="21">
        <v>2</v>
      </c>
      <c r="AX70" s="67">
        <v>55</v>
      </c>
      <c r="AY70" s="65">
        <f>VLOOKUP(AX70,المرجع!$B$3:$C$12,2)</f>
        <v>2</v>
      </c>
      <c r="AZ70" s="44" t="str">
        <f>VLOOKUP(AY70,المرجع!$D$3:$E$12,2)</f>
        <v>د</v>
      </c>
      <c r="BA70" s="40">
        <f t="shared" si="40"/>
        <v>4</v>
      </c>
      <c r="BB70" s="21">
        <v>2</v>
      </c>
      <c r="BC70" s="67">
        <v>55</v>
      </c>
      <c r="BD70" s="65">
        <f>VLOOKUP(BC70,المرجع!$B$3:$C$12,2)</f>
        <v>2</v>
      </c>
      <c r="BE70" s="44" t="str">
        <f>VLOOKUP(BD70,المرجع!$D$3:$E$12,2)</f>
        <v>د</v>
      </c>
      <c r="BF70" s="40">
        <f t="shared" si="41"/>
        <v>4</v>
      </c>
      <c r="BG70" s="21">
        <v>2</v>
      </c>
      <c r="BH70" s="67">
        <v>69</v>
      </c>
      <c r="BI70" s="65">
        <f>VLOOKUP(BH70,المرجع!$B$3:$C$12,2)</f>
        <v>2.5</v>
      </c>
      <c r="BJ70" s="44" t="str">
        <f>VLOOKUP(BI70,المرجع!$D$3:$E$12,2)</f>
        <v>د+</v>
      </c>
      <c r="BK70" s="40">
        <f t="shared" si="42"/>
        <v>5</v>
      </c>
      <c r="BL70" s="72">
        <f t="shared" si="46"/>
        <v>47.5</v>
      </c>
      <c r="BM70" s="73">
        <f t="shared" si="43"/>
        <v>23</v>
      </c>
      <c r="BN70" s="74">
        <f t="shared" si="44"/>
        <v>2.0652173913043477</v>
      </c>
      <c r="BO70" s="75"/>
      <c r="BP70" s="76" t="str">
        <f>VLOOKUP(BN70,المرجع!$D$3:$F$12,3)</f>
        <v>مقبول</v>
      </c>
      <c r="BQ70" s="77">
        <f t="shared" si="45"/>
        <v>73</v>
      </c>
    </row>
    <row r="71" spans="2:69" ht="28.5">
      <c r="B71" s="66">
        <v>2023003</v>
      </c>
      <c r="C71" s="70" t="s">
        <v>24</v>
      </c>
      <c r="D71" s="21">
        <v>1</v>
      </c>
      <c r="E71" s="67">
        <v>87</v>
      </c>
      <c r="F71" s="65">
        <f>VLOOKUP(E71,المرجع!$B$3:$C$12,2)</f>
        <v>4.5</v>
      </c>
      <c r="G71" s="44" t="str">
        <f>VLOOKUP(F71,المرجع!$D$3:$E$12,2)</f>
        <v>ب+</v>
      </c>
      <c r="H71" s="40">
        <f t="shared" si="31"/>
        <v>4.5</v>
      </c>
      <c r="I71" s="21">
        <v>2</v>
      </c>
      <c r="J71" s="67">
        <v>88</v>
      </c>
      <c r="K71" s="65">
        <f>VLOOKUP(J71,المرجع!$B$3:$C$12,2)</f>
        <v>4.5</v>
      </c>
      <c r="L71" s="44" t="str">
        <f>VLOOKUP(K71,المرجع!$D$3:$E$12,2)</f>
        <v>ب+</v>
      </c>
      <c r="M71" s="40">
        <f t="shared" si="32"/>
        <v>9</v>
      </c>
      <c r="N71" s="21">
        <v>2</v>
      </c>
      <c r="O71" s="67">
        <v>23</v>
      </c>
      <c r="P71" s="65">
        <f>VLOOKUP(O71,المرجع!$B$3:$C$12,2)</f>
        <v>0</v>
      </c>
      <c r="Q71" s="44" t="str">
        <f>VLOOKUP(P71,المرجع!$D$3:$E$12,2)</f>
        <v>ه</v>
      </c>
      <c r="R71" s="40">
        <f t="shared" si="33"/>
        <v>0</v>
      </c>
      <c r="S71" s="21">
        <v>2</v>
      </c>
      <c r="T71" s="67">
        <v>70</v>
      </c>
      <c r="U71" s="65">
        <f>VLOOKUP(T71,المرجع!$B$3:$C$12,2)</f>
        <v>3</v>
      </c>
      <c r="V71" s="44" t="str">
        <f>VLOOKUP(U71,المرجع!$D$3:$E$12,2)</f>
        <v>ج</v>
      </c>
      <c r="W71" s="40">
        <f t="shared" si="34"/>
        <v>6</v>
      </c>
      <c r="X71" s="21">
        <v>2</v>
      </c>
      <c r="Y71" s="67">
        <v>50</v>
      </c>
      <c r="Z71" s="65">
        <f>VLOOKUP(Y71,المرجع!$B$3:$C$12,2)</f>
        <v>2</v>
      </c>
      <c r="AA71" s="44" t="str">
        <f>VLOOKUP(Z71,المرجع!$D$3:$E$12,2)</f>
        <v>د</v>
      </c>
      <c r="AB71" s="40">
        <f t="shared" si="35"/>
        <v>4</v>
      </c>
      <c r="AC71" s="21">
        <v>2</v>
      </c>
      <c r="AD71" s="67">
        <v>50</v>
      </c>
      <c r="AE71" s="65">
        <f>VLOOKUP(AD71,المرجع!$B$3:$C$12,2)</f>
        <v>2</v>
      </c>
      <c r="AF71" s="44" t="str">
        <f>VLOOKUP(AE71,المرجع!$D$3:$E$12,2)</f>
        <v>د</v>
      </c>
      <c r="AG71" s="40">
        <f t="shared" si="36"/>
        <v>4</v>
      </c>
      <c r="AH71" s="21">
        <v>2</v>
      </c>
      <c r="AI71" s="67">
        <v>50</v>
      </c>
      <c r="AJ71" s="65">
        <f>VLOOKUP(AI71,المرجع!$B$3:$C$12,2)</f>
        <v>2</v>
      </c>
      <c r="AK71" s="44" t="str">
        <f>VLOOKUP(AJ71,المرجع!$D$3:$E$12,2)</f>
        <v>د</v>
      </c>
      <c r="AL71" s="40">
        <f t="shared" si="37"/>
        <v>4</v>
      </c>
      <c r="AM71" s="21">
        <v>2</v>
      </c>
      <c r="AN71" s="67">
        <v>54</v>
      </c>
      <c r="AO71" s="65">
        <f>VLOOKUP(AN71,المرجع!$B$3:$C$12,2)</f>
        <v>2</v>
      </c>
      <c r="AP71" s="44" t="str">
        <f>VLOOKUP(AO71,المرجع!$D$3:$E$12,2)</f>
        <v>د</v>
      </c>
      <c r="AQ71" s="40">
        <f t="shared" si="38"/>
        <v>4</v>
      </c>
      <c r="AR71" s="21">
        <v>2</v>
      </c>
      <c r="AS71" s="67">
        <v>58</v>
      </c>
      <c r="AT71" s="65">
        <f>VLOOKUP(AS71,المرجع!$B$3:$C$12,2)</f>
        <v>2</v>
      </c>
      <c r="AU71" s="44" t="str">
        <f>VLOOKUP(AT71,المرجع!$D$3:$E$12,2)</f>
        <v>د</v>
      </c>
      <c r="AV71" s="40">
        <f t="shared" si="39"/>
        <v>4</v>
      </c>
      <c r="AW71" s="21">
        <v>2</v>
      </c>
      <c r="AX71" s="67">
        <v>60</v>
      </c>
      <c r="AY71" s="65">
        <f>VLOOKUP(AX71,المرجع!$B$3:$C$12,2)</f>
        <v>2</v>
      </c>
      <c r="AZ71" s="44" t="str">
        <f>VLOOKUP(AY71,المرجع!$D$3:$E$12,2)</f>
        <v>د</v>
      </c>
      <c r="BA71" s="40">
        <f t="shared" si="40"/>
        <v>4</v>
      </c>
      <c r="BB71" s="21">
        <v>2</v>
      </c>
      <c r="BC71" s="67">
        <v>65</v>
      </c>
      <c r="BD71" s="65">
        <f>VLOOKUP(BC71,المرجع!$B$3:$C$12,2)</f>
        <v>2.5</v>
      </c>
      <c r="BE71" s="44" t="str">
        <f>VLOOKUP(BD71,المرجع!$D$3:$E$12,2)</f>
        <v>د+</v>
      </c>
      <c r="BF71" s="40">
        <f t="shared" si="41"/>
        <v>5</v>
      </c>
      <c r="BG71" s="21">
        <v>2</v>
      </c>
      <c r="BH71" s="67">
        <v>88</v>
      </c>
      <c r="BI71" s="65">
        <f>VLOOKUP(BH71,المرجع!$B$3:$C$12,2)</f>
        <v>4.5</v>
      </c>
      <c r="BJ71" s="44" t="str">
        <f>VLOOKUP(BI71,المرجع!$D$3:$E$12,2)</f>
        <v>ب+</v>
      </c>
      <c r="BK71" s="40">
        <f t="shared" si="42"/>
        <v>9</v>
      </c>
      <c r="BL71" s="72">
        <f t="shared" si="46"/>
        <v>39.5</v>
      </c>
      <c r="BM71" s="73">
        <f t="shared" si="43"/>
        <v>23</v>
      </c>
      <c r="BN71" s="74">
        <f t="shared" si="44"/>
        <v>1.7173913043478262</v>
      </c>
      <c r="BO71" s="75"/>
      <c r="BP71" s="76" t="str">
        <f>VLOOKUP(BN71,المرجع!$D$3:$F$12,3)</f>
        <v>راسب</v>
      </c>
      <c r="BQ71" s="77">
        <f t="shared" si="45"/>
        <v>88</v>
      </c>
    </row>
    <row r="72" spans="2:69" ht="28.5">
      <c r="B72" s="66">
        <v>2023068</v>
      </c>
      <c r="C72" s="70" t="s">
        <v>63</v>
      </c>
      <c r="D72" s="21">
        <v>1</v>
      </c>
      <c r="E72" s="67">
        <v>91</v>
      </c>
      <c r="F72" s="65">
        <f>VLOOKUP(E72,المرجع!$B$3:$C$12,2)</f>
        <v>4.75</v>
      </c>
      <c r="G72" s="44" t="str">
        <f>VLOOKUP(F72,المرجع!$D$3:$E$12,2)</f>
        <v>أ</v>
      </c>
      <c r="H72" s="40">
        <f t="shared" si="31"/>
        <v>4.75</v>
      </c>
      <c r="I72" s="21">
        <v>2</v>
      </c>
      <c r="J72" s="67">
        <v>70</v>
      </c>
      <c r="K72" s="65">
        <f>VLOOKUP(J72,المرجع!$B$3:$C$12,2)</f>
        <v>3</v>
      </c>
      <c r="L72" s="44" t="str">
        <f>VLOOKUP(K72,المرجع!$D$3:$E$12,2)</f>
        <v>ج</v>
      </c>
      <c r="M72" s="40">
        <f t="shared" si="32"/>
        <v>6</v>
      </c>
      <c r="N72" s="21">
        <v>2</v>
      </c>
      <c r="O72" s="67">
        <v>50</v>
      </c>
      <c r="P72" s="65">
        <f>VLOOKUP(O72,المرجع!$B$3:$C$12,2)</f>
        <v>2</v>
      </c>
      <c r="Q72" s="44" t="str">
        <f>VLOOKUP(P72,المرجع!$D$3:$E$12,2)</f>
        <v>د</v>
      </c>
      <c r="R72" s="40">
        <f t="shared" si="33"/>
        <v>4</v>
      </c>
      <c r="S72" s="21">
        <v>2</v>
      </c>
      <c r="T72" s="67">
        <v>95</v>
      </c>
      <c r="U72" s="65">
        <f>VLOOKUP(T72,المرجع!$B$3:$C$12,2)</f>
        <v>5</v>
      </c>
      <c r="V72" s="44" t="str">
        <f>VLOOKUP(U72,المرجع!$D$3:$E$12,2)</f>
        <v xml:space="preserve">أ+ </v>
      </c>
      <c r="W72" s="40">
        <f t="shared" si="34"/>
        <v>10</v>
      </c>
      <c r="X72" s="21">
        <v>2</v>
      </c>
      <c r="Y72" s="67">
        <v>74</v>
      </c>
      <c r="Z72" s="65">
        <f>VLOOKUP(Y72,المرجع!$B$3:$C$12,2)</f>
        <v>3</v>
      </c>
      <c r="AA72" s="44" t="str">
        <f>VLOOKUP(Z72,المرجع!$D$3:$E$12,2)</f>
        <v>ج</v>
      </c>
      <c r="AB72" s="40">
        <f t="shared" si="35"/>
        <v>6</v>
      </c>
      <c r="AC72" s="21">
        <v>2</v>
      </c>
      <c r="AD72" s="67">
        <v>56</v>
      </c>
      <c r="AE72" s="65">
        <f>VLOOKUP(AD72,المرجع!$B$3:$C$12,2)</f>
        <v>2</v>
      </c>
      <c r="AF72" s="44" t="str">
        <f>VLOOKUP(AE72,المرجع!$D$3:$E$12,2)</f>
        <v>د</v>
      </c>
      <c r="AG72" s="40">
        <f t="shared" si="36"/>
        <v>4</v>
      </c>
      <c r="AH72" s="21">
        <v>2</v>
      </c>
      <c r="AI72" s="67">
        <v>50</v>
      </c>
      <c r="AJ72" s="65">
        <f>VLOOKUP(AI72,المرجع!$B$3:$C$12,2)</f>
        <v>2</v>
      </c>
      <c r="AK72" s="44" t="str">
        <f>VLOOKUP(AJ72,المرجع!$D$3:$E$12,2)</f>
        <v>د</v>
      </c>
      <c r="AL72" s="40">
        <f t="shared" si="37"/>
        <v>4</v>
      </c>
      <c r="AM72" s="21">
        <v>2</v>
      </c>
      <c r="AN72" s="67">
        <v>61</v>
      </c>
      <c r="AO72" s="65">
        <f>VLOOKUP(AN72,المرجع!$B$3:$C$12,2)</f>
        <v>2</v>
      </c>
      <c r="AP72" s="44" t="str">
        <f>VLOOKUP(AO72,المرجع!$D$3:$E$12,2)</f>
        <v>د</v>
      </c>
      <c r="AQ72" s="40">
        <f t="shared" si="38"/>
        <v>4</v>
      </c>
      <c r="AR72" s="21">
        <v>2</v>
      </c>
      <c r="AS72" s="67">
        <v>69</v>
      </c>
      <c r="AT72" s="65">
        <f>VLOOKUP(AS72,المرجع!$B$3:$C$12,2)</f>
        <v>2.5</v>
      </c>
      <c r="AU72" s="44" t="str">
        <f>VLOOKUP(AT72,المرجع!$D$3:$E$12,2)</f>
        <v>د+</v>
      </c>
      <c r="AV72" s="40">
        <f t="shared" si="39"/>
        <v>5</v>
      </c>
      <c r="AW72" s="21">
        <v>2</v>
      </c>
      <c r="AX72" s="67">
        <v>55</v>
      </c>
      <c r="AY72" s="65">
        <f>VLOOKUP(AX72,المرجع!$B$3:$C$12,2)</f>
        <v>2</v>
      </c>
      <c r="AZ72" s="44" t="str">
        <f>VLOOKUP(AY72,المرجع!$D$3:$E$12,2)</f>
        <v>د</v>
      </c>
      <c r="BA72" s="40">
        <f t="shared" si="40"/>
        <v>4</v>
      </c>
      <c r="BB72" s="21">
        <v>2</v>
      </c>
      <c r="BC72" s="67">
        <v>77</v>
      </c>
      <c r="BD72" s="65">
        <f>VLOOKUP(BC72,المرجع!$B$3:$C$12,2)</f>
        <v>3.5</v>
      </c>
      <c r="BE72" s="44" t="str">
        <f>VLOOKUP(BD72,المرجع!$D$3:$E$12,2)</f>
        <v>ج+</v>
      </c>
      <c r="BF72" s="40">
        <f t="shared" si="41"/>
        <v>7</v>
      </c>
      <c r="BG72" s="21">
        <v>2</v>
      </c>
      <c r="BH72" s="67">
        <v>64</v>
      </c>
      <c r="BI72" s="65">
        <f>VLOOKUP(BH72,المرجع!$B$3:$C$12,2)</f>
        <v>2</v>
      </c>
      <c r="BJ72" s="44" t="str">
        <f>VLOOKUP(BI72,المرجع!$D$3:$E$12,2)</f>
        <v>د</v>
      </c>
      <c r="BK72" s="40">
        <f t="shared" si="42"/>
        <v>4</v>
      </c>
      <c r="BL72" s="72">
        <f t="shared" si="46"/>
        <v>54.75</v>
      </c>
      <c r="BM72" s="73">
        <f t="shared" si="43"/>
        <v>23</v>
      </c>
      <c r="BN72" s="74">
        <f t="shared" si="44"/>
        <v>2.3804347826086958</v>
      </c>
      <c r="BO72" s="75"/>
      <c r="BP72" s="76" t="str">
        <f>VLOOKUP(BN72,المرجع!$D$3:$F$12,3)</f>
        <v xml:space="preserve">مقبول مرتفع </v>
      </c>
      <c r="BQ72" s="77">
        <f t="shared" si="45"/>
        <v>64</v>
      </c>
    </row>
    <row r="73" spans="2:69" ht="28.5">
      <c r="B73" s="66">
        <v>2023094</v>
      </c>
      <c r="C73" s="70" t="s">
        <v>74</v>
      </c>
      <c r="D73" s="21">
        <v>1</v>
      </c>
      <c r="E73" s="67">
        <v>91</v>
      </c>
      <c r="F73" s="65">
        <f>VLOOKUP(E73,المرجع!$B$3:$C$12,2)</f>
        <v>4.75</v>
      </c>
      <c r="G73" s="44" t="str">
        <f>VLOOKUP(F73,المرجع!$D$3:$E$12,2)</f>
        <v>أ</v>
      </c>
      <c r="H73" s="40">
        <f t="shared" si="31"/>
        <v>4.75</v>
      </c>
      <c r="I73" s="21">
        <v>2</v>
      </c>
      <c r="J73" s="67">
        <v>65</v>
      </c>
      <c r="K73" s="65">
        <f>VLOOKUP(J73,المرجع!$B$3:$C$12,2)</f>
        <v>2.5</v>
      </c>
      <c r="L73" s="44" t="str">
        <f>VLOOKUP(K73,المرجع!$D$3:$E$12,2)</f>
        <v>د+</v>
      </c>
      <c r="M73" s="40">
        <f t="shared" si="32"/>
        <v>5</v>
      </c>
      <c r="N73" s="21">
        <v>2</v>
      </c>
      <c r="O73" s="67">
        <v>50</v>
      </c>
      <c r="P73" s="65">
        <f>VLOOKUP(O73,المرجع!$B$3:$C$12,2)</f>
        <v>2</v>
      </c>
      <c r="Q73" s="44" t="str">
        <f>VLOOKUP(P73,المرجع!$D$3:$E$12,2)</f>
        <v>د</v>
      </c>
      <c r="R73" s="40">
        <f t="shared" si="33"/>
        <v>4</v>
      </c>
      <c r="S73" s="21">
        <v>2</v>
      </c>
      <c r="T73" s="67">
        <v>98</v>
      </c>
      <c r="U73" s="65">
        <f>VLOOKUP(T73,المرجع!$B$3:$C$12,2)</f>
        <v>5</v>
      </c>
      <c r="V73" s="44" t="str">
        <f>VLOOKUP(U73,المرجع!$D$3:$E$12,2)</f>
        <v xml:space="preserve">أ+ </v>
      </c>
      <c r="W73" s="40">
        <f t="shared" si="34"/>
        <v>10</v>
      </c>
      <c r="X73" s="21">
        <v>2</v>
      </c>
      <c r="Y73" s="67">
        <v>50</v>
      </c>
      <c r="Z73" s="65">
        <f>VLOOKUP(Y73,المرجع!$B$3:$C$12,2)</f>
        <v>2</v>
      </c>
      <c r="AA73" s="44" t="str">
        <f>VLOOKUP(Z73,المرجع!$D$3:$E$12,2)</f>
        <v>د</v>
      </c>
      <c r="AB73" s="40">
        <f t="shared" si="35"/>
        <v>4</v>
      </c>
      <c r="AC73" s="21">
        <v>2</v>
      </c>
      <c r="AD73" s="67">
        <v>76</v>
      </c>
      <c r="AE73" s="65">
        <f>VLOOKUP(AD73,المرجع!$B$3:$C$12,2)</f>
        <v>3.5</v>
      </c>
      <c r="AF73" s="44" t="str">
        <f>VLOOKUP(AE73,المرجع!$D$3:$E$12,2)</f>
        <v>ج+</v>
      </c>
      <c r="AG73" s="40">
        <f t="shared" si="36"/>
        <v>7</v>
      </c>
      <c r="AH73" s="21">
        <v>2</v>
      </c>
      <c r="AI73" s="67">
        <v>84</v>
      </c>
      <c r="AJ73" s="65">
        <f>VLOOKUP(AI73,المرجع!$B$3:$C$12,2)</f>
        <v>4</v>
      </c>
      <c r="AK73" s="44" t="str">
        <f>VLOOKUP(AJ73,المرجع!$D$3:$E$12,2)</f>
        <v>ب</v>
      </c>
      <c r="AL73" s="40">
        <f t="shared" si="37"/>
        <v>8</v>
      </c>
      <c r="AM73" s="21">
        <v>2</v>
      </c>
      <c r="AN73" s="67">
        <v>90</v>
      </c>
      <c r="AO73" s="65">
        <f>VLOOKUP(AN73,المرجع!$B$3:$C$12,2)</f>
        <v>4.75</v>
      </c>
      <c r="AP73" s="44" t="str">
        <f>VLOOKUP(AO73,المرجع!$D$3:$E$12,2)</f>
        <v>أ</v>
      </c>
      <c r="AQ73" s="40">
        <f t="shared" si="38"/>
        <v>9.5</v>
      </c>
      <c r="AR73" s="21">
        <v>2</v>
      </c>
      <c r="AS73" s="67">
        <v>51</v>
      </c>
      <c r="AT73" s="65">
        <f>VLOOKUP(AS73,المرجع!$B$3:$C$12,2)</f>
        <v>2</v>
      </c>
      <c r="AU73" s="44" t="str">
        <f>VLOOKUP(AT73,المرجع!$D$3:$E$12,2)</f>
        <v>د</v>
      </c>
      <c r="AV73" s="40">
        <f t="shared" si="39"/>
        <v>4</v>
      </c>
      <c r="AW73" s="21">
        <v>2</v>
      </c>
      <c r="AX73" s="67">
        <v>55</v>
      </c>
      <c r="AY73" s="65">
        <f>VLOOKUP(AX73,المرجع!$B$3:$C$12,2)</f>
        <v>2</v>
      </c>
      <c r="AZ73" s="44" t="str">
        <f>VLOOKUP(AY73,المرجع!$D$3:$E$12,2)</f>
        <v>د</v>
      </c>
      <c r="BA73" s="40">
        <f t="shared" si="40"/>
        <v>4</v>
      </c>
      <c r="BB73" s="21">
        <v>2</v>
      </c>
      <c r="BC73" s="67">
        <v>64</v>
      </c>
      <c r="BD73" s="65">
        <f>VLOOKUP(BC73,المرجع!$B$3:$C$12,2)</f>
        <v>2</v>
      </c>
      <c r="BE73" s="44" t="str">
        <f>VLOOKUP(BD73,المرجع!$D$3:$E$12,2)</f>
        <v>د</v>
      </c>
      <c r="BF73" s="40">
        <f t="shared" si="41"/>
        <v>4</v>
      </c>
      <c r="BG73" s="21">
        <v>2</v>
      </c>
      <c r="BH73" s="67">
        <v>30</v>
      </c>
      <c r="BI73" s="65">
        <f>VLOOKUP(BH73,المرجع!$B$3:$C$12,2)</f>
        <v>0</v>
      </c>
      <c r="BJ73" s="44" t="str">
        <f>VLOOKUP(BI73,المرجع!$D$3:$E$12,2)</f>
        <v>ه</v>
      </c>
      <c r="BK73" s="40">
        <f t="shared" si="42"/>
        <v>0</v>
      </c>
      <c r="BL73" s="72">
        <f t="shared" si="46"/>
        <v>64.25</v>
      </c>
      <c r="BM73" s="73">
        <f t="shared" si="43"/>
        <v>23</v>
      </c>
      <c r="BN73" s="74">
        <f t="shared" si="44"/>
        <v>2.7934782608695654</v>
      </c>
      <c r="BO73" s="75"/>
      <c r="BP73" s="76" t="str">
        <f>VLOOKUP(BN73,المرجع!$D$3:$F$12,3)</f>
        <v xml:space="preserve">جيد </v>
      </c>
      <c r="BQ73" s="77">
        <f t="shared" si="45"/>
        <v>42</v>
      </c>
    </row>
    <row r="74" spans="2:69" ht="28.5">
      <c r="B74" s="66">
        <v>2023063</v>
      </c>
      <c r="C74" s="70" t="s">
        <v>170</v>
      </c>
      <c r="D74" s="21">
        <v>1</v>
      </c>
      <c r="E74" s="67">
        <v>86</v>
      </c>
      <c r="F74" s="65">
        <f>VLOOKUP(E74,المرجع!$B$3:$C$12,2)</f>
        <v>4.5</v>
      </c>
      <c r="G74" s="44" t="str">
        <f>VLOOKUP(F74,المرجع!$D$3:$E$12,2)</f>
        <v>ب+</v>
      </c>
      <c r="H74" s="40">
        <f t="shared" si="31"/>
        <v>4.5</v>
      </c>
      <c r="I74" s="21">
        <v>2</v>
      </c>
      <c r="J74" s="67">
        <v>75</v>
      </c>
      <c r="K74" s="65">
        <f>VLOOKUP(J74,المرجع!$B$3:$C$12,2)</f>
        <v>3.5</v>
      </c>
      <c r="L74" s="44" t="str">
        <f>VLOOKUP(K74,المرجع!$D$3:$E$12,2)</f>
        <v>ج+</v>
      </c>
      <c r="M74" s="40">
        <f t="shared" si="32"/>
        <v>7</v>
      </c>
      <c r="N74" s="21">
        <v>2</v>
      </c>
      <c r="O74" s="67">
        <v>50</v>
      </c>
      <c r="P74" s="65">
        <f>VLOOKUP(O74,المرجع!$B$3:$C$12,2)</f>
        <v>2</v>
      </c>
      <c r="Q74" s="44" t="str">
        <f>VLOOKUP(P74,المرجع!$D$3:$E$12,2)</f>
        <v>د</v>
      </c>
      <c r="R74" s="40">
        <f t="shared" si="33"/>
        <v>4</v>
      </c>
      <c r="S74" s="21">
        <v>2</v>
      </c>
      <c r="T74" s="67">
        <v>86</v>
      </c>
      <c r="U74" s="65">
        <f>VLOOKUP(T74,المرجع!$B$3:$C$12,2)</f>
        <v>4.5</v>
      </c>
      <c r="V74" s="44" t="str">
        <f>VLOOKUP(U74,المرجع!$D$3:$E$12,2)</f>
        <v>ب+</v>
      </c>
      <c r="W74" s="40">
        <f t="shared" si="34"/>
        <v>9</v>
      </c>
      <c r="X74" s="21">
        <v>2</v>
      </c>
      <c r="Y74" s="67">
        <v>65</v>
      </c>
      <c r="Z74" s="65">
        <f>VLOOKUP(Y74,المرجع!$B$3:$C$12,2)</f>
        <v>2.5</v>
      </c>
      <c r="AA74" s="44" t="str">
        <f>VLOOKUP(Z74,المرجع!$D$3:$E$12,2)</f>
        <v>د+</v>
      </c>
      <c r="AB74" s="40">
        <f t="shared" si="35"/>
        <v>5</v>
      </c>
      <c r="AC74" s="21">
        <v>2</v>
      </c>
      <c r="AD74" s="67">
        <v>55</v>
      </c>
      <c r="AE74" s="65">
        <f>VLOOKUP(AD74,المرجع!$B$3:$C$12,2)</f>
        <v>2</v>
      </c>
      <c r="AF74" s="44" t="str">
        <f>VLOOKUP(AE74,المرجع!$D$3:$E$12,2)</f>
        <v>د</v>
      </c>
      <c r="AG74" s="40">
        <f t="shared" si="36"/>
        <v>4</v>
      </c>
      <c r="AH74" s="21">
        <v>2</v>
      </c>
      <c r="AI74" s="67">
        <v>55</v>
      </c>
      <c r="AJ74" s="65">
        <f>VLOOKUP(AI74,المرجع!$B$3:$C$12,2)</f>
        <v>2</v>
      </c>
      <c r="AK74" s="44" t="str">
        <f>VLOOKUP(AJ74,المرجع!$D$3:$E$12,2)</f>
        <v>د</v>
      </c>
      <c r="AL74" s="40">
        <f t="shared" si="37"/>
        <v>4</v>
      </c>
      <c r="AM74" s="21">
        <v>2</v>
      </c>
      <c r="AN74" s="67">
        <v>65</v>
      </c>
      <c r="AO74" s="65">
        <f>VLOOKUP(AN74,المرجع!$B$3:$C$12,2)</f>
        <v>2.5</v>
      </c>
      <c r="AP74" s="44" t="str">
        <f>VLOOKUP(AO74,المرجع!$D$3:$E$12,2)</f>
        <v>د+</v>
      </c>
      <c r="AQ74" s="40">
        <f t="shared" si="38"/>
        <v>5</v>
      </c>
      <c r="AR74" s="21">
        <v>2</v>
      </c>
      <c r="AS74" s="67">
        <v>58</v>
      </c>
      <c r="AT74" s="65">
        <f>VLOOKUP(AS74,المرجع!$B$3:$C$12,2)</f>
        <v>2</v>
      </c>
      <c r="AU74" s="44" t="str">
        <f>VLOOKUP(AT74,المرجع!$D$3:$E$12,2)</f>
        <v>د</v>
      </c>
      <c r="AV74" s="40">
        <f t="shared" si="39"/>
        <v>4</v>
      </c>
      <c r="AW74" s="21">
        <v>2</v>
      </c>
      <c r="AX74" s="67">
        <v>77</v>
      </c>
      <c r="AY74" s="65">
        <f>VLOOKUP(AX74,المرجع!$B$3:$C$12,2)</f>
        <v>3.5</v>
      </c>
      <c r="AZ74" s="44" t="str">
        <f>VLOOKUP(AY74,المرجع!$D$3:$E$12,2)</f>
        <v>ج+</v>
      </c>
      <c r="BA74" s="40">
        <f t="shared" si="40"/>
        <v>7</v>
      </c>
      <c r="BB74" s="21">
        <v>2</v>
      </c>
      <c r="BC74" s="67">
        <v>30</v>
      </c>
      <c r="BD74" s="65">
        <f>VLOOKUP(BC74,المرجع!$B$3:$C$12,2)</f>
        <v>0</v>
      </c>
      <c r="BE74" s="44" t="str">
        <f>VLOOKUP(BD74,المرجع!$D$3:$E$12,2)</f>
        <v>ه</v>
      </c>
      <c r="BF74" s="40">
        <f t="shared" si="41"/>
        <v>0</v>
      </c>
      <c r="BG74" s="21">
        <v>2</v>
      </c>
      <c r="BH74" s="67">
        <v>78</v>
      </c>
      <c r="BI74" s="65">
        <f>VLOOKUP(BH74,المرجع!$B$3:$C$12,2)</f>
        <v>3.5</v>
      </c>
      <c r="BJ74" s="44" t="str">
        <f>VLOOKUP(BI74,المرجع!$D$3:$E$12,2)</f>
        <v>ج+</v>
      </c>
      <c r="BK74" s="40">
        <f t="shared" si="42"/>
        <v>7</v>
      </c>
      <c r="BL74" s="72">
        <f t="shared" si="46"/>
        <v>46.5</v>
      </c>
      <c r="BM74" s="73">
        <f t="shared" si="43"/>
        <v>23</v>
      </c>
      <c r="BN74" s="74">
        <f t="shared" si="44"/>
        <v>2.0217391304347827</v>
      </c>
      <c r="BO74" s="75"/>
      <c r="BP74" s="76" t="str">
        <f>VLOOKUP(BN74,المرجع!$D$3:$F$12,3)</f>
        <v>مقبول</v>
      </c>
      <c r="BQ74" s="77">
        <f t="shared" si="45"/>
        <v>77</v>
      </c>
    </row>
    <row r="75" spans="2:69" ht="28.5">
      <c r="B75" s="66">
        <v>2023088</v>
      </c>
      <c r="C75" s="70" t="s">
        <v>73</v>
      </c>
      <c r="D75" s="21">
        <v>1</v>
      </c>
      <c r="E75" s="67">
        <v>89</v>
      </c>
      <c r="F75" s="65">
        <f>VLOOKUP(E75,المرجع!$B$3:$C$12,2)</f>
        <v>4.5</v>
      </c>
      <c r="G75" s="44" t="str">
        <f>VLOOKUP(F75,المرجع!$D$3:$E$12,2)</f>
        <v>ب+</v>
      </c>
      <c r="H75" s="40">
        <f t="shared" si="31"/>
        <v>4.5</v>
      </c>
      <c r="I75" s="21">
        <v>2</v>
      </c>
      <c r="J75" s="67">
        <v>75</v>
      </c>
      <c r="K75" s="65">
        <f>VLOOKUP(J75,المرجع!$B$3:$C$12,2)</f>
        <v>3.5</v>
      </c>
      <c r="L75" s="44" t="str">
        <f>VLOOKUP(K75,المرجع!$D$3:$E$12,2)</f>
        <v>ج+</v>
      </c>
      <c r="M75" s="40">
        <f t="shared" si="32"/>
        <v>7</v>
      </c>
      <c r="N75" s="21">
        <v>2</v>
      </c>
      <c r="O75" s="67">
        <v>50</v>
      </c>
      <c r="P75" s="65">
        <f>VLOOKUP(O75,المرجع!$B$3:$C$12,2)</f>
        <v>2</v>
      </c>
      <c r="Q75" s="44" t="str">
        <f>VLOOKUP(P75,المرجع!$D$3:$E$12,2)</f>
        <v>د</v>
      </c>
      <c r="R75" s="40">
        <f t="shared" si="33"/>
        <v>4</v>
      </c>
      <c r="S75" s="21">
        <v>2</v>
      </c>
      <c r="T75" s="67">
        <v>91</v>
      </c>
      <c r="U75" s="65">
        <f>VLOOKUP(T75,المرجع!$B$3:$C$12,2)</f>
        <v>4.75</v>
      </c>
      <c r="V75" s="44" t="str">
        <f>VLOOKUP(U75,المرجع!$D$3:$E$12,2)</f>
        <v>أ</v>
      </c>
      <c r="W75" s="40">
        <f t="shared" si="34"/>
        <v>9.5</v>
      </c>
      <c r="X75" s="21">
        <v>2</v>
      </c>
      <c r="Y75" s="67">
        <v>65</v>
      </c>
      <c r="Z75" s="65">
        <f>VLOOKUP(Y75,المرجع!$B$3:$C$12,2)</f>
        <v>2.5</v>
      </c>
      <c r="AA75" s="44" t="str">
        <f>VLOOKUP(Z75,المرجع!$D$3:$E$12,2)</f>
        <v>د+</v>
      </c>
      <c r="AB75" s="40">
        <f t="shared" si="35"/>
        <v>5</v>
      </c>
      <c r="AC75" s="21">
        <v>2</v>
      </c>
      <c r="AD75" s="67">
        <v>50</v>
      </c>
      <c r="AE75" s="65">
        <f>VLOOKUP(AD75,المرجع!$B$3:$C$12,2)</f>
        <v>2</v>
      </c>
      <c r="AF75" s="44" t="str">
        <f>VLOOKUP(AE75,المرجع!$D$3:$E$12,2)</f>
        <v>د</v>
      </c>
      <c r="AG75" s="40">
        <f t="shared" si="36"/>
        <v>4</v>
      </c>
      <c r="AH75" s="21">
        <v>2</v>
      </c>
      <c r="AI75" s="67">
        <v>50</v>
      </c>
      <c r="AJ75" s="65">
        <f>VLOOKUP(AI75,المرجع!$B$3:$C$12,2)</f>
        <v>2</v>
      </c>
      <c r="AK75" s="44" t="str">
        <f>VLOOKUP(AJ75,المرجع!$D$3:$E$12,2)</f>
        <v>د</v>
      </c>
      <c r="AL75" s="40">
        <f t="shared" si="37"/>
        <v>4</v>
      </c>
      <c r="AM75" s="21">
        <v>2</v>
      </c>
      <c r="AN75" s="67">
        <v>50</v>
      </c>
      <c r="AO75" s="65">
        <f>VLOOKUP(AN75,المرجع!$B$3:$C$12,2)</f>
        <v>2</v>
      </c>
      <c r="AP75" s="44" t="str">
        <f>VLOOKUP(AO75,المرجع!$D$3:$E$12,2)</f>
        <v>د</v>
      </c>
      <c r="AQ75" s="40">
        <f t="shared" si="38"/>
        <v>4</v>
      </c>
      <c r="AR75" s="21">
        <v>2</v>
      </c>
      <c r="AS75" s="67">
        <v>58</v>
      </c>
      <c r="AT75" s="65">
        <f>VLOOKUP(AS75,المرجع!$B$3:$C$12,2)</f>
        <v>2</v>
      </c>
      <c r="AU75" s="44" t="str">
        <f>VLOOKUP(AT75,المرجع!$D$3:$E$12,2)</f>
        <v>د</v>
      </c>
      <c r="AV75" s="40">
        <f t="shared" si="39"/>
        <v>4</v>
      </c>
      <c r="AW75" s="21">
        <v>2</v>
      </c>
      <c r="AX75" s="67">
        <v>60</v>
      </c>
      <c r="AY75" s="65">
        <f>VLOOKUP(AX75,المرجع!$B$3:$C$12,2)</f>
        <v>2</v>
      </c>
      <c r="AZ75" s="44" t="str">
        <f>VLOOKUP(AY75,المرجع!$D$3:$E$12,2)</f>
        <v>د</v>
      </c>
      <c r="BA75" s="40">
        <f t="shared" si="40"/>
        <v>4</v>
      </c>
      <c r="BB75" s="21">
        <v>2</v>
      </c>
      <c r="BC75" s="67">
        <v>71</v>
      </c>
      <c r="BD75" s="65">
        <f>VLOOKUP(BC75,المرجع!$B$3:$C$12,2)</f>
        <v>3</v>
      </c>
      <c r="BE75" s="44" t="str">
        <f>VLOOKUP(BD75,المرجع!$D$3:$E$12,2)</f>
        <v>ج</v>
      </c>
      <c r="BF75" s="40">
        <f t="shared" si="41"/>
        <v>6</v>
      </c>
      <c r="BG75" s="21">
        <v>2</v>
      </c>
      <c r="BH75" s="67">
        <v>59</v>
      </c>
      <c r="BI75" s="65">
        <f>VLOOKUP(BH75,المرجع!$B$3:$C$12,2)</f>
        <v>2</v>
      </c>
      <c r="BJ75" s="44" t="str">
        <f>VLOOKUP(BI75,المرجع!$D$3:$E$12,2)</f>
        <v>د</v>
      </c>
      <c r="BK75" s="40">
        <f t="shared" si="42"/>
        <v>4</v>
      </c>
      <c r="BL75" s="72">
        <f t="shared" si="46"/>
        <v>52</v>
      </c>
      <c r="BM75" s="73">
        <f t="shared" si="43"/>
        <v>23</v>
      </c>
      <c r="BN75" s="74">
        <f t="shared" si="44"/>
        <v>2.2608695652173911</v>
      </c>
      <c r="BO75" s="75"/>
      <c r="BP75" s="76" t="str">
        <f>VLOOKUP(BN75,المرجع!$D$3:$F$12,3)</f>
        <v xml:space="preserve">مقبول مرتفع </v>
      </c>
      <c r="BQ75" s="77">
        <f t="shared" si="45"/>
        <v>67</v>
      </c>
    </row>
    <row r="76" spans="2:69" ht="28.5">
      <c r="B76" s="66">
        <v>2023106</v>
      </c>
      <c r="C76" s="70" t="s">
        <v>80</v>
      </c>
      <c r="D76" s="21">
        <v>1</v>
      </c>
      <c r="E76" s="67">
        <v>90</v>
      </c>
      <c r="F76" s="65">
        <f>VLOOKUP(E76,المرجع!$B$3:$C$12,2)</f>
        <v>4.75</v>
      </c>
      <c r="G76" s="44" t="str">
        <f>VLOOKUP(F76,المرجع!$D$3:$E$12,2)</f>
        <v>أ</v>
      </c>
      <c r="H76" s="40">
        <f t="shared" si="31"/>
        <v>4.75</v>
      </c>
      <c r="I76" s="21">
        <v>2</v>
      </c>
      <c r="J76" s="67">
        <v>90</v>
      </c>
      <c r="K76" s="65">
        <f>VLOOKUP(J76,المرجع!$B$3:$C$12,2)</f>
        <v>4.75</v>
      </c>
      <c r="L76" s="44" t="str">
        <f>VLOOKUP(K76,المرجع!$D$3:$E$12,2)</f>
        <v>أ</v>
      </c>
      <c r="M76" s="40">
        <f t="shared" si="32"/>
        <v>9.5</v>
      </c>
      <c r="N76" s="21">
        <v>2</v>
      </c>
      <c r="O76" s="67">
        <v>50</v>
      </c>
      <c r="P76" s="65">
        <f>VLOOKUP(O76,المرجع!$B$3:$C$12,2)</f>
        <v>2</v>
      </c>
      <c r="Q76" s="44" t="str">
        <f>VLOOKUP(P76,المرجع!$D$3:$E$12,2)</f>
        <v>د</v>
      </c>
      <c r="R76" s="40">
        <f t="shared" si="33"/>
        <v>4</v>
      </c>
      <c r="S76" s="21">
        <v>2</v>
      </c>
      <c r="T76" s="67">
        <v>70</v>
      </c>
      <c r="U76" s="65">
        <f>VLOOKUP(T76,المرجع!$B$3:$C$12,2)</f>
        <v>3</v>
      </c>
      <c r="V76" s="44" t="str">
        <f>VLOOKUP(U76,المرجع!$D$3:$E$12,2)</f>
        <v>ج</v>
      </c>
      <c r="W76" s="40">
        <f t="shared" si="34"/>
        <v>6</v>
      </c>
      <c r="X76" s="21">
        <v>2</v>
      </c>
      <c r="Y76" s="67">
        <v>50</v>
      </c>
      <c r="Z76" s="65">
        <f>VLOOKUP(Y76,المرجع!$B$3:$C$12,2)</f>
        <v>2</v>
      </c>
      <c r="AA76" s="44" t="str">
        <f>VLOOKUP(Z76,المرجع!$D$3:$E$12,2)</f>
        <v>د</v>
      </c>
      <c r="AB76" s="40">
        <f t="shared" si="35"/>
        <v>4</v>
      </c>
      <c r="AC76" s="21">
        <v>2</v>
      </c>
      <c r="AD76" s="67">
        <v>35</v>
      </c>
      <c r="AE76" s="65">
        <f>VLOOKUP(AD76,المرجع!$B$3:$C$12,2)</f>
        <v>0</v>
      </c>
      <c r="AF76" s="44" t="str">
        <f>VLOOKUP(AE76,المرجع!$D$3:$E$12,2)</f>
        <v>ه</v>
      </c>
      <c r="AG76" s="40">
        <f t="shared" si="36"/>
        <v>0</v>
      </c>
      <c r="AH76" s="21">
        <v>2</v>
      </c>
      <c r="AI76" s="67">
        <v>50</v>
      </c>
      <c r="AJ76" s="65">
        <f>VLOOKUP(AI76,المرجع!$B$3:$C$12,2)</f>
        <v>2</v>
      </c>
      <c r="AK76" s="44" t="str">
        <f>VLOOKUP(AJ76,المرجع!$D$3:$E$12,2)</f>
        <v>د</v>
      </c>
      <c r="AL76" s="40">
        <f t="shared" si="37"/>
        <v>4</v>
      </c>
      <c r="AM76" s="21">
        <v>2</v>
      </c>
      <c r="AN76" s="67">
        <v>56</v>
      </c>
      <c r="AO76" s="65">
        <f>VLOOKUP(AN76,المرجع!$B$3:$C$12,2)</f>
        <v>2</v>
      </c>
      <c r="AP76" s="44" t="str">
        <f>VLOOKUP(AO76,المرجع!$D$3:$E$12,2)</f>
        <v>د</v>
      </c>
      <c r="AQ76" s="40">
        <f t="shared" si="38"/>
        <v>4</v>
      </c>
      <c r="AR76" s="21">
        <v>2</v>
      </c>
      <c r="AS76" s="67">
        <v>62</v>
      </c>
      <c r="AT76" s="65">
        <f>VLOOKUP(AS76,المرجع!$B$3:$C$12,2)</f>
        <v>2</v>
      </c>
      <c r="AU76" s="44" t="str">
        <f>VLOOKUP(AT76,المرجع!$D$3:$E$12,2)</f>
        <v>د</v>
      </c>
      <c r="AV76" s="40">
        <f t="shared" si="39"/>
        <v>4</v>
      </c>
      <c r="AW76" s="21">
        <v>2</v>
      </c>
      <c r="AX76" s="67">
        <v>50</v>
      </c>
      <c r="AY76" s="65">
        <f>VLOOKUP(AX76,المرجع!$B$3:$C$12,2)</f>
        <v>2</v>
      </c>
      <c r="AZ76" s="44" t="str">
        <f>VLOOKUP(AY76,المرجع!$D$3:$E$12,2)</f>
        <v>د</v>
      </c>
      <c r="BA76" s="40">
        <f t="shared" si="40"/>
        <v>4</v>
      </c>
      <c r="BB76" s="21">
        <v>2</v>
      </c>
      <c r="BC76" s="67">
        <v>63</v>
      </c>
      <c r="BD76" s="65">
        <f>VLOOKUP(BC76,المرجع!$B$3:$C$12,2)</f>
        <v>2</v>
      </c>
      <c r="BE76" s="44" t="str">
        <f>VLOOKUP(BD76,المرجع!$D$3:$E$12,2)</f>
        <v>د</v>
      </c>
      <c r="BF76" s="40">
        <f t="shared" si="41"/>
        <v>4</v>
      </c>
      <c r="BG76" s="21">
        <v>2</v>
      </c>
      <c r="BH76" s="67">
        <v>67</v>
      </c>
      <c r="BI76" s="65">
        <f>VLOOKUP(BH76,المرجع!$B$3:$C$12,2)</f>
        <v>2.5</v>
      </c>
      <c r="BJ76" s="44" t="str">
        <f>VLOOKUP(BI76,المرجع!$D$3:$E$12,2)</f>
        <v>د+</v>
      </c>
      <c r="BK76" s="40">
        <f t="shared" si="42"/>
        <v>5</v>
      </c>
      <c r="BL76" s="72">
        <f t="shared" si="46"/>
        <v>43.25</v>
      </c>
      <c r="BM76" s="73">
        <f t="shared" si="43"/>
        <v>23</v>
      </c>
      <c r="BN76" s="74">
        <f t="shared" si="44"/>
        <v>1.8804347826086956</v>
      </c>
      <c r="BO76" s="75"/>
      <c r="BP76" s="76" t="str">
        <f>VLOOKUP(BN76,المرجع!$D$3:$F$12,3)</f>
        <v>راسب</v>
      </c>
      <c r="BQ76" s="77">
        <f t="shared" si="45"/>
        <v>82</v>
      </c>
    </row>
    <row r="77" spans="2:69" ht="28.5">
      <c r="B77" s="66">
        <v>2023070</v>
      </c>
      <c r="C77" s="70" t="s">
        <v>62</v>
      </c>
      <c r="D77" s="21">
        <v>1</v>
      </c>
      <c r="E77" s="67">
        <v>82</v>
      </c>
      <c r="F77" s="65">
        <f>VLOOKUP(E77,المرجع!$B$3:$C$12,2)</f>
        <v>4</v>
      </c>
      <c r="G77" s="44" t="str">
        <f>VLOOKUP(F77,المرجع!$D$3:$E$12,2)</f>
        <v>ب</v>
      </c>
      <c r="H77" s="40">
        <f t="shared" si="31"/>
        <v>4</v>
      </c>
      <c r="I77" s="21">
        <v>2</v>
      </c>
      <c r="J77" s="67">
        <v>74</v>
      </c>
      <c r="K77" s="65">
        <f>VLOOKUP(J77,المرجع!$B$3:$C$12,2)</f>
        <v>3</v>
      </c>
      <c r="L77" s="44" t="str">
        <f>VLOOKUP(K77,المرجع!$D$3:$E$12,2)</f>
        <v>ج</v>
      </c>
      <c r="M77" s="40">
        <f t="shared" si="32"/>
        <v>6</v>
      </c>
      <c r="N77" s="21">
        <v>2</v>
      </c>
      <c r="O77" s="67">
        <v>50</v>
      </c>
      <c r="P77" s="65">
        <f>VLOOKUP(O77,المرجع!$B$3:$C$12,2)</f>
        <v>2</v>
      </c>
      <c r="Q77" s="44" t="str">
        <f>VLOOKUP(P77,المرجع!$D$3:$E$12,2)</f>
        <v>د</v>
      </c>
      <c r="R77" s="40">
        <f t="shared" si="33"/>
        <v>4</v>
      </c>
      <c r="S77" s="21">
        <v>2</v>
      </c>
      <c r="T77" s="67">
        <v>60</v>
      </c>
      <c r="U77" s="65">
        <f>VLOOKUP(T77,المرجع!$B$3:$C$12,2)</f>
        <v>2</v>
      </c>
      <c r="V77" s="44" t="str">
        <f>VLOOKUP(U77,المرجع!$D$3:$E$12,2)</f>
        <v>د</v>
      </c>
      <c r="W77" s="40">
        <f t="shared" si="34"/>
        <v>4</v>
      </c>
      <c r="X77" s="21">
        <v>2</v>
      </c>
      <c r="Y77" s="67">
        <v>53</v>
      </c>
      <c r="Z77" s="65">
        <f>VLOOKUP(Y77,المرجع!$B$3:$C$12,2)</f>
        <v>2</v>
      </c>
      <c r="AA77" s="44" t="str">
        <f>VLOOKUP(Z77,المرجع!$D$3:$E$12,2)</f>
        <v>د</v>
      </c>
      <c r="AB77" s="40">
        <f t="shared" si="35"/>
        <v>4</v>
      </c>
      <c r="AC77" s="21">
        <v>2</v>
      </c>
      <c r="AD77" s="67">
        <v>50</v>
      </c>
      <c r="AE77" s="65">
        <f>VLOOKUP(AD77,المرجع!$B$3:$C$12,2)</f>
        <v>2</v>
      </c>
      <c r="AF77" s="44" t="str">
        <f>VLOOKUP(AE77,المرجع!$D$3:$E$12,2)</f>
        <v>د</v>
      </c>
      <c r="AG77" s="40">
        <f t="shared" si="36"/>
        <v>4</v>
      </c>
      <c r="AH77" s="21">
        <v>2</v>
      </c>
      <c r="AI77" s="67">
        <v>50</v>
      </c>
      <c r="AJ77" s="65">
        <f>VLOOKUP(AI77,المرجع!$B$3:$C$12,2)</f>
        <v>2</v>
      </c>
      <c r="AK77" s="44" t="str">
        <f>VLOOKUP(AJ77,المرجع!$D$3:$E$12,2)</f>
        <v>د</v>
      </c>
      <c r="AL77" s="40">
        <f t="shared" si="37"/>
        <v>4</v>
      </c>
      <c r="AM77" s="21">
        <v>2</v>
      </c>
      <c r="AN77" s="67">
        <v>72</v>
      </c>
      <c r="AO77" s="65">
        <f>VLOOKUP(AN77,المرجع!$B$3:$C$12,2)</f>
        <v>3</v>
      </c>
      <c r="AP77" s="44" t="str">
        <f>VLOOKUP(AO77,المرجع!$D$3:$E$12,2)</f>
        <v>ج</v>
      </c>
      <c r="AQ77" s="40">
        <f t="shared" si="38"/>
        <v>6</v>
      </c>
      <c r="AR77" s="21">
        <v>2</v>
      </c>
      <c r="AS77" s="67">
        <v>69</v>
      </c>
      <c r="AT77" s="65">
        <f>VLOOKUP(AS77,المرجع!$B$3:$C$12,2)</f>
        <v>2.5</v>
      </c>
      <c r="AU77" s="44" t="str">
        <f>VLOOKUP(AT77,المرجع!$D$3:$E$12,2)</f>
        <v>د+</v>
      </c>
      <c r="AV77" s="40">
        <f t="shared" si="39"/>
        <v>5</v>
      </c>
      <c r="AW77" s="21">
        <v>2</v>
      </c>
      <c r="AX77" s="67">
        <v>65</v>
      </c>
      <c r="AY77" s="65">
        <f>VLOOKUP(AX77,المرجع!$B$3:$C$12,2)</f>
        <v>2.5</v>
      </c>
      <c r="AZ77" s="44" t="str">
        <f>VLOOKUP(AY77,المرجع!$D$3:$E$12,2)</f>
        <v>د+</v>
      </c>
      <c r="BA77" s="40">
        <f t="shared" si="40"/>
        <v>5</v>
      </c>
      <c r="BB77" s="21">
        <v>2</v>
      </c>
      <c r="BC77" s="67">
        <v>71</v>
      </c>
      <c r="BD77" s="65">
        <f>VLOOKUP(BC77,المرجع!$B$3:$C$12,2)</f>
        <v>3</v>
      </c>
      <c r="BE77" s="44" t="str">
        <f>VLOOKUP(BD77,المرجع!$D$3:$E$12,2)</f>
        <v>ج</v>
      </c>
      <c r="BF77" s="40">
        <f t="shared" si="41"/>
        <v>6</v>
      </c>
      <c r="BG77" s="21">
        <v>2</v>
      </c>
      <c r="BH77" s="67">
        <v>87</v>
      </c>
      <c r="BI77" s="65">
        <f>VLOOKUP(BH77,المرجع!$B$3:$C$12,2)</f>
        <v>4.5</v>
      </c>
      <c r="BJ77" s="44" t="str">
        <f>VLOOKUP(BI77,المرجع!$D$3:$E$12,2)</f>
        <v>ب+</v>
      </c>
      <c r="BK77" s="40">
        <f t="shared" si="42"/>
        <v>9</v>
      </c>
      <c r="BL77" s="72">
        <f t="shared" si="46"/>
        <v>43</v>
      </c>
      <c r="BM77" s="73">
        <f t="shared" si="43"/>
        <v>23</v>
      </c>
      <c r="BN77" s="74">
        <f t="shared" si="44"/>
        <v>1.8695652173913044</v>
      </c>
      <c r="BO77" s="75"/>
      <c r="BP77" s="76" t="str">
        <f>VLOOKUP(BN77,المرجع!$D$3:$F$12,3)</f>
        <v>راسب</v>
      </c>
      <c r="BQ77" s="77">
        <f t="shared" si="45"/>
        <v>83</v>
      </c>
    </row>
    <row r="78" spans="2:69" ht="28.5">
      <c r="B78" s="66">
        <v>2023048</v>
      </c>
      <c r="C78" s="70" t="s">
        <v>35</v>
      </c>
      <c r="D78" s="21">
        <v>1</v>
      </c>
      <c r="E78" s="67">
        <v>88</v>
      </c>
      <c r="F78" s="65">
        <f>VLOOKUP(E78,المرجع!$B$3:$C$12,2)</f>
        <v>4.5</v>
      </c>
      <c r="G78" s="44" t="str">
        <f>VLOOKUP(F78,المرجع!$D$3:$E$12,2)</f>
        <v>ب+</v>
      </c>
      <c r="H78" s="40">
        <f t="shared" si="31"/>
        <v>4.5</v>
      </c>
      <c r="I78" s="21">
        <v>2</v>
      </c>
      <c r="J78" s="67">
        <v>80</v>
      </c>
      <c r="K78" s="65">
        <f>VLOOKUP(J78,المرجع!$B$3:$C$12,2)</f>
        <v>4</v>
      </c>
      <c r="L78" s="44" t="str">
        <f>VLOOKUP(K78,المرجع!$D$3:$E$12,2)</f>
        <v>ب</v>
      </c>
      <c r="M78" s="40">
        <f t="shared" si="32"/>
        <v>8</v>
      </c>
      <c r="N78" s="21">
        <v>2</v>
      </c>
      <c r="O78" s="67">
        <v>28</v>
      </c>
      <c r="P78" s="65">
        <f>VLOOKUP(O78,المرجع!$B$3:$C$12,2)</f>
        <v>0</v>
      </c>
      <c r="Q78" s="44" t="str">
        <f>VLOOKUP(P78,المرجع!$D$3:$E$12,2)</f>
        <v>ه</v>
      </c>
      <c r="R78" s="40">
        <f t="shared" si="33"/>
        <v>0</v>
      </c>
      <c r="S78" s="21">
        <v>2</v>
      </c>
      <c r="T78" s="67">
        <v>90</v>
      </c>
      <c r="U78" s="65">
        <f>VLOOKUP(T78,المرجع!$B$3:$C$12,2)</f>
        <v>4.75</v>
      </c>
      <c r="V78" s="44" t="str">
        <f>VLOOKUP(U78,المرجع!$D$3:$E$12,2)</f>
        <v>أ</v>
      </c>
      <c r="W78" s="40">
        <f t="shared" si="34"/>
        <v>9.5</v>
      </c>
      <c r="X78" s="21">
        <v>2</v>
      </c>
      <c r="Y78" s="67">
        <v>75</v>
      </c>
      <c r="Z78" s="65">
        <f>VLOOKUP(Y78,المرجع!$B$3:$C$12,2)</f>
        <v>3.5</v>
      </c>
      <c r="AA78" s="44" t="str">
        <f>VLOOKUP(Z78,المرجع!$D$3:$E$12,2)</f>
        <v>ج+</v>
      </c>
      <c r="AB78" s="40">
        <f t="shared" si="35"/>
        <v>7</v>
      </c>
      <c r="AC78" s="21">
        <v>2</v>
      </c>
      <c r="AD78" s="67">
        <v>33</v>
      </c>
      <c r="AE78" s="65">
        <f>VLOOKUP(AD78,المرجع!$B$3:$C$12,2)</f>
        <v>0</v>
      </c>
      <c r="AF78" s="44" t="str">
        <f>VLOOKUP(AE78,المرجع!$D$3:$E$12,2)</f>
        <v>ه</v>
      </c>
      <c r="AG78" s="40">
        <f t="shared" si="36"/>
        <v>0</v>
      </c>
      <c r="AH78" s="21">
        <v>2</v>
      </c>
      <c r="AI78" s="67">
        <v>50</v>
      </c>
      <c r="AJ78" s="65">
        <f>VLOOKUP(AI78,المرجع!$B$3:$C$12,2)</f>
        <v>2</v>
      </c>
      <c r="AK78" s="44" t="str">
        <f>VLOOKUP(AJ78,المرجع!$D$3:$E$12,2)</f>
        <v>د</v>
      </c>
      <c r="AL78" s="40">
        <f t="shared" si="37"/>
        <v>4</v>
      </c>
      <c r="AM78" s="21">
        <v>2</v>
      </c>
      <c r="AN78" s="67">
        <v>61</v>
      </c>
      <c r="AO78" s="65">
        <f>VLOOKUP(AN78,المرجع!$B$3:$C$12,2)</f>
        <v>2</v>
      </c>
      <c r="AP78" s="44" t="str">
        <f>VLOOKUP(AO78,المرجع!$D$3:$E$12,2)</f>
        <v>د</v>
      </c>
      <c r="AQ78" s="40">
        <f t="shared" si="38"/>
        <v>4</v>
      </c>
      <c r="AR78" s="21">
        <v>2</v>
      </c>
      <c r="AS78" s="67">
        <v>65</v>
      </c>
      <c r="AT78" s="65">
        <f>VLOOKUP(AS78,المرجع!$B$3:$C$12,2)</f>
        <v>2.5</v>
      </c>
      <c r="AU78" s="44" t="str">
        <f>VLOOKUP(AT78,المرجع!$D$3:$E$12,2)</f>
        <v>د+</v>
      </c>
      <c r="AV78" s="40">
        <f t="shared" si="39"/>
        <v>5</v>
      </c>
      <c r="AW78" s="21">
        <v>2</v>
      </c>
      <c r="AX78" s="67">
        <v>50</v>
      </c>
      <c r="AY78" s="65">
        <f>VLOOKUP(AX78,المرجع!$B$3:$C$12,2)</f>
        <v>2</v>
      </c>
      <c r="AZ78" s="44" t="str">
        <f>VLOOKUP(AY78,المرجع!$D$3:$E$12,2)</f>
        <v>د</v>
      </c>
      <c r="BA78" s="40">
        <f t="shared" si="40"/>
        <v>4</v>
      </c>
      <c r="BB78" s="21">
        <v>2</v>
      </c>
      <c r="BC78" s="67">
        <v>66</v>
      </c>
      <c r="BD78" s="65">
        <f>VLOOKUP(BC78,المرجع!$B$3:$C$12,2)</f>
        <v>2.5</v>
      </c>
      <c r="BE78" s="44" t="str">
        <f>VLOOKUP(BD78,المرجع!$D$3:$E$12,2)</f>
        <v>د+</v>
      </c>
      <c r="BF78" s="40">
        <f t="shared" si="41"/>
        <v>5</v>
      </c>
      <c r="BG78" s="21">
        <v>2</v>
      </c>
      <c r="BH78" s="67">
        <v>52</v>
      </c>
      <c r="BI78" s="65">
        <f>VLOOKUP(BH78,المرجع!$B$3:$C$12,2)</f>
        <v>2</v>
      </c>
      <c r="BJ78" s="44" t="str">
        <f>VLOOKUP(BI78,المرجع!$D$3:$E$12,2)</f>
        <v>د</v>
      </c>
      <c r="BK78" s="40">
        <f t="shared" si="42"/>
        <v>4</v>
      </c>
      <c r="BL78" s="72">
        <f t="shared" si="46"/>
        <v>47</v>
      </c>
      <c r="BM78" s="73">
        <f t="shared" si="43"/>
        <v>23</v>
      </c>
      <c r="BN78" s="74">
        <f t="shared" si="44"/>
        <v>2.0434782608695654</v>
      </c>
      <c r="BO78" s="75"/>
      <c r="BP78" s="76" t="str">
        <f>VLOOKUP(BN78,المرجع!$D$3:$F$12,3)</f>
        <v>مقبول</v>
      </c>
      <c r="BQ78" s="77">
        <f t="shared" si="45"/>
        <v>75</v>
      </c>
    </row>
    <row r="79" spans="2:69" ht="28.5">
      <c r="B79" s="66">
        <v>2023100</v>
      </c>
      <c r="C79" s="70" t="s">
        <v>72</v>
      </c>
      <c r="D79" s="21">
        <v>1</v>
      </c>
      <c r="E79" s="67">
        <v>84</v>
      </c>
      <c r="F79" s="65">
        <f>VLOOKUP(E79,المرجع!$B$3:$C$12,2)</f>
        <v>4</v>
      </c>
      <c r="G79" s="44" t="str">
        <f>VLOOKUP(F79,المرجع!$D$3:$E$12,2)</f>
        <v>ب</v>
      </c>
      <c r="H79" s="40">
        <f t="shared" si="31"/>
        <v>4</v>
      </c>
      <c r="I79" s="21">
        <v>2</v>
      </c>
      <c r="J79" s="67">
        <v>65</v>
      </c>
      <c r="K79" s="65">
        <f>VLOOKUP(J79,المرجع!$B$3:$C$12,2)</f>
        <v>2.5</v>
      </c>
      <c r="L79" s="44" t="str">
        <f>VLOOKUP(K79,المرجع!$D$3:$E$12,2)</f>
        <v>د+</v>
      </c>
      <c r="M79" s="40">
        <f t="shared" si="32"/>
        <v>5</v>
      </c>
      <c r="N79" s="21">
        <v>2</v>
      </c>
      <c r="O79" s="67">
        <v>60</v>
      </c>
      <c r="P79" s="65">
        <f>VLOOKUP(O79,المرجع!$B$3:$C$12,2)</f>
        <v>2</v>
      </c>
      <c r="Q79" s="44" t="str">
        <f>VLOOKUP(P79,المرجع!$D$3:$E$12,2)</f>
        <v>د</v>
      </c>
      <c r="R79" s="40">
        <f t="shared" si="33"/>
        <v>4</v>
      </c>
      <c r="S79" s="21">
        <v>2</v>
      </c>
      <c r="T79" s="67">
        <v>82</v>
      </c>
      <c r="U79" s="65">
        <f>VLOOKUP(T79,المرجع!$B$3:$C$12,2)</f>
        <v>4</v>
      </c>
      <c r="V79" s="44" t="str">
        <f>VLOOKUP(U79,المرجع!$D$3:$E$12,2)</f>
        <v>ب</v>
      </c>
      <c r="W79" s="40">
        <f t="shared" si="34"/>
        <v>8</v>
      </c>
      <c r="X79" s="21">
        <v>2</v>
      </c>
      <c r="Y79" s="67">
        <v>70</v>
      </c>
      <c r="Z79" s="65">
        <f>VLOOKUP(Y79,المرجع!$B$3:$C$12,2)</f>
        <v>3</v>
      </c>
      <c r="AA79" s="44" t="str">
        <f>VLOOKUP(Z79,المرجع!$D$3:$E$12,2)</f>
        <v>ج</v>
      </c>
      <c r="AB79" s="40">
        <f t="shared" si="35"/>
        <v>6</v>
      </c>
      <c r="AC79" s="21">
        <v>2</v>
      </c>
      <c r="AD79" s="67">
        <v>58</v>
      </c>
      <c r="AE79" s="65">
        <f>VLOOKUP(AD79,المرجع!$B$3:$C$12,2)</f>
        <v>2</v>
      </c>
      <c r="AF79" s="44" t="str">
        <f>VLOOKUP(AE79,المرجع!$D$3:$E$12,2)</f>
        <v>د</v>
      </c>
      <c r="AG79" s="40">
        <f t="shared" si="36"/>
        <v>4</v>
      </c>
      <c r="AH79" s="21">
        <v>2</v>
      </c>
      <c r="AI79" s="67">
        <v>50</v>
      </c>
      <c r="AJ79" s="65">
        <f>VLOOKUP(AI79,المرجع!$B$3:$C$12,2)</f>
        <v>2</v>
      </c>
      <c r="AK79" s="44" t="str">
        <f>VLOOKUP(AJ79,المرجع!$D$3:$E$12,2)</f>
        <v>د</v>
      </c>
      <c r="AL79" s="40">
        <f t="shared" si="37"/>
        <v>4</v>
      </c>
      <c r="AM79" s="21">
        <v>2</v>
      </c>
      <c r="AN79" s="67">
        <v>91</v>
      </c>
      <c r="AO79" s="65">
        <f>VLOOKUP(AN79,المرجع!$B$3:$C$12,2)</f>
        <v>4.75</v>
      </c>
      <c r="AP79" s="44" t="str">
        <f>VLOOKUP(AO79,المرجع!$D$3:$E$12,2)</f>
        <v>أ</v>
      </c>
      <c r="AQ79" s="40">
        <f t="shared" si="38"/>
        <v>9.5</v>
      </c>
      <c r="AR79" s="21">
        <v>2</v>
      </c>
      <c r="AS79" s="67">
        <v>58</v>
      </c>
      <c r="AT79" s="65">
        <f>VLOOKUP(AS79,المرجع!$B$3:$C$12,2)</f>
        <v>2</v>
      </c>
      <c r="AU79" s="44" t="str">
        <f>VLOOKUP(AT79,المرجع!$D$3:$E$12,2)</f>
        <v>د</v>
      </c>
      <c r="AV79" s="40">
        <f t="shared" si="39"/>
        <v>4</v>
      </c>
      <c r="AW79" s="21">
        <v>2</v>
      </c>
      <c r="AX79" s="67">
        <v>65</v>
      </c>
      <c r="AY79" s="65">
        <f>VLOOKUP(AX79,المرجع!$B$3:$C$12,2)</f>
        <v>2.5</v>
      </c>
      <c r="AZ79" s="44" t="str">
        <f>VLOOKUP(AY79,المرجع!$D$3:$E$12,2)</f>
        <v>د+</v>
      </c>
      <c r="BA79" s="40">
        <f t="shared" si="40"/>
        <v>5</v>
      </c>
      <c r="BB79" s="21">
        <v>2</v>
      </c>
      <c r="BC79" s="67">
        <v>50</v>
      </c>
      <c r="BD79" s="65">
        <f>VLOOKUP(BC79,المرجع!$B$3:$C$12,2)</f>
        <v>2</v>
      </c>
      <c r="BE79" s="44" t="str">
        <f>VLOOKUP(BD79,المرجع!$D$3:$E$12,2)</f>
        <v>د</v>
      </c>
      <c r="BF79" s="40">
        <f t="shared" si="41"/>
        <v>4</v>
      </c>
      <c r="BG79" s="21">
        <v>2</v>
      </c>
      <c r="BH79" s="67">
        <v>63</v>
      </c>
      <c r="BI79" s="65">
        <f>VLOOKUP(BH79,المرجع!$B$3:$C$12,2)</f>
        <v>2</v>
      </c>
      <c r="BJ79" s="44" t="str">
        <f>VLOOKUP(BI79,المرجع!$D$3:$E$12,2)</f>
        <v>د</v>
      </c>
      <c r="BK79" s="40">
        <f t="shared" si="42"/>
        <v>4</v>
      </c>
      <c r="BL79" s="72">
        <f t="shared" si="46"/>
        <v>53.5</v>
      </c>
      <c r="BM79" s="73">
        <f t="shared" si="43"/>
        <v>23</v>
      </c>
      <c r="BN79" s="74">
        <f t="shared" si="44"/>
        <v>2.3260869565217392</v>
      </c>
      <c r="BO79" s="75"/>
      <c r="BP79" s="76" t="str">
        <f>VLOOKUP(BN79,المرجع!$D$3:$F$12,3)</f>
        <v xml:space="preserve">مقبول مرتفع </v>
      </c>
      <c r="BQ79" s="77">
        <f t="shared" si="45"/>
        <v>66</v>
      </c>
    </row>
    <row r="80" spans="2:69" ht="28.5">
      <c r="B80" s="66">
        <v>2023108</v>
      </c>
      <c r="C80" s="70" t="s">
        <v>68</v>
      </c>
      <c r="D80" s="21">
        <v>1</v>
      </c>
      <c r="E80" s="67">
        <v>87</v>
      </c>
      <c r="F80" s="65">
        <f>VLOOKUP(E80,المرجع!$B$3:$C$12,2)</f>
        <v>4.5</v>
      </c>
      <c r="G80" s="44" t="str">
        <f>VLOOKUP(F80,المرجع!$D$3:$E$12,2)</f>
        <v>ب+</v>
      </c>
      <c r="H80" s="40">
        <f t="shared" si="31"/>
        <v>4.5</v>
      </c>
      <c r="I80" s="21">
        <v>2</v>
      </c>
      <c r="J80" s="67">
        <v>90</v>
      </c>
      <c r="K80" s="65">
        <f>VLOOKUP(J80,المرجع!$B$3:$C$12,2)</f>
        <v>4.75</v>
      </c>
      <c r="L80" s="44" t="str">
        <f>VLOOKUP(K80,المرجع!$D$3:$E$12,2)</f>
        <v>أ</v>
      </c>
      <c r="M80" s="40">
        <f t="shared" si="32"/>
        <v>9.5</v>
      </c>
      <c r="N80" s="21">
        <v>2</v>
      </c>
      <c r="O80" s="67">
        <v>50</v>
      </c>
      <c r="P80" s="65">
        <f>VLOOKUP(O80,المرجع!$B$3:$C$12,2)</f>
        <v>2</v>
      </c>
      <c r="Q80" s="44" t="str">
        <f>VLOOKUP(P80,المرجع!$D$3:$E$12,2)</f>
        <v>د</v>
      </c>
      <c r="R80" s="40">
        <f t="shared" si="33"/>
        <v>4</v>
      </c>
      <c r="S80" s="21">
        <v>2</v>
      </c>
      <c r="T80" s="67">
        <v>68</v>
      </c>
      <c r="U80" s="65">
        <f>VLOOKUP(T80,المرجع!$B$3:$C$12,2)</f>
        <v>2.5</v>
      </c>
      <c r="V80" s="44" t="str">
        <f>VLOOKUP(U80,المرجع!$D$3:$E$12,2)</f>
        <v>د+</v>
      </c>
      <c r="W80" s="40">
        <f t="shared" si="34"/>
        <v>5</v>
      </c>
      <c r="X80" s="21">
        <v>2</v>
      </c>
      <c r="Y80" s="67">
        <v>65</v>
      </c>
      <c r="Z80" s="65">
        <f>VLOOKUP(Y80,المرجع!$B$3:$C$12,2)</f>
        <v>2.5</v>
      </c>
      <c r="AA80" s="44" t="str">
        <f>VLOOKUP(Z80,المرجع!$D$3:$E$12,2)</f>
        <v>د+</v>
      </c>
      <c r="AB80" s="40">
        <f t="shared" si="35"/>
        <v>5</v>
      </c>
      <c r="AC80" s="21">
        <v>2</v>
      </c>
      <c r="AD80" s="67">
        <v>36</v>
      </c>
      <c r="AE80" s="65">
        <f>VLOOKUP(AD80,المرجع!$B$3:$C$12,2)</f>
        <v>0</v>
      </c>
      <c r="AF80" s="44" t="str">
        <f>VLOOKUP(AE80,المرجع!$D$3:$E$12,2)</f>
        <v>ه</v>
      </c>
      <c r="AG80" s="40">
        <f t="shared" si="36"/>
        <v>0</v>
      </c>
      <c r="AH80" s="21">
        <v>2</v>
      </c>
      <c r="AI80" s="67">
        <v>55</v>
      </c>
      <c r="AJ80" s="65">
        <f>VLOOKUP(AI80,المرجع!$B$3:$C$12,2)</f>
        <v>2</v>
      </c>
      <c r="AK80" s="44" t="str">
        <f>VLOOKUP(AJ80,المرجع!$D$3:$E$12,2)</f>
        <v>د</v>
      </c>
      <c r="AL80" s="40">
        <f t="shared" si="37"/>
        <v>4</v>
      </c>
      <c r="AM80" s="21">
        <v>2</v>
      </c>
      <c r="AN80" s="67">
        <v>61</v>
      </c>
      <c r="AO80" s="65">
        <f>VLOOKUP(AN80,المرجع!$B$3:$C$12,2)</f>
        <v>2</v>
      </c>
      <c r="AP80" s="44" t="str">
        <f>VLOOKUP(AO80,المرجع!$D$3:$E$12,2)</f>
        <v>د</v>
      </c>
      <c r="AQ80" s="40">
        <f t="shared" si="38"/>
        <v>4</v>
      </c>
      <c r="AR80" s="21">
        <v>2</v>
      </c>
      <c r="AS80" s="67">
        <v>53</v>
      </c>
      <c r="AT80" s="65">
        <f>VLOOKUP(AS80,المرجع!$B$3:$C$12,2)</f>
        <v>2</v>
      </c>
      <c r="AU80" s="44" t="str">
        <f>VLOOKUP(AT80,المرجع!$D$3:$E$12,2)</f>
        <v>د</v>
      </c>
      <c r="AV80" s="40">
        <f t="shared" si="39"/>
        <v>4</v>
      </c>
      <c r="AW80" s="21">
        <v>2</v>
      </c>
      <c r="AX80" s="67">
        <v>50</v>
      </c>
      <c r="AY80" s="65">
        <f>VLOOKUP(AX80,المرجع!$B$3:$C$12,2)</f>
        <v>2</v>
      </c>
      <c r="AZ80" s="44" t="str">
        <f>VLOOKUP(AY80,المرجع!$D$3:$E$12,2)</f>
        <v>د</v>
      </c>
      <c r="BA80" s="40">
        <f t="shared" si="40"/>
        <v>4</v>
      </c>
      <c r="BB80" s="21">
        <v>2</v>
      </c>
      <c r="BC80" s="67">
        <v>78</v>
      </c>
      <c r="BD80" s="65">
        <f>VLOOKUP(BC80,المرجع!$B$3:$C$12,2)</f>
        <v>3.5</v>
      </c>
      <c r="BE80" s="44" t="str">
        <f>VLOOKUP(BD80,المرجع!$D$3:$E$12,2)</f>
        <v>ج+</v>
      </c>
      <c r="BF80" s="40">
        <f t="shared" si="41"/>
        <v>7</v>
      </c>
      <c r="BG80" s="21">
        <v>2</v>
      </c>
      <c r="BH80" s="67">
        <v>30</v>
      </c>
      <c r="BI80" s="65">
        <f>VLOOKUP(BH80,المرجع!$B$3:$C$12,2)</f>
        <v>0</v>
      </c>
      <c r="BJ80" s="44" t="str">
        <f>VLOOKUP(BI80,المرجع!$D$3:$E$12,2)</f>
        <v>ه</v>
      </c>
      <c r="BK80" s="40">
        <f t="shared" si="42"/>
        <v>0</v>
      </c>
      <c r="BL80" s="72">
        <f t="shared" si="46"/>
        <v>51</v>
      </c>
      <c r="BM80" s="73">
        <f t="shared" si="43"/>
        <v>23</v>
      </c>
      <c r="BN80" s="74">
        <f t="shared" si="44"/>
        <v>2.2173913043478262</v>
      </c>
      <c r="BO80" s="75"/>
      <c r="BP80" s="76" t="str">
        <f>VLOOKUP(BN80,المرجع!$D$3:$F$12,3)</f>
        <v xml:space="preserve">مقبول مرتفع </v>
      </c>
      <c r="BQ80" s="77">
        <f t="shared" si="45"/>
        <v>68</v>
      </c>
    </row>
    <row r="81" spans="2:69" ht="28.5">
      <c r="B81" s="66">
        <v>2023064</v>
      </c>
      <c r="C81" s="70" t="s">
        <v>77</v>
      </c>
      <c r="D81" s="21">
        <v>1</v>
      </c>
      <c r="E81" s="67">
        <v>82</v>
      </c>
      <c r="F81" s="65">
        <f>VLOOKUP(E81,المرجع!$B$3:$C$12,2)</f>
        <v>4</v>
      </c>
      <c r="G81" s="44" t="str">
        <f>VLOOKUP(F81,المرجع!$D$3:$E$12,2)</f>
        <v>ب</v>
      </c>
      <c r="H81" s="40">
        <f t="shared" si="31"/>
        <v>4</v>
      </c>
      <c r="I81" s="21">
        <v>2</v>
      </c>
      <c r="J81" s="67">
        <v>75</v>
      </c>
      <c r="K81" s="65">
        <f>VLOOKUP(J81,المرجع!$B$3:$C$12,2)</f>
        <v>3.5</v>
      </c>
      <c r="L81" s="44" t="str">
        <f>VLOOKUP(K81,المرجع!$D$3:$E$12,2)</f>
        <v>ج+</v>
      </c>
      <c r="M81" s="40">
        <f t="shared" si="32"/>
        <v>7</v>
      </c>
      <c r="N81" s="21">
        <v>2</v>
      </c>
      <c r="O81" s="67">
        <v>50</v>
      </c>
      <c r="P81" s="65">
        <f>VLOOKUP(O81,المرجع!$B$3:$C$12,2)</f>
        <v>2</v>
      </c>
      <c r="Q81" s="44" t="str">
        <f>VLOOKUP(P81,المرجع!$D$3:$E$12,2)</f>
        <v>د</v>
      </c>
      <c r="R81" s="40">
        <f t="shared" si="33"/>
        <v>4</v>
      </c>
      <c r="S81" s="21">
        <v>2</v>
      </c>
      <c r="T81" s="67">
        <v>81</v>
      </c>
      <c r="U81" s="65">
        <f>VLOOKUP(T81,المرجع!$B$3:$C$12,2)</f>
        <v>4</v>
      </c>
      <c r="V81" s="44" t="str">
        <f>VLOOKUP(U81,المرجع!$D$3:$E$12,2)</f>
        <v>ب</v>
      </c>
      <c r="W81" s="40">
        <f t="shared" si="34"/>
        <v>8</v>
      </c>
      <c r="X81" s="21">
        <v>2</v>
      </c>
      <c r="Y81" s="67">
        <v>50</v>
      </c>
      <c r="Z81" s="65">
        <f>VLOOKUP(Y81,المرجع!$B$3:$C$12,2)</f>
        <v>2</v>
      </c>
      <c r="AA81" s="44" t="str">
        <f>VLOOKUP(Z81,المرجع!$D$3:$E$12,2)</f>
        <v>د</v>
      </c>
      <c r="AB81" s="40">
        <f t="shared" si="35"/>
        <v>4</v>
      </c>
      <c r="AC81" s="21">
        <v>2</v>
      </c>
      <c r="AD81" s="67">
        <v>50</v>
      </c>
      <c r="AE81" s="65">
        <f>VLOOKUP(AD81,المرجع!$B$3:$C$12,2)</f>
        <v>2</v>
      </c>
      <c r="AF81" s="44" t="str">
        <f>VLOOKUP(AE81,المرجع!$D$3:$E$12,2)</f>
        <v>د</v>
      </c>
      <c r="AG81" s="40">
        <f t="shared" si="36"/>
        <v>4</v>
      </c>
      <c r="AH81" s="21">
        <v>2</v>
      </c>
      <c r="AI81" s="67">
        <v>50</v>
      </c>
      <c r="AJ81" s="65">
        <f>VLOOKUP(AI81,المرجع!$B$3:$C$12,2)</f>
        <v>2</v>
      </c>
      <c r="AK81" s="44" t="str">
        <f>VLOOKUP(AJ81,المرجع!$D$3:$E$12,2)</f>
        <v>د</v>
      </c>
      <c r="AL81" s="40">
        <f t="shared" si="37"/>
        <v>4</v>
      </c>
      <c r="AM81" s="21">
        <v>2</v>
      </c>
      <c r="AN81" s="67">
        <v>66</v>
      </c>
      <c r="AO81" s="65">
        <f>VLOOKUP(AN81,المرجع!$B$3:$C$12,2)</f>
        <v>2.5</v>
      </c>
      <c r="AP81" s="44" t="str">
        <f>VLOOKUP(AO81,المرجع!$D$3:$E$12,2)</f>
        <v>د+</v>
      </c>
      <c r="AQ81" s="40">
        <f t="shared" si="38"/>
        <v>5</v>
      </c>
      <c r="AR81" s="21">
        <v>2</v>
      </c>
      <c r="AS81" s="67">
        <v>55</v>
      </c>
      <c r="AT81" s="65">
        <f>VLOOKUP(AS81,المرجع!$B$3:$C$12,2)</f>
        <v>2</v>
      </c>
      <c r="AU81" s="44" t="str">
        <f>VLOOKUP(AT81,المرجع!$D$3:$E$12,2)</f>
        <v>د</v>
      </c>
      <c r="AV81" s="40">
        <f t="shared" si="39"/>
        <v>4</v>
      </c>
      <c r="AW81" s="21">
        <v>2</v>
      </c>
      <c r="AX81" s="67">
        <v>50</v>
      </c>
      <c r="AY81" s="65">
        <f>VLOOKUP(AX81,المرجع!$B$3:$C$12,2)</f>
        <v>2</v>
      </c>
      <c r="AZ81" s="44" t="str">
        <f>VLOOKUP(AY81,المرجع!$D$3:$E$12,2)</f>
        <v>د</v>
      </c>
      <c r="BA81" s="40">
        <f t="shared" si="40"/>
        <v>4</v>
      </c>
      <c r="BB81" s="21">
        <v>2</v>
      </c>
      <c r="BC81" s="67">
        <v>50</v>
      </c>
      <c r="BD81" s="65">
        <f>VLOOKUP(BC81,المرجع!$B$3:$C$12,2)</f>
        <v>2</v>
      </c>
      <c r="BE81" s="44" t="str">
        <f>VLOOKUP(BD81,المرجع!$D$3:$E$12,2)</f>
        <v>د</v>
      </c>
      <c r="BF81" s="40">
        <f t="shared" si="41"/>
        <v>4</v>
      </c>
      <c r="BG81" s="21">
        <v>2</v>
      </c>
      <c r="BH81" s="67">
        <v>66</v>
      </c>
      <c r="BI81" s="65">
        <f>VLOOKUP(BH81,المرجع!$B$3:$C$12,2)</f>
        <v>2.5</v>
      </c>
      <c r="BJ81" s="44" t="str">
        <f>VLOOKUP(BI81,المرجع!$D$3:$E$12,2)</f>
        <v>د+</v>
      </c>
      <c r="BK81" s="40">
        <f t="shared" si="42"/>
        <v>5</v>
      </c>
      <c r="BL81" s="72">
        <f t="shared" si="46"/>
        <v>47</v>
      </c>
      <c r="BM81" s="73">
        <f t="shared" si="43"/>
        <v>23</v>
      </c>
      <c r="BN81" s="74">
        <f t="shared" si="44"/>
        <v>2.0434782608695654</v>
      </c>
      <c r="BO81" s="75"/>
      <c r="BP81" s="76" t="str">
        <f>VLOOKUP(BN81,المرجع!$D$3:$F$12,3)</f>
        <v>مقبول</v>
      </c>
      <c r="BQ81" s="77">
        <f t="shared" si="45"/>
        <v>75</v>
      </c>
    </row>
    <row r="82" spans="2:69" ht="28.5">
      <c r="B82" s="66">
        <v>2023037</v>
      </c>
      <c r="C82" s="70" t="s">
        <v>34</v>
      </c>
      <c r="D82" s="21">
        <v>1</v>
      </c>
      <c r="E82" s="67">
        <v>86</v>
      </c>
      <c r="F82" s="65">
        <f>VLOOKUP(E82,المرجع!$B$3:$C$12,2)</f>
        <v>4.5</v>
      </c>
      <c r="G82" s="44" t="str">
        <f>VLOOKUP(F82,المرجع!$D$3:$E$12,2)</f>
        <v>ب+</v>
      </c>
      <c r="H82" s="40">
        <f t="shared" si="31"/>
        <v>4.5</v>
      </c>
      <c r="I82" s="21">
        <v>2</v>
      </c>
      <c r="J82" s="67">
        <v>65</v>
      </c>
      <c r="K82" s="65">
        <f>VLOOKUP(J82,المرجع!$B$3:$C$12,2)</f>
        <v>2.5</v>
      </c>
      <c r="L82" s="44" t="str">
        <f>VLOOKUP(K82,المرجع!$D$3:$E$12,2)</f>
        <v>د+</v>
      </c>
      <c r="M82" s="40">
        <f t="shared" si="32"/>
        <v>5</v>
      </c>
      <c r="N82" s="21">
        <v>2</v>
      </c>
      <c r="O82" s="67">
        <v>50</v>
      </c>
      <c r="P82" s="65">
        <f>VLOOKUP(O82,المرجع!$B$3:$C$12,2)</f>
        <v>2</v>
      </c>
      <c r="Q82" s="44" t="str">
        <f>VLOOKUP(P82,المرجع!$D$3:$E$12,2)</f>
        <v>د</v>
      </c>
      <c r="R82" s="40">
        <f t="shared" si="33"/>
        <v>4</v>
      </c>
      <c r="S82" s="21">
        <v>2</v>
      </c>
      <c r="T82" s="67">
        <v>100</v>
      </c>
      <c r="U82" s="65">
        <f>VLOOKUP(T82,المرجع!$B$3:$C$12,2)</f>
        <v>5</v>
      </c>
      <c r="V82" s="44" t="str">
        <f>VLOOKUP(U82,المرجع!$D$3:$E$12,2)</f>
        <v xml:space="preserve">أ+ </v>
      </c>
      <c r="W82" s="40">
        <f t="shared" si="34"/>
        <v>10</v>
      </c>
      <c r="X82" s="21">
        <v>2</v>
      </c>
      <c r="Y82" s="67">
        <v>70</v>
      </c>
      <c r="Z82" s="65">
        <f>VLOOKUP(Y82,المرجع!$B$3:$C$12,2)</f>
        <v>3</v>
      </c>
      <c r="AA82" s="44" t="str">
        <f>VLOOKUP(Z82,المرجع!$D$3:$E$12,2)</f>
        <v>ج</v>
      </c>
      <c r="AB82" s="40">
        <f t="shared" si="35"/>
        <v>6</v>
      </c>
      <c r="AC82" s="21">
        <v>2</v>
      </c>
      <c r="AD82" s="67">
        <v>55</v>
      </c>
      <c r="AE82" s="65">
        <f>VLOOKUP(AD82,المرجع!$B$3:$C$12,2)</f>
        <v>2</v>
      </c>
      <c r="AF82" s="44" t="str">
        <f>VLOOKUP(AE82,المرجع!$D$3:$E$12,2)</f>
        <v>د</v>
      </c>
      <c r="AG82" s="40">
        <f t="shared" si="36"/>
        <v>4</v>
      </c>
      <c r="AH82" s="21">
        <v>2</v>
      </c>
      <c r="AI82" s="67">
        <v>50</v>
      </c>
      <c r="AJ82" s="65">
        <f>VLOOKUP(AI82,المرجع!$B$3:$C$12,2)</f>
        <v>2</v>
      </c>
      <c r="AK82" s="44" t="str">
        <f>VLOOKUP(AJ82,المرجع!$D$3:$E$12,2)</f>
        <v>د</v>
      </c>
      <c r="AL82" s="40">
        <f t="shared" si="37"/>
        <v>4</v>
      </c>
      <c r="AM82" s="21">
        <v>2</v>
      </c>
      <c r="AN82" s="67">
        <v>67</v>
      </c>
      <c r="AO82" s="65">
        <f>VLOOKUP(AN82,المرجع!$B$3:$C$12,2)</f>
        <v>2.5</v>
      </c>
      <c r="AP82" s="44" t="str">
        <f>VLOOKUP(AO82,المرجع!$D$3:$E$12,2)</f>
        <v>د+</v>
      </c>
      <c r="AQ82" s="40">
        <f t="shared" si="38"/>
        <v>5</v>
      </c>
      <c r="AR82" s="21">
        <v>2</v>
      </c>
      <c r="AS82" s="67">
        <v>55</v>
      </c>
      <c r="AT82" s="65">
        <f>VLOOKUP(AS82,المرجع!$B$3:$C$12,2)</f>
        <v>2</v>
      </c>
      <c r="AU82" s="44" t="str">
        <f>VLOOKUP(AT82,المرجع!$D$3:$E$12,2)</f>
        <v>د</v>
      </c>
      <c r="AV82" s="40">
        <f t="shared" si="39"/>
        <v>4</v>
      </c>
      <c r="AW82" s="21">
        <v>2</v>
      </c>
      <c r="AX82" s="67">
        <v>55</v>
      </c>
      <c r="AY82" s="65">
        <f>VLOOKUP(AX82,المرجع!$B$3:$C$12,2)</f>
        <v>2</v>
      </c>
      <c r="AZ82" s="44" t="str">
        <f>VLOOKUP(AY82,المرجع!$D$3:$E$12,2)</f>
        <v>د</v>
      </c>
      <c r="BA82" s="40">
        <f t="shared" si="40"/>
        <v>4</v>
      </c>
      <c r="BB82" s="21">
        <v>2</v>
      </c>
      <c r="BC82" s="67">
        <v>50</v>
      </c>
      <c r="BD82" s="65">
        <f>VLOOKUP(BC82,المرجع!$B$3:$C$12,2)</f>
        <v>2</v>
      </c>
      <c r="BE82" s="44" t="str">
        <f>VLOOKUP(BD82,المرجع!$D$3:$E$12,2)</f>
        <v>د</v>
      </c>
      <c r="BF82" s="40">
        <f t="shared" si="41"/>
        <v>4</v>
      </c>
      <c r="BG82" s="21">
        <v>2</v>
      </c>
      <c r="BH82" s="67">
        <v>61</v>
      </c>
      <c r="BI82" s="65">
        <f>VLOOKUP(BH82,المرجع!$B$3:$C$12,2)</f>
        <v>2</v>
      </c>
      <c r="BJ82" s="44" t="str">
        <f>VLOOKUP(BI82,المرجع!$D$3:$E$12,2)</f>
        <v>د</v>
      </c>
      <c r="BK82" s="40">
        <f t="shared" si="42"/>
        <v>4</v>
      </c>
      <c r="BL82" s="72">
        <f t="shared" si="46"/>
        <v>50.5</v>
      </c>
      <c r="BM82" s="73">
        <f t="shared" si="43"/>
        <v>23</v>
      </c>
      <c r="BN82" s="74">
        <f t="shared" si="44"/>
        <v>2.1956521739130435</v>
      </c>
      <c r="BO82" s="75"/>
      <c r="BP82" s="76" t="str">
        <f>VLOOKUP(BN82,المرجع!$D$3:$F$12,3)</f>
        <v xml:space="preserve">مقبول مرتفع </v>
      </c>
      <c r="BQ82" s="77">
        <f t="shared" si="45"/>
        <v>72</v>
      </c>
    </row>
    <row r="83" spans="2:69" ht="28.5">
      <c r="B83" s="66">
        <v>2023078</v>
      </c>
      <c r="C83" s="70" t="s">
        <v>171</v>
      </c>
      <c r="D83" s="21">
        <v>1</v>
      </c>
      <c r="E83" s="67">
        <v>96</v>
      </c>
      <c r="F83" s="65">
        <f>VLOOKUP(E83,المرجع!$B$3:$C$12,2)</f>
        <v>5</v>
      </c>
      <c r="G83" s="44" t="str">
        <f>VLOOKUP(F83,المرجع!$D$3:$E$12,2)</f>
        <v xml:space="preserve">أ+ </v>
      </c>
      <c r="H83" s="40">
        <f t="shared" si="31"/>
        <v>5</v>
      </c>
      <c r="I83" s="21">
        <v>2</v>
      </c>
      <c r="J83" s="67">
        <v>95</v>
      </c>
      <c r="K83" s="65">
        <f>VLOOKUP(J83,المرجع!$B$3:$C$12,2)</f>
        <v>5</v>
      </c>
      <c r="L83" s="44" t="str">
        <f>VLOOKUP(K83,المرجع!$D$3:$E$12,2)</f>
        <v xml:space="preserve">أ+ </v>
      </c>
      <c r="M83" s="40">
        <f t="shared" si="32"/>
        <v>10</v>
      </c>
      <c r="N83" s="21">
        <v>2</v>
      </c>
      <c r="O83" s="67">
        <v>50</v>
      </c>
      <c r="P83" s="65">
        <f>VLOOKUP(O83,المرجع!$B$3:$C$12,2)</f>
        <v>2</v>
      </c>
      <c r="Q83" s="44" t="str">
        <f>VLOOKUP(P83,المرجع!$D$3:$E$12,2)</f>
        <v>د</v>
      </c>
      <c r="R83" s="40">
        <f t="shared" si="33"/>
        <v>4</v>
      </c>
      <c r="S83" s="21">
        <v>2</v>
      </c>
      <c r="T83" s="67">
        <v>98</v>
      </c>
      <c r="U83" s="65">
        <f>VLOOKUP(T83,المرجع!$B$3:$C$12,2)</f>
        <v>5</v>
      </c>
      <c r="V83" s="44" t="str">
        <f>VLOOKUP(U83,المرجع!$D$3:$E$12,2)</f>
        <v xml:space="preserve">أ+ </v>
      </c>
      <c r="W83" s="40">
        <f t="shared" si="34"/>
        <v>10</v>
      </c>
      <c r="X83" s="21">
        <v>2</v>
      </c>
      <c r="Y83" s="67">
        <v>53</v>
      </c>
      <c r="Z83" s="65">
        <f>VLOOKUP(Y83,المرجع!$B$3:$C$12,2)</f>
        <v>2</v>
      </c>
      <c r="AA83" s="44" t="str">
        <f>VLOOKUP(Z83,المرجع!$D$3:$E$12,2)</f>
        <v>د</v>
      </c>
      <c r="AB83" s="40">
        <f t="shared" si="35"/>
        <v>4</v>
      </c>
      <c r="AC83" s="21">
        <v>2</v>
      </c>
      <c r="AD83" s="67">
        <v>61</v>
      </c>
      <c r="AE83" s="65">
        <f>VLOOKUP(AD83,المرجع!$B$3:$C$12,2)</f>
        <v>2</v>
      </c>
      <c r="AF83" s="44" t="str">
        <f>VLOOKUP(AE83,المرجع!$D$3:$E$12,2)</f>
        <v>د</v>
      </c>
      <c r="AG83" s="40">
        <f t="shared" si="36"/>
        <v>4</v>
      </c>
      <c r="AH83" s="21">
        <v>2</v>
      </c>
      <c r="AI83" s="67">
        <v>30</v>
      </c>
      <c r="AJ83" s="65">
        <f>VLOOKUP(AI83,المرجع!$B$3:$C$12,2)</f>
        <v>0</v>
      </c>
      <c r="AK83" s="44" t="str">
        <f>VLOOKUP(AJ83,المرجع!$D$3:$E$12,2)</f>
        <v>ه</v>
      </c>
      <c r="AL83" s="40">
        <f t="shared" si="37"/>
        <v>0</v>
      </c>
      <c r="AM83" s="21">
        <v>2</v>
      </c>
      <c r="AN83" s="67">
        <v>69</v>
      </c>
      <c r="AO83" s="65">
        <f>VLOOKUP(AN83,المرجع!$B$3:$C$12,2)</f>
        <v>2.5</v>
      </c>
      <c r="AP83" s="44" t="str">
        <f>VLOOKUP(AO83,المرجع!$D$3:$E$12,2)</f>
        <v>د+</v>
      </c>
      <c r="AQ83" s="40">
        <f t="shared" si="38"/>
        <v>5</v>
      </c>
      <c r="AR83" s="21">
        <v>2</v>
      </c>
      <c r="AS83" s="67">
        <v>30</v>
      </c>
      <c r="AT83" s="65">
        <f>VLOOKUP(AS83,المرجع!$B$3:$C$12,2)</f>
        <v>0</v>
      </c>
      <c r="AU83" s="44" t="str">
        <f>VLOOKUP(AT83,المرجع!$D$3:$E$12,2)</f>
        <v>ه</v>
      </c>
      <c r="AV83" s="40">
        <f t="shared" si="39"/>
        <v>0</v>
      </c>
      <c r="AW83" s="21">
        <v>2</v>
      </c>
      <c r="AX83" s="67">
        <v>30</v>
      </c>
      <c r="AY83" s="65">
        <f>VLOOKUP(AX83,المرجع!$B$3:$C$12,2)</f>
        <v>0</v>
      </c>
      <c r="AZ83" s="44" t="str">
        <f>VLOOKUP(AY83,المرجع!$D$3:$E$12,2)</f>
        <v>ه</v>
      </c>
      <c r="BA83" s="40">
        <f t="shared" si="40"/>
        <v>0</v>
      </c>
      <c r="BB83" s="21">
        <v>2</v>
      </c>
      <c r="BC83" s="67">
        <v>30</v>
      </c>
      <c r="BD83" s="65">
        <f>VLOOKUP(BC83,المرجع!$B$3:$C$12,2)</f>
        <v>0</v>
      </c>
      <c r="BE83" s="44" t="str">
        <f>VLOOKUP(BD83,المرجع!$D$3:$E$12,2)</f>
        <v>ه</v>
      </c>
      <c r="BF83" s="40">
        <f t="shared" si="41"/>
        <v>0</v>
      </c>
      <c r="BG83" s="21">
        <v>2</v>
      </c>
      <c r="BH83" s="67">
        <v>65</v>
      </c>
      <c r="BI83" s="65">
        <f>VLOOKUP(BH83,المرجع!$B$3:$C$12,2)</f>
        <v>2.5</v>
      </c>
      <c r="BJ83" s="44" t="str">
        <f>VLOOKUP(BI83,المرجع!$D$3:$E$12,2)</f>
        <v>د+</v>
      </c>
      <c r="BK83" s="40">
        <f t="shared" si="42"/>
        <v>5</v>
      </c>
      <c r="BL83" s="72">
        <f t="shared" si="46"/>
        <v>37</v>
      </c>
      <c r="BM83" s="73">
        <f t="shared" si="43"/>
        <v>23</v>
      </c>
      <c r="BN83" s="74">
        <f t="shared" si="44"/>
        <v>1.6086956521739131</v>
      </c>
      <c r="BO83" s="75"/>
      <c r="BP83" s="76" t="str">
        <f>VLOOKUP(BN83,المرجع!$D$3:$F$12,3)</f>
        <v>راسب</v>
      </c>
      <c r="BQ83" s="77">
        <f t="shared" si="45"/>
        <v>92</v>
      </c>
    </row>
    <row r="84" spans="2:69" ht="28.5">
      <c r="B84" s="66">
        <v>2023095</v>
      </c>
      <c r="C84" s="70" t="s">
        <v>81</v>
      </c>
      <c r="D84" s="21">
        <v>1</v>
      </c>
      <c r="E84" s="67">
        <v>82</v>
      </c>
      <c r="F84" s="65">
        <f>VLOOKUP(E84,المرجع!$B$3:$C$12,2)</f>
        <v>4</v>
      </c>
      <c r="G84" s="44" t="str">
        <f>VLOOKUP(F84,المرجع!$D$3:$E$12,2)</f>
        <v>ب</v>
      </c>
      <c r="H84" s="40">
        <f t="shared" si="31"/>
        <v>4</v>
      </c>
      <c r="I84" s="21">
        <v>2</v>
      </c>
      <c r="J84" s="67">
        <v>65</v>
      </c>
      <c r="K84" s="65">
        <f>VLOOKUP(J84,المرجع!$B$3:$C$12,2)</f>
        <v>2.5</v>
      </c>
      <c r="L84" s="44" t="str">
        <f>VLOOKUP(K84,المرجع!$D$3:$E$12,2)</f>
        <v>د+</v>
      </c>
      <c r="M84" s="40">
        <f t="shared" si="32"/>
        <v>5</v>
      </c>
      <c r="N84" s="21">
        <v>2</v>
      </c>
      <c r="O84" s="67">
        <v>50</v>
      </c>
      <c r="P84" s="65">
        <f>VLOOKUP(O84,المرجع!$B$3:$C$12,2)</f>
        <v>2</v>
      </c>
      <c r="Q84" s="44" t="str">
        <f>VLOOKUP(P84,المرجع!$D$3:$E$12,2)</f>
        <v>د</v>
      </c>
      <c r="R84" s="40">
        <f t="shared" si="33"/>
        <v>4</v>
      </c>
      <c r="S84" s="21">
        <v>2</v>
      </c>
      <c r="T84" s="67">
        <v>95</v>
      </c>
      <c r="U84" s="65">
        <f>VLOOKUP(T84,المرجع!$B$3:$C$12,2)</f>
        <v>5</v>
      </c>
      <c r="V84" s="44" t="str">
        <f>VLOOKUP(U84,المرجع!$D$3:$E$12,2)</f>
        <v xml:space="preserve">أ+ </v>
      </c>
      <c r="W84" s="40">
        <f t="shared" si="34"/>
        <v>10</v>
      </c>
      <c r="X84" s="21">
        <v>2</v>
      </c>
      <c r="Y84" s="67">
        <v>70</v>
      </c>
      <c r="Z84" s="65">
        <f>VLOOKUP(Y84,المرجع!$B$3:$C$12,2)</f>
        <v>3</v>
      </c>
      <c r="AA84" s="44" t="str">
        <f>VLOOKUP(Z84,المرجع!$D$3:$E$12,2)</f>
        <v>ج</v>
      </c>
      <c r="AB84" s="40">
        <f t="shared" si="35"/>
        <v>6</v>
      </c>
      <c r="AC84" s="21">
        <v>2</v>
      </c>
      <c r="AD84" s="67">
        <v>65</v>
      </c>
      <c r="AE84" s="65">
        <f>VLOOKUP(AD84,المرجع!$B$3:$C$12,2)</f>
        <v>2.5</v>
      </c>
      <c r="AF84" s="44" t="str">
        <f>VLOOKUP(AE84,المرجع!$D$3:$E$12,2)</f>
        <v>د+</v>
      </c>
      <c r="AG84" s="40">
        <f t="shared" si="36"/>
        <v>5</v>
      </c>
      <c r="AH84" s="21">
        <v>2</v>
      </c>
      <c r="AI84" s="67">
        <v>50</v>
      </c>
      <c r="AJ84" s="65">
        <f>VLOOKUP(AI84,المرجع!$B$3:$C$12,2)</f>
        <v>2</v>
      </c>
      <c r="AK84" s="44" t="str">
        <f>VLOOKUP(AJ84,المرجع!$D$3:$E$12,2)</f>
        <v>د</v>
      </c>
      <c r="AL84" s="40">
        <f t="shared" si="37"/>
        <v>4</v>
      </c>
      <c r="AM84" s="21">
        <v>2</v>
      </c>
      <c r="AN84" s="67">
        <v>64</v>
      </c>
      <c r="AO84" s="65">
        <f>VLOOKUP(AN84,المرجع!$B$3:$C$12,2)</f>
        <v>2</v>
      </c>
      <c r="AP84" s="44" t="str">
        <f>VLOOKUP(AO84,المرجع!$D$3:$E$12,2)</f>
        <v>د</v>
      </c>
      <c r="AQ84" s="40">
        <f t="shared" si="38"/>
        <v>4</v>
      </c>
      <c r="AR84" s="21">
        <v>2</v>
      </c>
      <c r="AS84" s="67">
        <v>58</v>
      </c>
      <c r="AT84" s="65">
        <f>VLOOKUP(AS84,المرجع!$B$3:$C$12,2)</f>
        <v>2</v>
      </c>
      <c r="AU84" s="44" t="str">
        <f>VLOOKUP(AT84,المرجع!$D$3:$E$12,2)</f>
        <v>د</v>
      </c>
      <c r="AV84" s="40">
        <f t="shared" si="39"/>
        <v>4</v>
      </c>
      <c r="AW84" s="21">
        <v>2</v>
      </c>
      <c r="AX84" s="67">
        <v>50</v>
      </c>
      <c r="AY84" s="65">
        <f>VLOOKUP(AX84,المرجع!$B$3:$C$12,2)</f>
        <v>2</v>
      </c>
      <c r="AZ84" s="44" t="str">
        <f>VLOOKUP(AY84,المرجع!$D$3:$E$12,2)</f>
        <v>د</v>
      </c>
      <c r="BA84" s="40">
        <f t="shared" si="40"/>
        <v>4</v>
      </c>
      <c r="BB84" s="21">
        <v>2</v>
      </c>
      <c r="BC84" s="67">
        <v>66</v>
      </c>
      <c r="BD84" s="65">
        <f>VLOOKUP(BC84,المرجع!$B$3:$C$12,2)</f>
        <v>2.5</v>
      </c>
      <c r="BE84" s="44" t="str">
        <f>VLOOKUP(BD84,المرجع!$D$3:$E$12,2)</f>
        <v>د+</v>
      </c>
      <c r="BF84" s="40">
        <f t="shared" si="41"/>
        <v>5</v>
      </c>
      <c r="BG84" s="21">
        <v>2</v>
      </c>
      <c r="BH84" s="67">
        <v>50</v>
      </c>
      <c r="BI84" s="65">
        <f>VLOOKUP(BH84,المرجع!$B$3:$C$12,2)</f>
        <v>2</v>
      </c>
      <c r="BJ84" s="44" t="str">
        <f>VLOOKUP(BI84,المرجع!$D$3:$E$12,2)</f>
        <v>د</v>
      </c>
      <c r="BK84" s="40">
        <f t="shared" si="42"/>
        <v>4</v>
      </c>
      <c r="BL84" s="72">
        <f t="shared" si="46"/>
        <v>51</v>
      </c>
      <c r="BM84" s="73">
        <f t="shared" si="43"/>
        <v>23</v>
      </c>
      <c r="BN84" s="74">
        <f t="shared" si="44"/>
        <v>2.2173913043478262</v>
      </c>
      <c r="BO84" s="75"/>
      <c r="BP84" s="76" t="str">
        <f>VLOOKUP(BN84,المرجع!$D$3:$F$12,3)</f>
        <v xml:space="preserve">مقبول مرتفع </v>
      </c>
      <c r="BQ84" s="77">
        <f t="shared" si="45"/>
        <v>68</v>
      </c>
    </row>
    <row r="85" spans="2:69" ht="28.5">
      <c r="B85" s="66">
        <v>2023093</v>
      </c>
      <c r="C85" s="70" t="s">
        <v>78</v>
      </c>
      <c r="D85" s="21">
        <v>1</v>
      </c>
      <c r="E85" s="67">
        <v>82</v>
      </c>
      <c r="F85" s="65">
        <f>VLOOKUP(E85,المرجع!$B$3:$C$12,2)</f>
        <v>4</v>
      </c>
      <c r="G85" s="44" t="str">
        <f>VLOOKUP(F85,المرجع!$D$3:$E$12,2)</f>
        <v>ب</v>
      </c>
      <c r="H85" s="40">
        <f t="shared" si="31"/>
        <v>4</v>
      </c>
      <c r="I85" s="21">
        <v>2</v>
      </c>
      <c r="J85" s="67">
        <v>65</v>
      </c>
      <c r="K85" s="65">
        <f>VLOOKUP(J85,المرجع!$B$3:$C$12,2)</f>
        <v>2.5</v>
      </c>
      <c r="L85" s="44" t="str">
        <f>VLOOKUP(K85,المرجع!$D$3:$E$12,2)</f>
        <v>د+</v>
      </c>
      <c r="M85" s="40">
        <f t="shared" si="32"/>
        <v>5</v>
      </c>
      <c r="N85" s="21">
        <v>2</v>
      </c>
      <c r="O85" s="67">
        <v>50</v>
      </c>
      <c r="P85" s="65">
        <f>VLOOKUP(O85,المرجع!$B$3:$C$12,2)</f>
        <v>2</v>
      </c>
      <c r="Q85" s="44" t="str">
        <f>VLOOKUP(P85,المرجع!$D$3:$E$12,2)</f>
        <v>د</v>
      </c>
      <c r="R85" s="40">
        <f t="shared" si="33"/>
        <v>4</v>
      </c>
      <c r="S85" s="21">
        <v>2</v>
      </c>
      <c r="T85" s="67">
        <v>95</v>
      </c>
      <c r="U85" s="65">
        <f>VLOOKUP(T85,المرجع!$B$3:$C$12,2)</f>
        <v>5</v>
      </c>
      <c r="V85" s="44" t="str">
        <f>VLOOKUP(U85,المرجع!$D$3:$E$12,2)</f>
        <v xml:space="preserve">أ+ </v>
      </c>
      <c r="W85" s="40">
        <f t="shared" si="34"/>
        <v>10</v>
      </c>
      <c r="X85" s="21">
        <v>2</v>
      </c>
      <c r="Y85" s="67">
        <v>62</v>
      </c>
      <c r="Z85" s="65">
        <f>VLOOKUP(Y85,المرجع!$B$3:$C$12,2)</f>
        <v>2</v>
      </c>
      <c r="AA85" s="44" t="str">
        <f>VLOOKUP(Z85,المرجع!$D$3:$E$12,2)</f>
        <v>د</v>
      </c>
      <c r="AB85" s="40">
        <f t="shared" si="35"/>
        <v>4</v>
      </c>
      <c r="AC85" s="21">
        <v>2</v>
      </c>
      <c r="AD85" s="67">
        <v>50</v>
      </c>
      <c r="AE85" s="65">
        <f>VLOOKUP(AD85,المرجع!$B$3:$C$12,2)</f>
        <v>2</v>
      </c>
      <c r="AF85" s="44" t="str">
        <f>VLOOKUP(AE85,المرجع!$D$3:$E$12,2)</f>
        <v>د</v>
      </c>
      <c r="AG85" s="40">
        <f t="shared" si="36"/>
        <v>4</v>
      </c>
      <c r="AH85" s="21">
        <v>2</v>
      </c>
      <c r="AI85" s="67">
        <v>50</v>
      </c>
      <c r="AJ85" s="65">
        <f>VLOOKUP(AI85,المرجع!$B$3:$C$12,2)</f>
        <v>2</v>
      </c>
      <c r="AK85" s="44" t="str">
        <f>VLOOKUP(AJ85,المرجع!$D$3:$E$12,2)</f>
        <v>د</v>
      </c>
      <c r="AL85" s="40">
        <f t="shared" si="37"/>
        <v>4</v>
      </c>
      <c r="AM85" s="21">
        <v>2</v>
      </c>
      <c r="AN85" s="67">
        <v>68</v>
      </c>
      <c r="AO85" s="65">
        <f>VLOOKUP(AN85,المرجع!$B$3:$C$12,2)</f>
        <v>2.5</v>
      </c>
      <c r="AP85" s="44" t="str">
        <f>VLOOKUP(AO85,المرجع!$D$3:$E$12,2)</f>
        <v>د+</v>
      </c>
      <c r="AQ85" s="40">
        <f t="shared" si="38"/>
        <v>5</v>
      </c>
      <c r="AR85" s="21">
        <v>2</v>
      </c>
      <c r="AS85" s="67">
        <v>65</v>
      </c>
      <c r="AT85" s="65">
        <f>VLOOKUP(AS85,المرجع!$B$3:$C$12,2)</f>
        <v>2.5</v>
      </c>
      <c r="AU85" s="44" t="str">
        <f>VLOOKUP(AT85,المرجع!$D$3:$E$12,2)</f>
        <v>د+</v>
      </c>
      <c r="AV85" s="40">
        <f t="shared" si="39"/>
        <v>5</v>
      </c>
      <c r="AW85" s="21">
        <v>2</v>
      </c>
      <c r="AX85" s="67">
        <v>55</v>
      </c>
      <c r="AY85" s="65">
        <f>VLOOKUP(AX85,المرجع!$B$3:$C$12,2)</f>
        <v>2</v>
      </c>
      <c r="AZ85" s="44" t="str">
        <f>VLOOKUP(AY85,المرجع!$D$3:$E$12,2)</f>
        <v>د</v>
      </c>
      <c r="BA85" s="40">
        <f t="shared" si="40"/>
        <v>4</v>
      </c>
      <c r="BB85" s="21">
        <v>2</v>
      </c>
      <c r="BC85" s="67">
        <v>71</v>
      </c>
      <c r="BD85" s="65">
        <f>VLOOKUP(BC85,المرجع!$B$3:$C$12,2)</f>
        <v>3</v>
      </c>
      <c r="BE85" s="44" t="str">
        <f>VLOOKUP(BD85,المرجع!$D$3:$E$12,2)</f>
        <v>ج</v>
      </c>
      <c r="BF85" s="40">
        <f t="shared" si="41"/>
        <v>6</v>
      </c>
      <c r="BG85" s="21">
        <v>2</v>
      </c>
      <c r="BH85" s="67">
        <v>50</v>
      </c>
      <c r="BI85" s="65">
        <f>VLOOKUP(BH85,المرجع!$B$3:$C$12,2)</f>
        <v>2</v>
      </c>
      <c r="BJ85" s="44" t="str">
        <f>VLOOKUP(BI85,المرجع!$D$3:$E$12,2)</f>
        <v>د</v>
      </c>
      <c r="BK85" s="40">
        <f t="shared" si="42"/>
        <v>4</v>
      </c>
      <c r="BL85" s="72">
        <f t="shared" si="46"/>
        <v>51</v>
      </c>
      <c r="BM85" s="73">
        <f t="shared" si="43"/>
        <v>23</v>
      </c>
      <c r="BN85" s="74">
        <f t="shared" si="44"/>
        <v>2.2173913043478262</v>
      </c>
      <c r="BO85" s="75"/>
      <c r="BP85" s="76" t="str">
        <f>VLOOKUP(BN85,المرجع!$D$3:$F$12,3)</f>
        <v xml:space="preserve">مقبول مرتفع </v>
      </c>
      <c r="BQ85" s="77">
        <f t="shared" si="45"/>
        <v>68</v>
      </c>
    </row>
    <row r="86" spans="2:69" ht="28.5">
      <c r="B86" s="66">
        <v>2023073</v>
      </c>
      <c r="C86" s="70" t="s">
        <v>83</v>
      </c>
      <c r="D86" s="21">
        <v>1</v>
      </c>
      <c r="E86" s="67">
        <v>91</v>
      </c>
      <c r="F86" s="65">
        <f>VLOOKUP(E86,المرجع!$B$3:$C$12,2)</f>
        <v>4.75</v>
      </c>
      <c r="G86" s="44" t="str">
        <f>VLOOKUP(F86,المرجع!$D$3:$E$12,2)</f>
        <v>أ</v>
      </c>
      <c r="H86" s="40">
        <f t="shared" si="31"/>
        <v>4.75</v>
      </c>
      <c r="I86" s="21">
        <v>2</v>
      </c>
      <c r="J86" s="67">
        <v>68</v>
      </c>
      <c r="K86" s="65">
        <f>VLOOKUP(J86,المرجع!$B$3:$C$12,2)</f>
        <v>2.5</v>
      </c>
      <c r="L86" s="44" t="str">
        <f>VLOOKUP(K86,المرجع!$D$3:$E$12,2)</f>
        <v>د+</v>
      </c>
      <c r="M86" s="40">
        <f t="shared" si="32"/>
        <v>5</v>
      </c>
      <c r="N86" s="21">
        <v>2</v>
      </c>
      <c r="O86" s="67">
        <v>50</v>
      </c>
      <c r="P86" s="65">
        <f>VLOOKUP(O86,المرجع!$B$3:$C$12,2)</f>
        <v>2</v>
      </c>
      <c r="Q86" s="44" t="str">
        <f>VLOOKUP(P86,المرجع!$D$3:$E$12,2)</f>
        <v>د</v>
      </c>
      <c r="R86" s="40">
        <f t="shared" si="33"/>
        <v>4</v>
      </c>
      <c r="S86" s="21">
        <v>2</v>
      </c>
      <c r="T86" s="67">
        <v>97</v>
      </c>
      <c r="U86" s="65">
        <f>VLOOKUP(T86,المرجع!$B$3:$C$12,2)</f>
        <v>5</v>
      </c>
      <c r="V86" s="44" t="str">
        <f>VLOOKUP(U86,المرجع!$D$3:$E$12,2)</f>
        <v xml:space="preserve">أ+ </v>
      </c>
      <c r="W86" s="40">
        <f t="shared" si="34"/>
        <v>10</v>
      </c>
      <c r="X86" s="21">
        <v>2</v>
      </c>
      <c r="Y86" s="67">
        <v>30</v>
      </c>
      <c r="Z86" s="65">
        <f>VLOOKUP(Y86,المرجع!$B$3:$C$12,2)</f>
        <v>0</v>
      </c>
      <c r="AA86" s="44" t="str">
        <f>VLOOKUP(Z86,المرجع!$D$3:$E$12,2)</f>
        <v>ه</v>
      </c>
      <c r="AB86" s="40">
        <f t="shared" si="35"/>
        <v>0</v>
      </c>
      <c r="AC86" s="21">
        <v>2</v>
      </c>
      <c r="AD86" s="67">
        <v>50</v>
      </c>
      <c r="AE86" s="65">
        <f>VLOOKUP(AD86,المرجع!$B$3:$C$12,2)</f>
        <v>2</v>
      </c>
      <c r="AF86" s="44" t="str">
        <f>VLOOKUP(AE86,المرجع!$D$3:$E$12,2)</f>
        <v>د</v>
      </c>
      <c r="AG86" s="40">
        <f t="shared" si="36"/>
        <v>4</v>
      </c>
      <c r="AH86" s="21">
        <v>2</v>
      </c>
      <c r="AI86" s="67">
        <v>50</v>
      </c>
      <c r="AJ86" s="65">
        <f>VLOOKUP(AI86,المرجع!$B$3:$C$12,2)</f>
        <v>2</v>
      </c>
      <c r="AK86" s="44" t="str">
        <f>VLOOKUP(AJ86,المرجع!$D$3:$E$12,2)</f>
        <v>د</v>
      </c>
      <c r="AL86" s="40">
        <f t="shared" si="37"/>
        <v>4</v>
      </c>
      <c r="AM86" s="21">
        <v>2</v>
      </c>
      <c r="AN86" s="67">
        <v>66</v>
      </c>
      <c r="AO86" s="65">
        <f>VLOOKUP(AN86,المرجع!$B$3:$C$12,2)</f>
        <v>2.5</v>
      </c>
      <c r="AP86" s="44" t="str">
        <f>VLOOKUP(AO86,المرجع!$D$3:$E$12,2)</f>
        <v>د+</v>
      </c>
      <c r="AQ86" s="40">
        <f t="shared" si="38"/>
        <v>5</v>
      </c>
      <c r="AR86" s="21">
        <v>2</v>
      </c>
      <c r="AS86" s="67">
        <v>64</v>
      </c>
      <c r="AT86" s="65">
        <f>VLOOKUP(AS86,المرجع!$B$3:$C$12,2)</f>
        <v>2</v>
      </c>
      <c r="AU86" s="44" t="str">
        <f>VLOOKUP(AT86,المرجع!$D$3:$E$12,2)</f>
        <v>د</v>
      </c>
      <c r="AV86" s="40">
        <f t="shared" si="39"/>
        <v>4</v>
      </c>
      <c r="AW86" s="21">
        <v>2</v>
      </c>
      <c r="AX86" s="67">
        <v>55</v>
      </c>
      <c r="AY86" s="65">
        <f>VLOOKUP(AX86,المرجع!$B$3:$C$12,2)</f>
        <v>2</v>
      </c>
      <c r="AZ86" s="44" t="str">
        <f>VLOOKUP(AY86,المرجع!$D$3:$E$12,2)</f>
        <v>د</v>
      </c>
      <c r="BA86" s="40">
        <f t="shared" si="40"/>
        <v>4</v>
      </c>
      <c r="BB86" s="21">
        <v>2</v>
      </c>
      <c r="BC86" s="67">
        <v>56</v>
      </c>
      <c r="BD86" s="65">
        <f>VLOOKUP(BC86,المرجع!$B$3:$C$12,2)</f>
        <v>2</v>
      </c>
      <c r="BE86" s="44" t="str">
        <f>VLOOKUP(BD86,المرجع!$D$3:$E$12,2)</f>
        <v>د</v>
      </c>
      <c r="BF86" s="40">
        <f t="shared" si="41"/>
        <v>4</v>
      </c>
      <c r="BG86" s="21">
        <v>2</v>
      </c>
      <c r="BH86" s="67">
        <v>77</v>
      </c>
      <c r="BI86" s="65">
        <f>VLOOKUP(BH86,المرجع!$B$3:$C$12,2)</f>
        <v>3.5</v>
      </c>
      <c r="BJ86" s="44" t="str">
        <f>VLOOKUP(BI86,المرجع!$D$3:$E$12,2)</f>
        <v>ج+</v>
      </c>
      <c r="BK86" s="40">
        <f t="shared" si="42"/>
        <v>7</v>
      </c>
      <c r="BL86" s="72">
        <f t="shared" si="46"/>
        <v>41.75</v>
      </c>
      <c r="BM86" s="73">
        <f t="shared" si="43"/>
        <v>23</v>
      </c>
      <c r="BN86" s="74">
        <f t="shared" si="44"/>
        <v>1.8152173913043479</v>
      </c>
      <c r="BO86" s="75"/>
      <c r="BP86" s="76" t="str">
        <f>VLOOKUP(BN86,المرجع!$D$3:$F$12,3)</f>
        <v>راسب</v>
      </c>
      <c r="BQ86" s="77">
        <f t="shared" si="45"/>
        <v>85</v>
      </c>
    </row>
    <row r="87" spans="2:69" ht="28.5">
      <c r="B87" s="66">
        <v>2023005</v>
      </c>
      <c r="C87" s="70" t="s">
        <v>165</v>
      </c>
      <c r="D87" s="21">
        <v>1</v>
      </c>
      <c r="E87" s="67">
        <v>84</v>
      </c>
      <c r="F87" s="65">
        <f>VLOOKUP(E87,المرجع!$B$3:$C$12,2)</f>
        <v>4</v>
      </c>
      <c r="G87" s="44" t="str">
        <f>VLOOKUP(F87,المرجع!$D$3:$E$12,2)</f>
        <v>ب</v>
      </c>
      <c r="H87" s="40">
        <f t="shared" si="31"/>
        <v>4</v>
      </c>
      <c r="I87" s="21">
        <v>2</v>
      </c>
      <c r="J87" s="67">
        <v>75</v>
      </c>
      <c r="K87" s="65">
        <f>VLOOKUP(J87,المرجع!$B$3:$C$12,2)</f>
        <v>3.5</v>
      </c>
      <c r="L87" s="44" t="str">
        <f>VLOOKUP(K87,المرجع!$D$3:$E$12,2)</f>
        <v>ج+</v>
      </c>
      <c r="M87" s="40">
        <f t="shared" si="32"/>
        <v>7</v>
      </c>
      <c r="N87" s="21">
        <v>2</v>
      </c>
      <c r="O87" s="67">
        <v>50</v>
      </c>
      <c r="P87" s="65">
        <f>VLOOKUP(O87,المرجع!$B$3:$C$12,2)</f>
        <v>2</v>
      </c>
      <c r="Q87" s="44" t="str">
        <f>VLOOKUP(P87,المرجع!$D$3:$E$12,2)</f>
        <v>د</v>
      </c>
      <c r="R87" s="40">
        <f t="shared" si="33"/>
        <v>4</v>
      </c>
      <c r="S87" s="21">
        <v>2</v>
      </c>
      <c r="T87" s="67">
        <v>77</v>
      </c>
      <c r="U87" s="65">
        <f>VLOOKUP(T87,المرجع!$B$3:$C$12,2)</f>
        <v>3.5</v>
      </c>
      <c r="V87" s="44" t="str">
        <f>VLOOKUP(U87,المرجع!$D$3:$E$12,2)</f>
        <v>ج+</v>
      </c>
      <c r="W87" s="40">
        <f t="shared" si="34"/>
        <v>7</v>
      </c>
      <c r="X87" s="21">
        <v>2</v>
      </c>
      <c r="Y87" s="67">
        <v>50</v>
      </c>
      <c r="Z87" s="65">
        <f>VLOOKUP(Y87,المرجع!$B$3:$C$12,2)</f>
        <v>2</v>
      </c>
      <c r="AA87" s="44" t="str">
        <f>VLOOKUP(Z87,المرجع!$D$3:$E$12,2)</f>
        <v>د</v>
      </c>
      <c r="AB87" s="40">
        <f t="shared" si="35"/>
        <v>4</v>
      </c>
      <c r="AC87" s="21">
        <v>2</v>
      </c>
      <c r="AD87" s="67">
        <v>35</v>
      </c>
      <c r="AE87" s="65">
        <f>VLOOKUP(AD87,المرجع!$B$3:$C$12,2)</f>
        <v>0</v>
      </c>
      <c r="AF87" s="44" t="str">
        <f>VLOOKUP(AE87,المرجع!$D$3:$E$12,2)</f>
        <v>ه</v>
      </c>
      <c r="AG87" s="40">
        <f t="shared" si="36"/>
        <v>0</v>
      </c>
      <c r="AH87" s="21">
        <v>2</v>
      </c>
      <c r="AI87" s="67">
        <v>50</v>
      </c>
      <c r="AJ87" s="65">
        <f>VLOOKUP(AI87,المرجع!$B$3:$C$12,2)</f>
        <v>2</v>
      </c>
      <c r="AK87" s="44" t="str">
        <f>VLOOKUP(AJ87,المرجع!$D$3:$E$12,2)</f>
        <v>د</v>
      </c>
      <c r="AL87" s="40">
        <f t="shared" si="37"/>
        <v>4</v>
      </c>
      <c r="AM87" s="21">
        <v>2</v>
      </c>
      <c r="AN87" s="67">
        <v>62</v>
      </c>
      <c r="AO87" s="65">
        <f>VLOOKUP(AN87,المرجع!$B$3:$C$12,2)</f>
        <v>2</v>
      </c>
      <c r="AP87" s="44" t="str">
        <f>VLOOKUP(AO87,المرجع!$D$3:$E$12,2)</f>
        <v>د</v>
      </c>
      <c r="AQ87" s="40">
        <f t="shared" si="38"/>
        <v>4</v>
      </c>
      <c r="AR87" s="21">
        <v>2</v>
      </c>
      <c r="AS87" s="67">
        <v>55</v>
      </c>
      <c r="AT87" s="65">
        <f>VLOOKUP(AS87,المرجع!$B$3:$C$12,2)</f>
        <v>2</v>
      </c>
      <c r="AU87" s="44" t="str">
        <f>VLOOKUP(AT87,المرجع!$D$3:$E$12,2)</f>
        <v>د</v>
      </c>
      <c r="AV87" s="40">
        <f t="shared" si="39"/>
        <v>4</v>
      </c>
      <c r="AW87" s="21">
        <v>2</v>
      </c>
      <c r="AX87" s="67">
        <v>60</v>
      </c>
      <c r="AY87" s="65">
        <f>VLOOKUP(AX87,المرجع!$B$3:$C$12,2)</f>
        <v>2</v>
      </c>
      <c r="AZ87" s="44" t="str">
        <f>VLOOKUP(AY87,المرجع!$D$3:$E$12,2)</f>
        <v>د</v>
      </c>
      <c r="BA87" s="40">
        <f t="shared" si="40"/>
        <v>4</v>
      </c>
      <c r="BB87" s="21">
        <v>2</v>
      </c>
      <c r="BC87" s="67">
        <v>52</v>
      </c>
      <c r="BD87" s="65">
        <f>VLOOKUP(BC87,المرجع!$B$3:$C$12,2)</f>
        <v>2</v>
      </c>
      <c r="BE87" s="44" t="str">
        <f>VLOOKUP(BD87,المرجع!$D$3:$E$12,2)</f>
        <v>د</v>
      </c>
      <c r="BF87" s="40">
        <f t="shared" si="41"/>
        <v>4</v>
      </c>
      <c r="BG87" s="21">
        <v>2</v>
      </c>
      <c r="BH87" s="67">
        <v>55</v>
      </c>
      <c r="BI87" s="65">
        <f>VLOOKUP(BH87,المرجع!$B$3:$C$12,2)</f>
        <v>2</v>
      </c>
      <c r="BJ87" s="44" t="str">
        <f>VLOOKUP(BI87,المرجع!$D$3:$E$12,2)</f>
        <v>د</v>
      </c>
      <c r="BK87" s="40">
        <f t="shared" si="42"/>
        <v>4</v>
      </c>
      <c r="BL87" s="72">
        <f t="shared" si="46"/>
        <v>42</v>
      </c>
      <c r="BM87" s="73">
        <f t="shared" si="43"/>
        <v>23</v>
      </c>
      <c r="BN87" s="74">
        <f t="shared" si="44"/>
        <v>1.826086956521739</v>
      </c>
      <c r="BO87" s="75"/>
      <c r="BP87" s="76" t="str">
        <f>VLOOKUP(BN87,المرجع!$D$3:$F$12,3)</f>
        <v>راسب</v>
      </c>
      <c r="BQ87" s="77">
        <f t="shared" si="45"/>
        <v>84</v>
      </c>
    </row>
    <row r="88" spans="2:69" ht="28.5">
      <c r="B88" s="66">
        <v>2023049</v>
      </c>
      <c r="C88" s="70" t="s">
        <v>167</v>
      </c>
      <c r="D88" s="21">
        <v>1</v>
      </c>
      <c r="E88" s="67">
        <v>87</v>
      </c>
      <c r="F88" s="65">
        <f>VLOOKUP(E88,المرجع!$B$3:$C$12,2)</f>
        <v>4.5</v>
      </c>
      <c r="G88" s="44" t="str">
        <f>VLOOKUP(F88,المرجع!$D$3:$E$12,2)</f>
        <v>ب+</v>
      </c>
      <c r="H88" s="40">
        <f t="shared" si="31"/>
        <v>4.5</v>
      </c>
      <c r="I88" s="21">
        <v>2</v>
      </c>
      <c r="J88" s="67">
        <v>70</v>
      </c>
      <c r="K88" s="65">
        <f>VLOOKUP(J88,المرجع!$B$3:$C$12,2)</f>
        <v>3</v>
      </c>
      <c r="L88" s="44" t="str">
        <f>VLOOKUP(K88,المرجع!$D$3:$E$12,2)</f>
        <v>ج</v>
      </c>
      <c r="M88" s="40">
        <f t="shared" si="32"/>
        <v>6</v>
      </c>
      <c r="N88" s="21">
        <v>2</v>
      </c>
      <c r="O88" s="67">
        <v>57</v>
      </c>
      <c r="P88" s="65">
        <f>VLOOKUP(O88,المرجع!$B$3:$C$12,2)</f>
        <v>2</v>
      </c>
      <c r="Q88" s="44" t="str">
        <f>VLOOKUP(P88,المرجع!$D$3:$E$12,2)</f>
        <v>د</v>
      </c>
      <c r="R88" s="40">
        <f t="shared" si="33"/>
        <v>4</v>
      </c>
      <c r="S88" s="21">
        <v>2</v>
      </c>
      <c r="T88" s="67">
        <v>75</v>
      </c>
      <c r="U88" s="65">
        <f>VLOOKUP(T88,المرجع!$B$3:$C$12,2)</f>
        <v>3.5</v>
      </c>
      <c r="V88" s="44" t="str">
        <f>VLOOKUP(U88,المرجع!$D$3:$E$12,2)</f>
        <v>ج+</v>
      </c>
      <c r="W88" s="40">
        <f t="shared" si="34"/>
        <v>7</v>
      </c>
      <c r="X88" s="21">
        <v>2</v>
      </c>
      <c r="Y88" s="67">
        <v>65</v>
      </c>
      <c r="Z88" s="65">
        <f>VLOOKUP(Y88,المرجع!$B$3:$C$12,2)</f>
        <v>2.5</v>
      </c>
      <c r="AA88" s="44" t="str">
        <f>VLOOKUP(Z88,المرجع!$D$3:$E$12,2)</f>
        <v>د+</v>
      </c>
      <c r="AB88" s="40">
        <f t="shared" si="35"/>
        <v>5</v>
      </c>
      <c r="AC88" s="21">
        <v>2</v>
      </c>
      <c r="AD88" s="67">
        <v>23</v>
      </c>
      <c r="AE88" s="65">
        <f>VLOOKUP(AD88,المرجع!$B$3:$C$12,2)</f>
        <v>0</v>
      </c>
      <c r="AF88" s="44" t="str">
        <f>VLOOKUP(AE88,المرجع!$D$3:$E$12,2)</f>
        <v>ه</v>
      </c>
      <c r="AG88" s="40">
        <f t="shared" si="36"/>
        <v>0</v>
      </c>
      <c r="AH88" s="21">
        <v>2</v>
      </c>
      <c r="AI88" s="67">
        <v>50</v>
      </c>
      <c r="AJ88" s="65">
        <f>VLOOKUP(AI88,المرجع!$B$3:$C$12,2)</f>
        <v>2</v>
      </c>
      <c r="AK88" s="44" t="str">
        <f>VLOOKUP(AJ88,المرجع!$D$3:$E$12,2)</f>
        <v>د</v>
      </c>
      <c r="AL88" s="40">
        <f t="shared" si="37"/>
        <v>4</v>
      </c>
      <c r="AM88" s="21">
        <v>2</v>
      </c>
      <c r="AN88" s="67">
        <v>67</v>
      </c>
      <c r="AO88" s="65">
        <f>VLOOKUP(AN88,المرجع!$B$3:$C$12,2)</f>
        <v>2.5</v>
      </c>
      <c r="AP88" s="44" t="str">
        <f>VLOOKUP(AO88,المرجع!$D$3:$E$12,2)</f>
        <v>د+</v>
      </c>
      <c r="AQ88" s="40">
        <f t="shared" si="38"/>
        <v>5</v>
      </c>
      <c r="AR88" s="21">
        <v>2</v>
      </c>
      <c r="AS88" s="67">
        <v>54</v>
      </c>
      <c r="AT88" s="65">
        <f>VLOOKUP(AS88,المرجع!$B$3:$C$12,2)</f>
        <v>2</v>
      </c>
      <c r="AU88" s="44" t="str">
        <f>VLOOKUP(AT88,المرجع!$D$3:$E$12,2)</f>
        <v>د</v>
      </c>
      <c r="AV88" s="40">
        <f t="shared" si="39"/>
        <v>4</v>
      </c>
      <c r="AW88" s="21">
        <v>2</v>
      </c>
      <c r="AX88" s="67">
        <v>55</v>
      </c>
      <c r="AY88" s="65">
        <f>VLOOKUP(AX88,المرجع!$B$3:$C$12,2)</f>
        <v>2</v>
      </c>
      <c r="AZ88" s="44" t="str">
        <f>VLOOKUP(AY88,المرجع!$D$3:$E$12,2)</f>
        <v>د</v>
      </c>
      <c r="BA88" s="40">
        <f t="shared" si="40"/>
        <v>4</v>
      </c>
      <c r="BB88" s="21">
        <v>2</v>
      </c>
      <c r="BC88" s="67">
        <v>50</v>
      </c>
      <c r="BD88" s="65">
        <f>VLOOKUP(BC88,المرجع!$B$3:$C$12,2)</f>
        <v>2</v>
      </c>
      <c r="BE88" s="44" t="str">
        <f>VLOOKUP(BD88,المرجع!$D$3:$E$12,2)</f>
        <v>د</v>
      </c>
      <c r="BF88" s="40">
        <f t="shared" si="41"/>
        <v>4</v>
      </c>
      <c r="BG88" s="21">
        <v>2</v>
      </c>
      <c r="BH88" s="67">
        <v>12</v>
      </c>
      <c r="BI88" s="65">
        <f>VLOOKUP(BH88,المرجع!$B$3:$C$12,2)</f>
        <v>0</v>
      </c>
      <c r="BJ88" s="44" t="str">
        <f>VLOOKUP(BI88,المرجع!$D$3:$E$12,2)</f>
        <v>ه</v>
      </c>
      <c r="BK88" s="40">
        <f t="shared" si="42"/>
        <v>0</v>
      </c>
      <c r="BL88" s="72">
        <f t="shared" si="46"/>
        <v>47.5</v>
      </c>
      <c r="BM88" s="73">
        <f t="shared" si="43"/>
        <v>23</v>
      </c>
      <c r="BN88" s="74">
        <f t="shared" si="44"/>
        <v>2.0652173913043477</v>
      </c>
      <c r="BO88" s="75"/>
      <c r="BP88" s="76" t="str">
        <f>VLOOKUP(BN88,المرجع!$D$3:$F$12,3)</f>
        <v>مقبول</v>
      </c>
      <c r="BQ88" s="77">
        <f t="shared" si="45"/>
        <v>73</v>
      </c>
    </row>
    <row r="89" spans="2:69" ht="28.5">
      <c r="B89" s="66">
        <v>2023133</v>
      </c>
      <c r="C89" s="70" t="s">
        <v>31</v>
      </c>
      <c r="D89" s="21">
        <v>1</v>
      </c>
      <c r="E89" s="67">
        <v>68</v>
      </c>
      <c r="F89" s="65">
        <f>VLOOKUP(E89,المرجع!$B$3:$C$12,2)</f>
        <v>2.5</v>
      </c>
      <c r="G89" s="44" t="str">
        <f>VLOOKUP(F89,المرجع!$D$3:$E$12,2)</f>
        <v>د+</v>
      </c>
      <c r="H89" s="40">
        <f t="shared" si="31"/>
        <v>2.5</v>
      </c>
      <c r="I89" s="21">
        <v>2</v>
      </c>
      <c r="J89" s="67">
        <v>65</v>
      </c>
      <c r="K89" s="65">
        <f>VLOOKUP(J89,المرجع!$B$3:$C$12,2)</f>
        <v>2.5</v>
      </c>
      <c r="L89" s="44" t="str">
        <f>VLOOKUP(K89,المرجع!$D$3:$E$12,2)</f>
        <v>د+</v>
      </c>
      <c r="M89" s="40">
        <f t="shared" si="32"/>
        <v>5</v>
      </c>
      <c r="N89" s="21">
        <v>2</v>
      </c>
      <c r="O89" s="67">
        <v>50</v>
      </c>
      <c r="P89" s="65">
        <f>VLOOKUP(O89,المرجع!$B$3:$C$12,2)</f>
        <v>2</v>
      </c>
      <c r="Q89" s="44" t="str">
        <f>VLOOKUP(P89,المرجع!$D$3:$E$12,2)</f>
        <v>د</v>
      </c>
      <c r="R89" s="40">
        <f t="shared" si="33"/>
        <v>4</v>
      </c>
      <c r="S89" s="21">
        <v>2</v>
      </c>
      <c r="T89" s="67">
        <v>90</v>
      </c>
      <c r="U89" s="65">
        <f>VLOOKUP(T89,المرجع!$B$3:$C$12,2)</f>
        <v>4.75</v>
      </c>
      <c r="V89" s="44" t="str">
        <f>VLOOKUP(U89,المرجع!$D$3:$E$12,2)</f>
        <v>أ</v>
      </c>
      <c r="W89" s="40">
        <f t="shared" si="34"/>
        <v>9.5</v>
      </c>
      <c r="X89" s="21">
        <v>2</v>
      </c>
      <c r="Y89" s="67">
        <v>50</v>
      </c>
      <c r="Z89" s="65">
        <f>VLOOKUP(Y89,المرجع!$B$3:$C$12,2)</f>
        <v>2</v>
      </c>
      <c r="AA89" s="44" t="str">
        <f>VLOOKUP(Z89,المرجع!$D$3:$E$12,2)</f>
        <v>د</v>
      </c>
      <c r="AB89" s="40">
        <f t="shared" si="35"/>
        <v>4</v>
      </c>
      <c r="AC89" s="21">
        <v>2</v>
      </c>
      <c r="AD89" s="67">
        <v>50</v>
      </c>
      <c r="AE89" s="65">
        <f>VLOOKUP(AD89,المرجع!$B$3:$C$12,2)</f>
        <v>2</v>
      </c>
      <c r="AF89" s="44" t="str">
        <f>VLOOKUP(AE89,المرجع!$D$3:$E$12,2)</f>
        <v>د</v>
      </c>
      <c r="AG89" s="40">
        <f t="shared" si="36"/>
        <v>4</v>
      </c>
      <c r="AH89" s="21">
        <v>2</v>
      </c>
      <c r="AI89" s="67">
        <v>50</v>
      </c>
      <c r="AJ89" s="65">
        <f>VLOOKUP(AI89,المرجع!$B$3:$C$12,2)</f>
        <v>2</v>
      </c>
      <c r="AK89" s="44" t="str">
        <f>VLOOKUP(AJ89,المرجع!$D$3:$E$12,2)</f>
        <v>د</v>
      </c>
      <c r="AL89" s="40">
        <f t="shared" si="37"/>
        <v>4</v>
      </c>
      <c r="AM89" s="21">
        <v>2</v>
      </c>
      <c r="AN89" s="67">
        <v>65</v>
      </c>
      <c r="AO89" s="65">
        <f>VLOOKUP(AN89,المرجع!$B$3:$C$12,2)</f>
        <v>2.5</v>
      </c>
      <c r="AP89" s="44" t="str">
        <f>VLOOKUP(AO89,المرجع!$D$3:$E$12,2)</f>
        <v>د+</v>
      </c>
      <c r="AQ89" s="40">
        <f t="shared" si="38"/>
        <v>5</v>
      </c>
      <c r="AR89" s="21">
        <v>2</v>
      </c>
      <c r="AS89" s="67">
        <v>56</v>
      </c>
      <c r="AT89" s="65">
        <f>VLOOKUP(AS89,المرجع!$B$3:$C$12,2)</f>
        <v>2</v>
      </c>
      <c r="AU89" s="44" t="str">
        <f>VLOOKUP(AT89,المرجع!$D$3:$E$12,2)</f>
        <v>د</v>
      </c>
      <c r="AV89" s="40">
        <f t="shared" si="39"/>
        <v>4</v>
      </c>
      <c r="AW89" s="21">
        <v>2</v>
      </c>
      <c r="AX89" s="67">
        <v>50</v>
      </c>
      <c r="AY89" s="65">
        <f>VLOOKUP(AX89,المرجع!$B$3:$C$12,2)</f>
        <v>2</v>
      </c>
      <c r="AZ89" s="44" t="str">
        <f>VLOOKUP(AY89,المرجع!$D$3:$E$12,2)</f>
        <v>د</v>
      </c>
      <c r="BA89" s="40">
        <f t="shared" si="40"/>
        <v>4</v>
      </c>
      <c r="BB89" s="21">
        <v>2</v>
      </c>
      <c r="BC89" s="67">
        <v>51</v>
      </c>
      <c r="BD89" s="65">
        <f>VLOOKUP(BC89,المرجع!$B$3:$C$12,2)</f>
        <v>2</v>
      </c>
      <c r="BE89" s="44" t="str">
        <f>VLOOKUP(BD89,المرجع!$D$3:$E$12,2)</f>
        <v>د</v>
      </c>
      <c r="BF89" s="40">
        <f t="shared" si="41"/>
        <v>4</v>
      </c>
      <c r="BG89" s="21">
        <v>2</v>
      </c>
      <c r="BH89" s="67">
        <v>69</v>
      </c>
      <c r="BI89" s="65">
        <f>VLOOKUP(BH89,المرجع!$B$3:$C$12,2)</f>
        <v>2.5</v>
      </c>
      <c r="BJ89" s="44" t="str">
        <f>VLOOKUP(BI89,المرجع!$D$3:$E$12,2)</f>
        <v>د+</v>
      </c>
      <c r="BK89" s="40">
        <f t="shared" si="42"/>
        <v>5</v>
      </c>
      <c r="BL89" s="72">
        <f t="shared" si="46"/>
        <v>45</v>
      </c>
      <c r="BM89" s="73">
        <f t="shared" si="43"/>
        <v>23</v>
      </c>
      <c r="BN89" s="74">
        <f t="shared" si="44"/>
        <v>1.9565217391304348</v>
      </c>
      <c r="BO89" s="75"/>
      <c r="BP89" s="76" t="str">
        <f>VLOOKUP(BN89,المرجع!$D$3:$F$12,3)</f>
        <v>راسب</v>
      </c>
      <c r="BQ89" s="77">
        <f t="shared" si="45"/>
        <v>80</v>
      </c>
    </row>
    <row r="90" spans="2:69" ht="28.5">
      <c r="B90" s="66">
        <v>2023010</v>
      </c>
      <c r="C90" s="70" t="s">
        <v>166</v>
      </c>
      <c r="D90" s="21">
        <v>1</v>
      </c>
      <c r="E90" s="67">
        <v>83</v>
      </c>
      <c r="F90" s="65">
        <f>VLOOKUP(E90,المرجع!$B$3:$C$12,2)</f>
        <v>4</v>
      </c>
      <c r="G90" s="44" t="str">
        <f>VLOOKUP(F90,المرجع!$D$3:$E$12,2)</f>
        <v>ب</v>
      </c>
      <c r="H90" s="40">
        <f t="shared" si="31"/>
        <v>4</v>
      </c>
      <c r="I90" s="21">
        <v>2</v>
      </c>
      <c r="J90" s="67">
        <v>70</v>
      </c>
      <c r="K90" s="65">
        <f>VLOOKUP(J90,المرجع!$B$3:$C$12,2)</f>
        <v>3</v>
      </c>
      <c r="L90" s="44" t="str">
        <f>VLOOKUP(K90,المرجع!$D$3:$E$12,2)</f>
        <v>ج</v>
      </c>
      <c r="M90" s="40">
        <f t="shared" si="32"/>
        <v>6</v>
      </c>
      <c r="N90" s="21">
        <v>2</v>
      </c>
      <c r="O90" s="67">
        <v>28</v>
      </c>
      <c r="P90" s="65">
        <f>VLOOKUP(O90,المرجع!$B$3:$C$12,2)</f>
        <v>0</v>
      </c>
      <c r="Q90" s="44" t="str">
        <f>VLOOKUP(P90,المرجع!$D$3:$E$12,2)</f>
        <v>ه</v>
      </c>
      <c r="R90" s="40">
        <f t="shared" si="33"/>
        <v>0</v>
      </c>
      <c r="S90" s="21">
        <v>2</v>
      </c>
      <c r="T90" s="67">
        <v>82</v>
      </c>
      <c r="U90" s="65">
        <f>VLOOKUP(T90,المرجع!$B$3:$C$12,2)</f>
        <v>4</v>
      </c>
      <c r="V90" s="44" t="str">
        <f>VLOOKUP(U90,المرجع!$D$3:$E$12,2)</f>
        <v>ب</v>
      </c>
      <c r="W90" s="40">
        <f t="shared" si="34"/>
        <v>8</v>
      </c>
      <c r="X90" s="21">
        <v>2</v>
      </c>
      <c r="Y90" s="67">
        <v>61</v>
      </c>
      <c r="Z90" s="65">
        <f>VLOOKUP(Y90,المرجع!$B$3:$C$12,2)</f>
        <v>2</v>
      </c>
      <c r="AA90" s="44" t="str">
        <f>VLOOKUP(Z90,المرجع!$D$3:$E$12,2)</f>
        <v>د</v>
      </c>
      <c r="AB90" s="40">
        <f t="shared" si="35"/>
        <v>4</v>
      </c>
      <c r="AC90" s="21">
        <v>2</v>
      </c>
      <c r="AD90" s="67">
        <v>23</v>
      </c>
      <c r="AE90" s="65">
        <f>VLOOKUP(AD90,المرجع!$B$3:$C$12,2)</f>
        <v>0</v>
      </c>
      <c r="AF90" s="44" t="str">
        <f>VLOOKUP(AE90,المرجع!$D$3:$E$12,2)</f>
        <v>ه</v>
      </c>
      <c r="AG90" s="40">
        <f t="shared" si="36"/>
        <v>0</v>
      </c>
      <c r="AH90" s="21">
        <v>2</v>
      </c>
      <c r="AI90" s="67">
        <v>50</v>
      </c>
      <c r="AJ90" s="65">
        <f>VLOOKUP(AI90,المرجع!$B$3:$C$12,2)</f>
        <v>2</v>
      </c>
      <c r="AK90" s="44" t="str">
        <f>VLOOKUP(AJ90,المرجع!$D$3:$E$12,2)</f>
        <v>د</v>
      </c>
      <c r="AL90" s="40">
        <f t="shared" si="37"/>
        <v>4</v>
      </c>
      <c r="AM90" s="21">
        <v>2</v>
      </c>
      <c r="AN90" s="67">
        <v>69</v>
      </c>
      <c r="AO90" s="65">
        <f>VLOOKUP(AN90,المرجع!$B$3:$C$12,2)</f>
        <v>2.5</v>
      </c>
      <c r="AP90" s="44" t="str">
        <f>VLOOKUP(AO90,المرجع!$D$3:$E$12,2)</f>
        <v>د+</v>
      </c>
      <c r="AQ90" s="40">
        <f t="shared" si="38"/>
        <v>5</v>
      </c>
      <c r="AR90" s="21">
        <v>2</v>
      </c>
      <c r="AS90" s="67">
        <v>62</v>
      </c>
      <c r="AT90" s="65">
        <f>VLOOKUP(AS90,المرجع!$B$3:$C$12,2)</f>
        <v>2</v>
      </c>
      <c r="AU90" s="44" t="str">
        <f>VLOOKUP(AT90,المرجع!$D$3:$E$12,2)</f>
        <v>د</v>
      </c>
      <c r="AV90" s="40">
        <f t="shared" si="39"/>
        <v>4</v>
      </c>
      <c r="AW90" s="21">
        <v>2</v>
      </c>
      <c r="AX90" s="67">
        <v>60</v>
      </c>
      <c r="AY90" s="65">
        <f>VLOOKUP(AX90,المرجع!$B$3:$C$12,2)</f>
        <v>2</v>
      </c>
      <c r="AZ90" s="44" t="str">
        <f>VLOOKUP(AY90,المرجع!$D$3:$E$12,2)</f>
        <v>د</v>
      </c>
      <c r="BA90" s="40">
        <f t="shared" si="40"/>
        <v>4</v>
      </c>
      <c r="BB90" s="21">
        <v>2</v>
      </c>
      <c r="BC90" s="67">
        <v>50</v>
      </c>
      <c r="BD90" s="65">
        <f>VLOOKUP(BC90,المرجع!$B$3:$C$12,2)</f>
        <v>2</v>
      </c>
      <c r="BE90" s="44" t="str">
        <f>VLOOKUP(BD90,المرجع!$D$3:$E$12,2)</f>
        <v>د</v>
      </c>
      <c r="BF90" s="40">
        <f t="shared" si="41"/>
        <v>4</v>
      </c>
      <c r="BG90" s="21">
        <v>2</v>
      </c>
      <c r="BH90" s="67">
        <v>66</v>
      </c>
      <c r="BI90" s="65">
        <f>VLOOKUP(BH90,المرجع!$B$3:$C$12,2)</f>
        <v>2.5</v>
      </c>
      <c r="BJ90" s="44" t="str">
        <f>VLOOKUP(BI90,المرجع!$D$3:$E$12,2)</f>
        <v>د+</v>
      </c>
      <c r="BK90" s="40">
        <f t="shared" si="42"/>
        <v>5</v>
      </c>
      <c r="BL90" s="72">
        <f t="shared" si="46"/>
        <v>38</v>
      </c>
      <c r="BM90" s="73">
        <f t="shared" si="43"/>
        <v>23</v>
      </c>
      <c r="BN90" s="74">
        <f t="shared" si="44"/>
        <v>1.6521739130434783</v>
      </c>
      <c r="BO90" s="75"/>
      <c r="BP90" s="76" t="str">
        <f>VLOOKUP(BN90,المرجع!$D$3:$F$12,3)</f>
        <v>راسب</v>
      </c>
      <c r="BQ90" s="77">
        <f t="shared" si="45"/>
        <v>91</v>
      </c>
    </row>
    <row r="91" spans="2:69" ht="28.5">
      <c r="B91" s="66">
        <v>2023024</v>
      </c>
      <c r="C91" s="70" t="s">
        <v>30</v>
      </c>
      <c r="D91" s="21">
        <v>1</v>
      </c>
      <c r="E91" s="67">
        <v>25</v>
      </c>
      <c r="F91" s="65">
        <f>VLOOKUP(E91,المرجع!$B$3:$C$12,2)</f>
        <v>0</v>
      </c>
      <c r="G91" s="44" t="str">
        <f>VLOOKUP(F91,المرجع!$D$3:$E$12,2)</f>
        <v>ه</v>
      </c>
      <c r="H91" s="40">
        <f t="shared" si="31"/>
        <v>0</v>
      </c>
      <c r="I91" s="21">
        <v>2</v>
      </c>
      <c r="J91" s="67">
        <v>75</v>
      </c>
      <c r="K91" s="65">
        <f>VLOOKUP(J91,المرجع!$B$3:$C$12,2)</f>
        <v>3.5</v>
      </c>
      <c r="L91" s="44" t="str">
        <f>VLOOKUP(K91,المرجع!$D$3:$E$12,2)</f>
        <v>ج+</v>
      </c>
      <c r="M91" s="40">
        <f t="shared" si="32"/>
        <v>7</v>
      </c>
      <c r="N91" s="21">
        <v>2</v>
      </c>
      <c r="O91" s="67">
        <v>25</v>
      </c>
      <c r="P91" s="65">
        <f>VLOOKUP(O91,المرجع!$B$3:$C$12,2)</f>
        <v>0</v>
      </c>
      <c r="Q91" s="44" t="str">
        <f>VLOOKUP(P91,المرجع!$D$3:$E$12,2)</f>
        <v>ه</v>
      </c>
      <c r="R91" s="40">
        <f t="shared" si="33"/>
        <v>0</v>
      </c>
      <c r="S91" s="21">
        <v>2</v>
      </c>
      <c r="T91" s="67">
        <v>95</v>
      </c>
      <c r="U91" s="65">
        <f>VLOOKUP(T91,المرجع!$B$3:$C$12,2)</f>
        <v>5</v>
      </c>
      <c r="V91" s="44" t="str">
        <f>VLOOKUP(U91,المرجع!$D$3:$E$12,2)</f>
        <v xml:space="preserve">أ+ </v>
      </c>
      <c r="W91" s="40">
        <f t="shared" si="34"/>
        <v>10</v>
      </c>
      <c r="X91" s="21">
        <v>2</v>
      </c>
      <c r="Y91" s="67">
        <v>67</v>
      </c>
      <c r="Z91" s="65">
        <f>VLOOKUP(Y91,المرجع!$B$3:$C$12,2)</f>
        <v>2.5</v>
      </c>
      <c r="AA91" s="44" t="str">
        <f>VLOOKUP(Z91,المرجع!$D$3:$E$12,2)</f>
        <v>د+</v>
      </c>
      <c r="AB91" s="40">
        <f t="shared" si="35"/>
        <v>5</v>
      </c>
      <c r="AC91" s="21">
        <v>2</v>
      </c>
      <c r="AD91" s="67">
        <v>38</v>
      </c>
      <c r="AE91" s="65">
        <f>VLOOKUP(AD91,المرجع!$B$3:$C$12,2)</f>
        <v>0</v>
      </c>
      <c r="AF91" s="44" t="str">
        <f>VLOOKUP(AE91,المرجع!$D$3:$E$12,2)</f>
        <v>ه</v>
      </c>
      <c r="AG91" s="40">
        <f t="shared" si="36"/>
        <v>0</v>
      </c>
      <c r="AH91" s="21">
        <v>2</v>
      </c>
      <c r="AI91" s="67">
        <v>50</v>
      </c>
      <c r="AJ91" s="65">
        <f>VLOOKUP(AI91,المرجع!$B$3:$C$12,2)</f>
        <v>2</v>
      </c>
      <c r="AK91" s="44" t="str">
        <f>VLOOKUP(AJ91,المرجع!$D$3:$E$12,2)</f>
        <v>د</v>
      </c>
      <c r="AL91" s="40">
        <f t="shared" si="37"/>
        <v>4</v>
      </c>
      <c r="AM91" s="21">
        <v>2</v>
      </c>
      <c r="AN91" s="67">
        <v>63</v>
      </c>
      <c r="AO91" s="65">
        <f>VLOOKUP(AN91,المرجع!$B$3:$C$12,2)</f>
        <v>2</v>
      </c>
      <c r="AP91" s="44" t="str">
        <f>VLOOKUP(AO91,المرجع!$D$3:$E$12,2)</f>
        <v>د</v>
      </c>
      <c r="AQ91" s="40">
        <f t="shared" si="38"/>
        <v>4</v>
      </c>
      <c r="AR91" s="21">
        <v>2</v>
      </c>
      <c r="AS91" s="67">
        <v>73</v>
      </c>
      <c r="AT91" s="65">
        <f>VLOOKUP(AS91,المرجع!$B$3:$C$12,2)</f>
        <v>3</v>
      </c>
      <c r="AU91" s="44" t="str">
        <f>VLOOKUP(AT91,المرجع!$D$3:$E$12,2)</f>
        <v>ج</v>
      </c>
      <c r="AV91" s="40">
        <f t="shared" si="39"/>
        <v>6</v>
      </c>
      <c r="AW91" s="21">
        <v>2</v>
      </c>
      <c r="AX91" s="67">
        <v>75</v>
      </c>
      <c r="AY91" s="65">
        <f>VLOOKUP(AX91,المرجع!$B$3:$C$12,2)</f>
        <v>3.5</v>
      </c>
      <c r="AZ91" s="44" t="str">
        <f>VLOOKUP(AY91,المرجع!$D$3:$E$12,2)</f>
        <v>ج+</v>
      </c>
      <c r="BA91" s="40">
        <f t="shared" si="40"/>
        <v>7</v>
      </c>
      <c r="BB91" s="21">
        <v>2</v>
      </c>
      <c r="BC91" s="67">
        <v>53</v>
      </c>
      <c r="BD91" s="65">
        <f>VLOOKUP(BC91,المرجع!$B$3:$C$12,2)</f>
        <v>2</v>
      </c>
      <c r="BE91" s="44" t="str">
        <f>VLOOKUP(BD91,المرجع!$D$3:$E$12,2)</f>
        <v>د</v>
      </c>
      <c r="BF91" s="40">
        <f t="shared" si="41"/>
        <v>4</v>
      </c>
      <c r="BG91" s="21">
        <v>2</v>
      </c>
      <c r="BH91" s="67">
        <v>83</v>
      </c>
      <c r="BI91" s="65">
        <f>VLOOKUP(BH91,المرجع!$B$3:$C$12,2)</f>
        <v>4</v>
      </c>
      <c r="BJ91" s="44" t="str">
        <f>VLOOKUP(BI91,المرجع!$D$3:$E$12,2)</f>
        <v>ب</v>
      </c>
      <c r="BK91" s="40">
        <f t="shared" si="42"/>
        <v>8</v>
      </c>
      <c r="BL91" s="72">
        <f t="shared" si="46"/>
        <v>39</v>
      </c>
      <c r="BM91" s="73">
        <f t="shared" si="43"/>
        <v>23</v>
      </c>
      <c r="BN91" s="74">
        <f t="shared" si="44"/>
        <v>1.6956521739130435</v>
      </c>
      <c r="BO91" s="75"/>
      <c r="BP91" s="76" t="str">
        <f>VLOOKUP(BN91,المرجع!$D$3:$F$12,3)</f>
        <v>راسب</v>
      </c>
      <c r="BQ91" s="77">
        <f t="shared" si="45"/>
        <v>89</v>
      </c>
    </row>
    <row r="92" spans="2:69" ht="28.5">
      <c r="B92" s="66">
        <v>2023052</v>
      </c>
      <c r="C92" s="70" t="s">
        <v>28</v>
      </c>
      <c r="D92" s="21">
        <v>1</v>
      </c>
      <c r="E92" s="67">
        <v>90</v>
      </c>
      <c r="F92" s="65">
        <f>VLOOKUP(E92,المرجع!$B$3:$C$12,2)</f>
        <v>4.75</v>
      </c>
      <c r="G92" s="44" t="str">
        <f>VLOOKUP(F92,المرجع!$D$3:$E$12,2)</f>
        <v>أ</v>
      </c>
      <c r="H92" s="40">
        <f t="shared" si="31"/>
        <v>4.75</v>
      </c>
      <c r="I92" s="21">
        <v>2</v>
      </c>
      <c r="J92" s="67">
        <v>68</v>
      </c>
      <c r="K92" s="65">
        <f>VLOOKUP(J92,المرجع!$B$3:$C$12,2)</f>
        <v>2.5</v>
      </c>
      <c r="L92" s="44" t="str">
        <f>VLOOKUP(K92,المرجع!$D$3:$E$12,2)</f>
        <v>د+</v>
      </c>
      <c r="M92" s="40">
        <f t="shared" si="32"/>
        <v>5</v>
      </c>
      <c r="N92" s="21">
        <v>2</v>
      </c>
      <c r="O92" s="67">
        <v>50</v>
      </c>
      <c r="P92" s="65">
        <f>VLOOKUP(O92,المرجع!$B$3:$C$12,2)</f>
        <v>2</v>
      </c>
      <c r="Q92" s="44" t="str">
        <f>VLOOKUP(P92,المرجع!$D$3:$E$12,2)</f>
        <v>د</v>
      </c>
      <c r="R92" s="40">
        <f t="shared" si="33"/>
        <v>4</v>
      </c>
      <c r="S92" s="21">
        <v>2</v>
      </c>
      <c r="T92" s="67">
        <v>66</v>
      </c>
      <c r="U92" s="65">
        <f>VLOOKUP(T92,المرجع!$B$3:$C$12,2)</f>
        <v>2.5</v>
      </c>
      <c r="V92" s="44" t="str">
        <f>VLOOKUP(U92,المرجع!$D$3:$E$12,2)</f>
        <v>د+</v>
      </c>
      <c r="W92" s="40">
        <f t="shared" si="34"/>
        <v>5</v>
      </c>
      <c r="X92" s="21">
        <v>2</v>
      </c>
      <c r="Y92" s="67">
        <v>67</v>
      </c>
      <c r="Z92" s="65">
        <f>VLOOKUP(Y92,المرجع!$B$3:$C$12,2)</f>
        <v>2.5</v>
      </c>
      <c r="AA92" s="44" t="str">
        <f>VLOOKUP(Z92,المرجع!$D$3:$E$12,2)</f>
        <v>د+</v>
      </c>
      <c r="AB92" s="40">
        <f t="shared" si="35"/>
        <v>5</v>
      </c>
      <c r="AC92" s="21">
        <v>2</v>
      </c>
      <c r="AD92" s="67">
        <v>33</v>
      </c>
      <c r="AE92" s="65">
        <f>VLOOKUP(AD92,المرجع!$B$3:$C$12,2)</f>
        <v>0</v>
      </c>
      <c r="AF92" s="44" t="str">
        <f>VLOOKUP(AE92,المرجع!$D$3:$E$12,2)</f>
        <v>ه</v>
      </c>
      <c r="AG92" s="40">
        <f t="shared" si="36"/>
        <v>0</v>
      </c>
      <c r="AH92" s="21">
        <v>2</v>
      </c>
      <c r="AI92" s="67">
        <v>50</v>
      </c>
      <c r="AJ92" s="65">
        <f>VLOOKUP(AI92,المرجع!$B$3:$C$12,2)</f>
        <v>2</v>
      </c>
      <c r="AK92" s="44" t="str">
        <f>VLOOKUP(AJ92,المرجع!$D$3:$E$12,2)</f>
        <v>د</v>
      </c>
      <c r="AL92" s="40">
        <f t="shared" si="37"/>
        <v>4</v>
      </c>
      <c r="AM92" s="21">
        <v>2</v>
      </c>
      <c r="AN92" s="67">
        <v>68</v>
      </c>
      <c r="AO92" s="65">
        <f>VLOOKUP(AN92,المرجع!$B$3:$C$12,2)</f>
        <v>2.5</v>
      </c>
      <c r="AP92" s="44" t="str">
        <f>VLOOKUP(AO92,المرجع!$D$3:$E$12,2)</f>
        <v>د+</v>
      </c>
      <c r="AQ92" s="40">
        <f t="shared" si="38"/>
        <v>5</v>
      </c>
      <c r="AR92" s="21">
        <v>2</v>
      </c>
      <c r="AS92" s="67">
        <v>62</v>
      </c>
      <c r="AT92" s="65">
        <f>VLOOKUP(AS92,المرجع!$B$3:$C$12,2)</f>
        <v>2</v>
      </c>
      <c r="AU92" s="44" t="str">
        <f>VLOOKUP(AT92,المرجع!$D$3:$E$12,2)</f>
        <v>د</v>
      </c>
      <c r="AV92" s="40">
        <f t="shared" si="39"/>
        <v>4</v>
      </c>
      <c r="AW92" s="21">
        <v>2</v>
      </c>
      <c r="AX92" s="67">
        <v>60</v>
      </c>
      <c r="AY92" s="65">
        <f>VLOOKUP(AX92,المرجع!$B$3:$C$12,2)</f>
        <v>2</v>
      </c>
      <c r="AZ92" s="44" t="str">
        <f>VLOOKUP(AY92,المرجع!$D$3:$E$12,2)</f>
        <v>د</v>
      </c>
      <c r="BA92" s="40">
        <f t="shared" si="40"/>
        <v>4</v>
      </c>
      <c r="BB92" s="21">
        <v>2</v>
      </c>
      <c r="BC92" s="67">
        <v>63</v>
      </c>
      <c r="BD92" s="65">
        <f>VLOOKUP(BC92,المرجع!$B$3:$C$12,2)</f>
        <v>2</v>
      </c>
      <c r="BE92" s="44" t="str">
        <f>VLOOKUP(BD92,المرجع!$D$3:$E$12,2)</f>
        <v>د</v>
      </c>
      <c r="BF92" s="40">
        <f t="shared" si="41"/>
        <v>4</v>
      </c>
      <c r="BG92" s="21">
        <v>2</v>
      </c>
      <c r="BH92" s="67">
        <v>15</v>
      </c>
      <c r="BI92" s="65">
        <f>VLOOKUP(BH92,المرجع!$B$3:$C$12,2)</f>
        <v>0</v>
      </c>
      <c r="BJ92" s="44" t="str">
        <f>VLOOKUP(BI92,المرجع!$D$3:$E$12,2)</f>
        <v>ه</v>
      </c>
      <c r="BK92" s="40">
        <f t="shared" si="42"/>
        <v>0</v>
      </c>
      <c r="BL92" s="72">
        <f t="shared" si="46"/>
        <v>44.75</v>
      </c>
      <c r="BM92" s="73">
        <f t="shared" si="43"/>
        <v>23</v>
      </c>
      <c r="BN92" s="74">
        <f t="shared" si="44"/>
        <v>1.9456521739130435</v>
      </c>
      <c r="BO92" s="75"/>
      <c r="BP92" s="76" t="str">
        <f>VLOOKUP(BN92,المرجع!$D$3:$F$12,3)</f>
        <v>راسب</v>
      </c>
      <c r="BQ92" s="77">
        <f t="shared" si="45"/>
        <v>81</v>
      </c>
    </row>
    <row r="93" spans="2:69" ht="28.5">
      <c r="B93" s="66">
        <v>2023149</v>
      </c>
      <c r="C93" s="70" t="s">
        <v>95</v>
      </c>
      <c r="D93" s="21">
        <v>1</v>
      </c>
      <c r="E93" s="67">
        <v>75</v>
      </c>
      <c r="F93" s="65">
        <f>VLOOKUP(E93,المرجع!$B$3:$C$12,2)</f>
        <v>3.5</v>
      </c>
      <c r="G93" s="44" t="str">
        <f>VLOOKUP(F93,المرجع!$D$3:$E$12,2)</f>
        <v>ج+</v>
      </c>
      <c r="H93" s="40">
        <f t="shared" si="31"/>
        <v>3.5</v>
      </c>
      <c r="I93" s="21">
        <v>2</v>
      </c>
      <c r="J93" s="67">
        <v>70</v>
      </c>
      <c r="K93" s="65">
        <f>VLOOKUP(J93,المرجع!$B$3:$C$12,2)</f>
        <v>3</v>
      </c>
      <c r="L93" s="44" t="str">
        <f>VLOOKUP(K93,المرجع!$D$3:$E$12,2)</f>
        <v>ج</v>
      </c>
      <c r="M93" s="40">
        <f t="shared" si="32"/>
        <v>6</v>
      </c>
      <c r="N93" s="21">
        <v>2</v>
      </c>
      <c r="O93" s="67">
        <v>50</v>
      </c>
      <c r="P93" s="65">
        <f>VLOOKUP(O93,المرجع!$B$3:$C$12,2)</f>
        <v>2</v>
      </c>
      <c r="Q93" s="44" t="str">
        <f>VLOOKUP(P93,المرجع!$D$3:$E$12,2)</f>
        <v>د</v>
      </c>
      <c r="R93" s="40">
        <f t="shared" si="33"/>
        <v>4</v>
      </c>
      <c r="S93" s="21">
        <v>2</v>
      </c>
      <c r="T93" s="67">
        <v>50</v>
      </c>
      <c r="U93" s="65">
        <f>VLOOKUP(T93,المرجع!$B$3:$C$12,2)</f>
        <v>2</v>
      </c>
      <c r="V93" s="44" t="str">
        <f>VLOOKUP(U93,المرجع!$D$3:$E$12,2)</f>
        <v>د</v>
      </c>
      <c r="W93" s="40">
        <f t="shared" si="34"/>
        <v>4</v>
      </c>
      <c r="X93" s="21">
        <v>2</v>
      </c>
      <c r="Y93" s="67">
        <v>51</v>
      </c>
      <c r="Z93" s="65">
        <f>VLOOKUP(Y93,المرجع!$B$3:$C$12,2)</f>
        <v>2</v>
      </c>
      <c r="AA93" s="44" t="str">
        <f>VLOOKUP(Z93,المرجع!$D$3:$E$12,2)</f>
        <v>د</v>
      </c>
      <c r="AB93" s="40">
        <f t="shared" si="35"/>
        <v>4</v>
      </c>
      <c r="AC93" s="21">
        <v>2</v>
      </c>
      <c r="AD93" s="67">
        <v>33</v>
      </c>
      <c r="AE93" s="65">
        <f>VLOOKUP(AD93,المرجع!$B$3:$C$12,2)</f>
        <v>0</v>
      </c>
      <c r="AF93" s="44" t="str">
        <f>VLOOKUP(AE93,المرجع!$D$3:$E$12,2)</f>
        <v>ه</v>
      </c>
      <c r="AG93" s="40">
        <f t="shared" si="36"/>
        <v>0</v>
      </c>
      <c r="AH93" s="21">
        <v>2</v>
      </c>
      <c r="AI93" s="67">
        <v>50</v>
      </c>
      <c r="AJ93" s="65">
        <f>VLOOKUP(AI93,المرجع!$B$3:$C$12,2)</f>
        <v>2</v>
      </c>
      <c r="AK93" s="44" t="str">
        <f>VLOOKUP(AJ93,المرجع!$D$3:$E$12,2)</f>
        <v>د</v>
      </c>
      <c r="AL93" s="40">
        <f t="shared" si="37"/>
        <v>4</v>
      </c>
      <c r="AM93" s="21">
        <v>2</v>
      </c>
      <c r="AN93" s="67">
        <v>51</v>
      </c>
      <c r="AO93" s="65">
        <f>VLOOKUP(AN93,المرجع!$B$3:$C$12,2)</f>
        <v>2</v>
      </c>
      <c r="AP93" s="44" t="str">
        <f>VLOOKUP(AO93,المرجع!$D$3:$E$12,2)</f>
        <v>د</v>
      </c>
      <c r="AQ93" s="40">
        <f t="shared" si="38"/>
        <v>4</v>
      </c>
      <c r="AR93" s="21">
        <v>2</v>
      </c>
      <c r="AS93" s="67">
        <v>65</v>
      </c>
      <c r="AT93" s="65">
        <f>VLOOKUP(AS93,المرجع!$B$3:$C$12,2)</f>
        <v>2.5</v>
      </c>
      <c r="AU93" s="44" t="str">
        <f>VLOOKUP(AT93,المرجع!$D$3:$E$12,2)</f>
        <v>د+</v>
      </c>
      <c r="AV93" s="40">
        <f t="shared" si="39"/>
        <v>5</v>
      </c>
      <c r="AW93" s="21">
        <v>2</v>
      </c>
      <c r="AX93" s="67">
        <v>50</v>
      </c>
      <c r="AY93" s="65">
        <f>VLOOKUP(AX93,المرجع!$B$3:$C$12,2)</f>
        <v>2</v>
      </c>
      <c r="AZ93" s="44" t="str">
        <f>VLOOKUP(AY93,المرجع!$D$3:$E$12,2)</f>
        <v>د</v>
      </c>
      <c r="BA93" s="40">
        <f t="shared" si="40"/>
        <v>4</v>
      </c>
      <c r="BB93" s="21">
        <v>2</v>
      </c>
      <c r="BC93" s="67">
        <v>54</v>
      </c>
      <c r="BD93" s="65">
        <f>VLOOKUP(BC93,المرجع!$B$3:$C$12,2)</f>
        <v>2</v>
      </c>
      <c r="BE93" s="44" t="str">
        <f>VLOOKUP(BD93,المرجع!$D$3:$E$12,2)</f>
        <v>د</v>
      </c>
      <c r="BF93" s="40">
        <f t="shared" si="41"/>
        <v>4</v>
      </c>
      <c r="BG93" s="21">
        <v>2</v>
      </c>
      <c r="BH93" s="67">
        <v>52</v>
      </c>
      <c r="BI93" s="65">
        <f>VLOOKUP(BH93,المرجع!$B$3:$C$12,2)</f>
        <v>2</v>
      </c>
      <c r="BJ93" s="44" t="str">
        <f>VLOOKUP(BI93,المرجع!$D$3:$E$12,2)</f>
        <v>د</v>
      </c>
      <c r="BK93" s="40">
        <f t="shared" si="42"/>
        <v>4</v>
      </c>
      <c r="BL93" s="72">
        <f t="shared" si="46"/>
        <v>38.5</v>
      </c>
      <c r="BM93" s="73">
        <f t="shared" si="43"/>
        <v>23</v>
      </c>
      <c r="BN93" s="74">
        <f t="shared" si="44"/>
        <v>1.673913043478261</v>
      </c>
      <c r="BO93" s="75"/>
      <c r="BP93" s="76" t="str">
        <f>VLOOKUP(BN93,المرجع!$D$3:$F$12,3)</f>
        <v>راسب</v>
      </c>
      <c r="BQ93" s="77">
        <f t="shared" si="45"/>
        <v>90</v>
      </c>
    </row>
    <row r="94" spans="2:69" ht="28.5">
      <c r="B94" s="66">
        <v>2023076</v>
      </c>
      <c r="C94" s="70" t="s">
        <v>82</v>
      </c>
      <c r="D94" s="21">
        <v>1</v>
      </c>
      <c r="E94" s="67">
        <v>70</v>
      </c>
      <c r="F94" s="65">
        <f>VLOOKUP(E94,المرجع!$B$3:$C$12,2)</f>
        <v>3</v>
      </c>
      <c r="G94" s="44" t="str">
        <f>VLOOKUP(F94,المرجع!$D$3:$E$12,2)</f>
        <v>ج</v>
      </c>
      <c r="H94" s="40">
        <f t="shared" si="31"/>
        <v>3</v>
      </c>
      <c r="I94" s="21">
        <v>2</v>
      </c>
      <c r="J94" s="67">
        <v>65</v>
      </c>
      <c r="K94" s="65">
        <f>VLOOKUP(J94,المرجع!$B$3:$C$12,2)</f>
        <v>2.5</v>
      </c>
      <c r="L94" s="44" t="str">
        <f>VLOOKUP(K94,المرجع!$D$3:$E$12,2)</f>
        <v>د+</v>
      </c>
      <c r="M94" s="40">
        <f t="shared" si="32"/>
        <v>5</v>
      </c>
      <c r="N94" s="21">
        <v>2</v>
      </c>
      <c r="O94" s="67">
        <v>50</v>
      </c>
      <c r="P94" s="65">
        <f>VLOOKUP(O94,المرجع!$B$3:$C$12,2)</f>
        <v>2</v>
      </c>
      <c r="Q94" s="44" t="str">
        <f>VLOOKUP(P94,المرجع!$D$3:$E$12,2)</f>
        <v>د</v>
      </c>
      <c r="R94" s="40">
        <f t="shared" si="33"/>
        <v>4</v>
      </c>
      <c r="S94" s="21">
        <v>2</v>
      </c>
      <c r="T94" s="67">
        <v>81</v>
      </c>
      <c r="U94" s="65">
        <f>VLOOKUP(T94,المرجع!$B$3:$C$12,2)</f>
        <v>4</v>
      </c>
      <c r="V94" s="44" t="str">
        <f>VLOOKUP(U94,المرجع!$D$3:$E$12,2)</f>
        <v>ب</v>
      </c>
      <c r="W94" s="40">
        <f t="shared" si="34"/>
        <v>8</v>
      </c>
      <c r="X94" s="21">
        <v>2</v>
      </c>
      <c r="Y94" s="67">
        <v>55</v>
      </c>
      <c r="Z94" s="65">
        <f>VLOOKUP(Y94,المرجع!$B$3:$C$12,2)</f>
        <v>2</v>
      </c>
      <c r="AA94" s="44" t="str">
        <f>VLOOKUP(Z94,المرجع!$D$3:$E$12,2)</f>
        <v>د</v>
      </c>
      <c r="AB94" s="40">
        <f t="shared" si="35"/>
        <v>4</v>
      </c>
      <c r="AC94" s="21">
        <v>2</v>
      </c>
      <c r="AD94" s="67">
        <v>32</v>
      </c>
      <c r="AE94" s="65">
        <f>VLOOKUP(AD94,المرجع!$B$3:$C$12,2)</f>
        <v>0</v>
      </c>
      <c r="AF94" s="44" t="str">
        <f>VLOOKUP(AE94,المرجع!$D$3:$E$12,2)</f>
        <v>ه</v>
      </c>
      <c r="AG94" s="40">
        <f t="shared" si="36"/>
        <v>0</v>
      </c>
      <c r="AH94" s="21">
        <v>2</v>
      </c>
      <c r="AI94" s="67">
        <v>50</v>
      </c>
      <c r="AJ94" s="65">
        <f>VLOOKUP(AI94,المرجع!$B$3:$C$12,2)</f>
        <v>2</v>
      </c>
      <c r="AK94" s="44" t="str">
        <f>VLOOKUP(AJ94,المرجع!$D$3:$E$12,2)</f>
        <v>د</v>
      </c>
      <c r="AL94" s="40">
        <f t="shared" si="37"/>
        <v>4</v>
      </c>
      <c r="AM94" s="21">
        <v>2</v>
      </c>
      <c r="AN94" s="67">
        <v>59</v>
      </c>
      <c r="AO94" s="65">
        <f>VLOOKUP(AN94,المرجع!$B$3:$C$12,2)</f>
        <v>2</v>
      </c>
      <c r="AP94" s="44" t="str">
        <f>VLOOKUP(AO94,المرجع!$D$3:$E$12,2)</f>
        <v>د</v>
      </c>
      <c r="AQ94" s="40">
        <f t="shared" si="38"/>
        <v>4</v>
      </c>
      <c r="AR94" s="21">
        <v>2</v>
      </c>
      <c r="AS94" s="67">
        <v>58</v>
      </c>
      <c r="AT94" s="65">
        <f>VLOOKUP(AS94,المرجع!$B$3:$C$12,2)</f>
        <v>2</v>
      </c>
      <c r="AU94" s="44" t="str">
        <f>VLOOKUP(AT94,المرجع!$D$3:$E$12,2)</f>
        <v>د</v>
      </c>
      <c r="AV94" s="40">
        <f t="shared" si="39"/>
        <v>4</v>
      </c>
      <c r="AW94" s="21">
        <v>2</v>
      </c>
      <c r="AX94" s="67">
        <v>55</v>
      </c>
      <c r="AY94" s="65">
        <f>VLOOKUP(AX94,المرجع!$B$3:$C$12,2)</f>
        <v>2</v>
      </c>
      <c r="AZ94" s="44" t="str">
        <f>VLOOKUP(AY94,المرجع!$D$3:$E$12,2)</f>
        <v>د</v>
      </c>
      <c r="BA94" s="40">
        <f t="shared" si="40"/>
        <v>4</v>
      </c>
      <c r="BB94" s="21">
        <v>2</v>
      </c>
      <c r="BC94" s="67">
        <v>50</v>
      </c>
      <c r="BD94" s="65">
        <f>VLOOKUP(BC94,المرجع!$B$3:$C$12,2)</f>
        <v>2</v>
      </c>
      <c r="BE94" s="44" t="str">
        <f>VLOOKUP(BD94,المرجع!$D$3:$E$12,2)</f>
        <v>د</v>
      </c>
      <c r="BF94" s="40">
        <f t="shared" si="41"/>
        <v>4</v>
      </c>
      <c r="BG94" s="21">
        <v>2</v>
      </c>
      <c r="BH94" s="67">
        <v>61</v>
      </c>
      <c r="BI94" s="65">
        <f>VLOOKUP(BH94,المرجع!$B$3:$C$12,2)</f>
        <v>2</v>
      </c>
      <c r="BJ94" s="44" t="str">
        <f>VLOOKUP(BI94,المرجع!$D$3:$E$12,2)</f>
        <v>د</v>
      </c>
      <c r="BK94" s="40">
        <f t="shared" si="42"/>
        <v>4</v>
      </c>
      <c r="BL94" s="72">
        <f t="shared" si="46"/>
        <v>40</v>
      </c>
      <c r="BM94" s="73">
        <f t="shared" si="43"/>
        <v>23</v>
      </c>
      <c r="BN94" s="74">
        <f t="shared" si="44"/>
        <v>1.7391304347826086</v>
      </c>
      <c r="BO94" s="75"/>
      <c r="BP94" s="76" t="str">
        <f>VLOOKUP(BN94,المرجع!$D$3:$F$12,3)</f>
        <v>راسب</v>
      </c>
      <c r="BQ94" s="77">
        <f t="shared" si="45"/>
        <v>87</v>
      </c>
    </row>
    <row r="95" spans="2:69" ht="28.5">
      <c r="B95" s="66">
        <v>2023006</v>
      </c>
      <c r="C95" s="70" t="s">
        <v>33</v>
      </c>
      <c r="D95" s="21">
        <v>1</v>
      </c>
      <c r="E95" s="67">
        <v>72</v>
      </c>
      <c r="F95" s="65">
        <f>VLOOKUP(E95,المرجع!$B$3:$C$12,2)</f>
        <v>3</v>
      </c>
      <c r="G95" s="44" t="str">
        <f>VLOOKUP(F95,المرجع!$D$3:$E$12,2)</f>
        <v>ج</v>
      </c>
      <c r="H95" s="40">
        <f t="shared" si="31"/>
        <v>3</v>
      </c>
      <c r="I95" s="21">
        <v>2</v>
      </c>
      <c r="J95" s="67">
        <v>70</v>
      </c>
      <c r="K95" s="65">
        <f>VLOOKUP(J95,المرجع!$B$3:$C$12,2)</f>
        <v>3</v>
      </c>
      <c r="L95" s="44" t="str">
        <f>VLOOKUP(K95,المرجع!$D$3:$E$12,2)</f>
        <v>ج</v>
      </c>
      <c r="M95" s="40">
        <f t="shared" si="32"/>
        <v>6</v>
      </c>
      <c r="N95" s="21">
        <v>2</v>
      </c>
      <c r="O95" s="67">
        <v>50</v>
      </c>
      <c r="P95" s="65">
        <f>VLOOKUP(O95,المرجع!$B$3:$C$12,2)</f>
        <v>2</v>
      </c>
      <c r="Q95" s="44" t="str">
        <f>VLOOKUP(P95,المرجع!$D$3:$E$12,2)</f>
        <v>د</v>
      </c>
      <c r="R95" s="40">
        <f t="shared" si="33"/>
        <v>4</v>
      </c>
      <c r="S95" s="21">
        <v>2</v>
      </c>
      <c r="T95" s="67">
        <v>55</v>
      </c>
      <c r="U95" s="65">
        <f>VLOOKUP(T95,المرجع!$B$3:$C$12,2)</f>
        <v>2</v>
      </c>
      <c r="V95" s="44" t="str">
        <f>VLOOKUP(U95,المرجع!$D$3:$E$12,2)</f>
        <v>د</v>
      </c>
      <c r="W95" s="40">
        <f t="shared" si="34"/>
        <v>4</v>
      </c>
      <c r="X95" s="21">
        <v>2</v>
      </c>
      <c r="Y95" s="67">
        <v>38</v>
      </c>
      <c r="Z95" s="65">
        <f>VLOOKUP(Y95,المرجع!$B$3:$C$12,2)</f>
        <v>0</v>
      </c>
      <c r="AA95" s="44" t="str">
        <f>VLOOKUP(Z95,المرجع!$D$3:$E$12,2)</f>
        <v>ه</v>
      </c>
      <c r="AB95" s="40">
        <f t="shared" si="35"/>
        <v>0</v>
      </c>
      <c r="AC95" s="21">
        <v>2</v>
      </c>
      <c r="AD95" s="67">
        <v>35</v>
      </c>
      <c r="AE95" s="65">
        <f>VLOOKUP(AD95,المرجع!$B$3:$C$12,2)</f>
        <v>0</v>
      </c>
      <c r="AF95" s="44" t="str">
        <f>VLOOKUP(AE95,المرجع!$D$3:$E$12,2)</f>
        <v>ه</v>
      </c>
      <c r="AG95" s="40">
        <f t="shared" si="36"/>
        <v>0</v>
      </c>
      <c r="AH95" s="21">
        <v>2</v>
      </c>
      <c r="AI95" s="67">
        <v>50</v>
      </c>
      <c r="AJ95" s="65">
        <f>VLOOKUP(AI95,المرجع!$B$3:$C$12,2)</f>
        <v>2</v>
      </c>
      <c r="AK95" s="44" t="str">
        <f>VLOOKUP(AJ95,المرجع!$D$3:$E$12,2)</f>
        <v>د</v>
      </c>
      <c r="AL95" s="40">
        <f t="shared" si="37"/>
        <v>4</v>
      </c>
      <c r="AM95" s="21">
        <v>2</v>
      </c>
      <c r="AN95" s="67">
        <v>50</v>
      </c>
      <c r="AO95" s="65">
        <f>VLOOKUP(AN95,المرجع!$B$3:$C$12,2)</f>
        <v>2</v>
      </c>
      <c r="AP95" s="44" t="str">
        <f>VLOOKUP(AO95,المرجع!$D$3:$E$12,2)</f>
        <v>د</v>
      </c>
      <c r="AQ95" s="40">
        <f t="shared" si="38"/>
        <v>4</v>
      </c>
      <c r="AR95" s="21">
        <v>2</v>
      </c>
      <c r="AS95" s="67">
        <v>56</v>
      </c>
      <c r="AT95" s="65">
        <f>VLOOKUP(AS95,المرجع!$B$3:$C$12,2)</f>
        <v>2</v>
      </c>
      <c r="AU95" s="44" t="str">
        <f>VLOOKUP(AT95,المرجع!$D$3:$E$12,2)</f>
        <v>د</v>
      </c>
      <c r="AV95" s="40">
        <f t="shared" si="39"/>
        <v>4</v>
      </c>
      <c r="AW95" s="21">
        <v>2</v>
      </c>
      <c r="AX95" s="67">
        <v>50</v>
      </c>
      <c r="AY95" s="65">
        <f>VLOOKUP(AX95,المرجع!$B$3:$C$12,2)</f>
        <v>2</v>
      </c>
      <c r="AZ95" s="44" t="str">
        <f>VLOOKUP(AY95,المرجع!$D$3:$E$12,2)</f>
        <v>د</v>
      </c>
      <c r="BA95" s="40">
        <f t="shared" si="40"/>
        <v>4</v>
      </c>
      <c r="BB95" s="21">
        <v>2</v>
      </c>
      <c r="BC95" s="67">
        <v>50</v>
      </c>
      <c r="BD95" s="65">
        <f>VLOOKUP(BC95,المرجع!$B$3:$C$12,2)</f>
        <v>2</v>
      </c>
      <c r="BE95" s="44" t="str">
        <f>VLOOKUP(BD95,المرجع!$D$3:$E$12,2)</f>
        <v>د</v>
      </c>
      <c r="BF95" s="40">
        <f t="shared" si="41"/>
        <v>4</v>
      </c>
      <c r="BG95" s="21">
        <v>2</v>
      </c>
      <c r="BH95" s="67">
        <v>33</v>
      </c>
      <c r="BI95" s="65">
        <f>VLOOKUP(BH95,المرجع!$B$3:$C$12,2)</f>
        <v>0</v>
      </c>
      <c r="BJ95" s="44" t="str">
        <f>VLOOKUP(BI95,المرجع!$D$3:$E$12,2)</f>
        <v>ه</v>
      </c>
      <c r="BK95" s="40">
        <f t="shared" si="42"/>
        <v>0</v>
      </c>
      <c r="BL95" s="72">
        <f t="shared" si="46"/>
        <v>37</v>
      </c>
      <c r="BM95" s="73">
        <f t="shared" si="43"/>
        <v>23</v>
      </c>
      <c r="BN95" s="74">
        <f t="shared" si="44"/>
        <v>1.6086956521739131</v>
      </c>
      <c r="BO95" s="75"/>
      <c r="BP95" s="76" t="str">
        <f>VLOOKUP(BN95,المرجع!$D$3:$F$12,3)</f>
        <v>راسب</v>
      </c>
      <c r="BQ95" s="77">
        <f t="shared" si="45"/>
        <v>92</v>
      </c>
    </row>
    <row r="96" spans="2:69" ht="28.5">
      <c r="B96" s="66">
        <v>2023061</v>
      </c>
      <c r="C96" s="70" t="s">
        <v>172</v>
      </c>
      <c r="D96" s="21">
        <v>1</v>
      </c>
      <c r="E96" s="67">
        <v>0</v>
      </c>
      <c r="F96" s="65">
        <f>VLOOKUP(E96,المرجع!$B$3:$C$12,2)</f>
        <v>0</v>
      </c>
      <c r="G96" s="44" t="str">
        <f>VLOOKUP(F96,المرجع!$D$3:$E$12,2)</f>
        <v>ه</v>
      </c>
      <c r="H96" s="40">
        <f t="shared" si="31"/>
        <v>0</v>
      </c>
      <c r="I96" s="21">
        <v>2</v>
      </c>
      <c r="J96" s="67">
        <v>65</v>
      </c>
      <c r="K96" s="65">
        <f>VLOOKUP(J96,المرجع!$B$3:$C$12,2)</f>
        <v>2.5</v>
      </c>
      <c r="L96" s="44" t="str">
        <f>VLOOKUP(K96,المرجع!$D$3:$E$12,2)</f>
        <v>د+</v>
      </c>
      <c r="M96" s="40">
        <f t="shared" si="32"/>
        <v>5</v>
      </c>
      <c r="N96" s="21">
        <v>2</v>
      </c>
      <c r="O96" s="67">
        <v>0</v>
      </c>
      <c r="P96" s="65">
        <f>VLOOKUP(O96,المرجع!$B$3:$C$12,2)</f>
        <v>0</v>
      </c>
      <c r="Q96" s="44" t="str">
        <f>VLOOKUP(P96,المرجع!$D$3:$E$12,2)</f>
        <v>ه</v>
      </c>
      <c r="R96" s="40">
        <f t="shared" si="33"/>
        <v>0</v>
      </c>
      <c r="S96" s="21">
        <v>2</v>
      </c>
      <c r="T96" s="67">
        <v>30</v>
      </c>
      <c r="U96" s="65">
        <f>VLOOKUP(T96,المرجع!$B$3:$C$12,2)</f>
        <v>0</v>
      </c>
      <c r="V96" s="44" t="str">
        <f>VLOOKUP(U96,المرجع!$D$3:$E$12,2)</f>
        <v>ه</v>
      </c>
      <c r="W96" s="40">
        <f t="shared" si="34"/>
        <v>0</v>
      </c>
      <c r="X96" s="21">
        <v>2</v>
      </c>
      <c r="Y96" s="67">
        <v>30</v>
      </c>
      <c r="Z96" s="65">
        <f>VLOOKUP(Y96,المرجع!$B$3:$C$12,2)</f>
        <v>0</v>
      </c>
      <c r="AA96" s="44" t="str">
        <f>VLOOKUP(Z96,المرجع!$D$3:$E$12,2)</f>
        <v>ه</v>
      </c>
      <c r="AB96" s="40">
        <f t="shared" si="35"/>
        <v>0</v>
      </c>
      <c r="AC96" s="21">
        <v>2</v>
      </c>
      <c r="AD96" s="67">
        <v>1</v>
      </c>
      <c r="AE96" s="65">
        <f>VLOOKUP(AD96,المرجع!$B$3:$C$12,2)</f>
        <v>0</v>
      </c>
      <c r="AF96" s="44" t="str">
        <f>VLOOKUP(AE96,المرجع!$D$3:$E$12,2)</f>
        <v>ه</v>
      </c>
      <c r="AG96" s="40">
        <f t="shared" si="36"/>
        <v>0</v>
      </c>
      <c r="AH96" s="21">
        <v>2</v>
      </c>
      <c r="AI96" s="67">
        <v>40</v>
      </c>
      <c r="AJ96" s="65">
        <f>VLOOKUP(AI96,المرجع!$B$3:$C$12,2)</f>
        <v>0</v>
      </c>
      <c r="AK96" s="44" t="str">
        <f>VLOOKUP(AJ96,المرجع!$D$3:$E$12,2)</f>
        <v>ه</v>
      </c>
      <c r="AL96" s="40">
        <f t="shared" si="37"/>
        <v>0</v>
      </c>
      <c r="AM96" s="21">
        <v>2</v>
      </c>
      <c r="AN96" s="67">
        <v>65</v>
      </c>
      <c r="AO96" s="65">
        <f>VLOOKUP(AN96,المرجع!$B$3:$C$12,2)</f>
        <v>2.5</v>
      </c>
      <c r="AP96" s="44" t="str">
        <f>VLOOKUP(AO96,المرجع!$D$3:$E$12,2)</f>
        <v>د+</v>
      </c>
      <c r="AQ96" s="40">
        <f t="shared" si="38"/>
        <v>5</v>
      </c>
      <c r="AR96" s="21">
        <v>2</v>
      </c>
      <c r="AS96" s="67">
        <v>55</v>
      </c>
      <c r="AT96" s="65">
        <f>VLOOKUP(AS96,المرجع!$B$3:$C$12,2)</f>
        <v>2</v>
      </c>
      <c r="AU96" s="44" t="str">
        <f>VLOOKUP(AT96,المرجع!$D$3:$E$12,2)</f>
        <v>د</v>
      </c>
      <c r="AV96" s="40">
        <f t="shared" si="39"/>
        <v>4</v>
      </c>
      <c r="AW96" s="21">
        <v>2</v>
      </c>
      <c r="AX96" s="67">
        <v>40</v>
      </c>
      <c r="AY96" s="65">
        <f>VLOOKUP(AX96,المرجع!$B$3:$C$12,2)</f>
        <v>0</v>
      </c>
      <c r="AZ96" s="44" t="str">
        <f>VLOOKUP(AY96,المرجع!$D$3:$E$12,2)</f>
        <v>ه</v>
      </c>
      <c r="BA96" s="40">
        <f t="shared" si="40"/>
        <v>0</v>
      </c>
      <c r="BB96" s="21">
        <v>2</v>
      </c>
      <c r="BC96" s="67">
        <v>18</v>
      </c>
      <c r="BD96" s="65">
        <f>VLOOKUP(BC96,المرجع!$B$3:$C$12,2)</f>
        <v>0</v>
      </c>
      <c r="BE96" s="44" t="str">
        <f>VLOOKUP(BD96,المرجع!$D$3:$E$12,2)</f>
        <v>ه</v>
      </c>
      <c r="BF96" s="40">
        <f t="shared" si="41"/>
        <v>0</v>
      </c>
      <c r="BG96" s="21">
        <v>2</v>
      </c>
      <c r="BH96" s="67">
        <v>0</v>
      </c>
      <c r="BI96" s="65">
        <f>VLOOKUP(BH96,المرجع!$B$3:$C$12,2)</f>
        <v>0</v>
      </c>
      <c r="BJ96" s="44" t="str">
        <f>VLOOKUP(BI96,المرجع!$D$3:$E$12,2)</f>
        <v>ه</v>
      </c>
      <c r="BK96" s="40">
        <f t="shared" si="42"/>
        <v>0</v>
      </c>
      <c r="BL96" s="72">
        <f t="shared" si="46"/>
        <v>14</v>
      </c>
      <c r="BM96" s="73">
        <f t="shared" si="43"/>
        <v>23</v>
      </c>
      <c r="BN96" s="74">
        <f t="shared" si="44"/>
        <v>0.60869565217391308</v>
      </c>
      <c r="BO96" s="75"/>
      <c r="BP96" s="76" t="str">
        <f>VLOOKUP(BN96,المرجع!$D$3:$F$12,3)</f>
        <v>راسب</v>
      </c>
      <c r="BQ96" s="77">
        <f t="shared" si="45"/>
        <v>94</v>
      </c>
    </row>
    <row r="97" spans="2:69" ht="28.5">
      <c r="B97" s="66">
        <v>2023014</v>
      </c>
      <c r="C97" s="70" t="s">
        <v>168</v>
      </c>
      <c r="D97" s="21">
        <v>1</v>
      </c>
      <c r="E97" s="67">
        <v>64</v>
      </c>
      <c r="F97" s="65">
        <f>VLOOKUP(E97,المرجع!$B$3:$C$12,2)</f>
        <v>2</v>
      </c>
      <c r="G97" s="44" t="str">
        <f>VLOOKUP(F97,المرجع!$D$3:$E$12,2)</f>
        <v>د</v>
      </c>
      <c r="H97" s="40">
        <f t="shared" si="31"/>
        <v>2</v>
      </c>
      <c r="I97" s="21">
        <v>2</v>
      </c>
      <c r="J97" s="67">
        <v>0</v>
      </c>
      <c r="K97" s="65">
        <f>VLOOKUP(J97,المرجع!$B$3:$C$12,2)</f>
        <v>0</v>
      </c>
      <c r="L97" s="44" t="str">
        <f>VLOOKUP(K97,المرجع!$D$3:$E$12,2)</f>
        <v>ه</v>
      </c>
      <c r="M97" s="40">
        <f t="shared" si="32"/>
        <v>0</v>
      </c>
      <c r="N97" s="21">
        <v>2</v>
      </c>
      <c r="O97" s="67">
        <v>50</v>
      </c>
      <c r="P97" s="65">
        <f>VLOOKUP(O97,المرجع!$B$3:$C$12,2)</f>
        <v>2</v>
      </c>
      <c r="Q97" s="44" t="str">
        <f>VLOOKUP(P97,المرجع!$D$3:$E$12,2)</f>
        <v>د</v>
      </c>
      <c r="R97" s="40">
        <f t="shared" si="33"/>
        <v>4</v>
      </c>
      <c r="S97" s="21">
        <v>2</v>
      </c>
      <c r="T97" s="67">
        <v>30</v>
      </c>
      <c r="U97" s="65">
        <f>VLOOKUP(T97,المرجع!$B$3:$C$12,2)</f>
        <v>0</v>
      </c>
      <c r="V97" s="44" t="str">
        <f>VLOOKUP(U97,المرجع!$D$3:$E$12,2)</f>
        <v>ه</v>
      </c>
      <c r="W97" s="40">
        <f t="shared" si="34"/>
        <v>0</v>
      </c>
      <c r="X97" s="21">
        <v>2</v>
      </c>
      <c r="Y97" s="67">
        <v>30</v>
      </c>
      <c r="Z97" s="65">
        <f>VLOOKUP(Y97,المرجع!$B$3:$C$12,2)</f>
        <v>0</v>
      </c>
      <c r="AA97" s="44" t="str">
        <f>VLOOKUP(Z97,المرجع!$D$3:$E$12,2)</f>
        <v>ه</v>
      </c>
      <c r="AB97" s="40">
        <f t="shared" si="35"/>
        <v>0</v>
      </c>
      <c r="AC97" s="21">
        <v>2</v>
      </c>
      <c r="AD97" s="67">
        <v>0</v>
      </c>
      <c r="AE97" s="65">
        <f>VLOOKUP(AD97,المرجع!$B$3:$C$12,2)</f>
        <v>0</v>
      </c>
      <c r="AF97" s="44" t="str">
        <f>VLOOKUP(AE97,المرجع!$D$3:$E$12,2)</f>
        <v>ه</v>
      </c>
      <c r="AG97" s="40">
        <f t="shared" si="36"/>
        <v>0</v>
      </c>
      <c r="AH97" s="21">
        <v>2</v>
      </c>
      <c r="AI97" s="67">
        <v>5</v>
      </c>
      <c r="AJ97" s="65">
        <f>VLOOKUP(AI97,المرجع!$B$3:$C$12,2)</f>
        <v>0</v>
      </c>
      <c r="AK97" s="44" t="str">
        <f>VLOOKUP(AJ97,المرجع!$D$3:$E$12,2)</f>
        <v>ه</v>
      </c>
      <c r="AL97" s="40">
        <f t="shared" si="37"/>
        <v>0</v>
      </c>
      <c r="AM97" s="21">
        <v>2</v>
      </c>
      <c r="AN97" s="67">
        <v>0</v>
      </c>
      <c r="AO97" s="65">
        <f>VLOOKUP(AN97,المرجع!$B$3:$C$12,2)</f>
        <v>0</v>
      </c>
      <c r="AP97" s="44" t="str">
        <f>VLOOKUP(AO97,المرجع!$D$3:$E$12,2)</f>
        <v>ه</v>
      </c>
      <c r="AQ97" s="40">
        <f t="shared" si="38"/>
        <v>0</v>
      </c>
      <c r="AR97" s="21">
        <v>2</v>
      </c>
      <c r="AS97" s="67">
        <v>0</v>
      </c>
      <c r="AT97" s="65">
        <f>VLOOKUP(AS97,المرجع!$B$3:$C$12,2)</f>
        <v>0</v>
      </c>
      <c r="AU97" s="44" t="str">
        <f>VLOOKUP(AT97,المرجع!$D$3:$E$12,2)</f>
        <v>ه</v>
      </c>
      <c r="AV97" s="40">
        <f t="shared" si="39"/>
        <v>0</v>
      </c>
      <c r="AW97" s="21">
        <v>2</v>
      </c>
      <c r="AX97" s="67">
        <v>5</v>
      </c>
      <c r="AY97" s="65">
        <f>VLOOKUP(AX97,المرجع!$B$3:$C$12,2)</f>
        <v>0</v>
      </c>
      <c r="AZ97" s="44" t="str">
        <f>VLOOKUP(AY97,المرجع!$D$3:$E$12,2)</f>
        <v>ه</v>
      </c>
      <c r="BA97" s="40">
        <f t="shared" si="40"/>
        <v>0</v>
      </c>
      <c r="BB97" s="21">
        <v>2</v>
      </c>
      <c r="BC97" s="67">
        <v>20</v>
      </c>
      <c r="BD97" s="65">
        <f>VLOOKUP(BC97,المرجع!$B$3:$C$12,2)</f>
        <v>0</v>
      </c>
      <c r="BE97" s="44" t="str">
        <f>VLOOKUP(BD97,المرجع!$D$3:$E$12,2)</f>
        <v>ه</v>
      </c>
      <c r="BF97" s="40">
        <f t="shared" si="41"/>
        <v>0</v>
      </c>
      <c r="BG97" s="21">
        <v>2</v>
      </c>
      <c r="BH97" s="67">
        <v>39</v>
      </c>
      <c r="BI97" s="65">
        <f>VLOOKUP(BH97,المرجع!$B$3:$C$12,2)</f>
        <v>0</v>
      </c>
      <c r="BJ97" s="44" t="str">
        <f>VLOOKUP(BI97,المرجع!$D$3:$E$12,2)</f>
        <v>ه</v>
      </c>
      <c r="BK97" s="40">
        <f t="shared" si="42"/>
        <v>0</v>
      </c>
      <c r="BL97" s="72">
        <f t="shared" si="46"/>
        <v>6</v>
      </c>
      <c r="BM97" s="73">
        <f t="shared" si="43"/>
        <v>23</v>
      </c>
      <c r="BN97" s="74">
        <f t="shared" si="44"/>
        <v>0.2608695652173913</v>
      </c>
      <c r="BO97" s="75"/>
      <c r="BP97" s="76" t="str">
        <f>VLOOKUP(BN97,المرجع!$D$3:$F$12,3)</f>
        <v>راسب</v>
      </c>
      <c r="BQ97" s="77">
        <f t="shared" si="45"/>
        <v>95</v>
      </c>
    </row>
    <row r="98" spans="2:69" ht="28.5">
      <c r="B98" s="66">
        <v>2023086</v>
      </c>
      <c r="C98" s="70" t="s">
        <v>174</v>
      </c>
      <c r="D98" s="21">
        <v>1</v>
      </c>
      <c r="E98" s="67">
        <v>0</v>
      </c>
      <c r="F98" s="65">
        <f>VLOOKUP(E98,المرجع!$B$3:$C$12,2)</f>
        <v>0</v>
      </c>
      <c r="G98" s="44" t="str">
        <f>VLOOKUP(F98,المرجع!$D$3:$E$12,2)</f>
        <v>ه</v>
      </c>
      <c r="H98" s="40">
        <f t="shared" si="31"/>
        <v>0</v>
      </c>
      <c r="I98" s="21">
        <v>2</v>
      </c>
      <c r="J98" s="67">
        <v>0</v>
      </c>
      <c r="K98" s="65">
        <f>VLOOKUP(J98,المرجع!$B$3:$C$12,2)</f>
        <v>0</v>
      </c>
      <c r="L98" s="44" t="str">
        <f>VLOOKUP(K98,المرجع!$D$3:$E$12,2)</f>
        <v>ه</v>
      </c>
      <c r="M98" s="40">
        <f t="shared" si="32"/>
        <v>0</v>
      </c>
      <c r="N98" s="21">
        <v>2</v>
      </c>
      <c r="O98" s="67">
        <v>5</v>
      </c>
      <c r="P98" s="65">
        <f>VLOOKUP(O98,المرجع!$B$3:$C$12,2)</f>
        <v>0</v>
      </c>
      <c r="Q98" s="44" t="str">
        <f>VLOOKUP(P98,المرجع!$D$3:$E$12,2)</f>
        <v>ه</v>
      </c>
      <c r="R98" s="40">
        <f t="shared" si="33"/>
        <v>0</v>
      </c>
      <c r="S98" s="21">
        <v>2</v>
      </c>
      <c r="T98" s="67">
        <v>0</v>
      </c>
      <c r="U98" s="65">
        <f>VLOOKUP(T98,المرجع!$B$3:$C$12,2)</f>
        <v>0</v>
      </c>
      <c r="V98" s="44" t="str">
        <f>VLOOKUP(U98,المرجع!$D$3:$E$12,2)</f>
        <v>ه</v>
      </c>
      <c r="W98" s="40">
        <f t="shared" si="34"/>
        <v>0</v>
      </c>
      <c r="X98" s="21">
        <v>2</v>
      </c>
      <c r="Y98" s="67">
        <v>0</v>
      </c>
      <c r="Z98" s="65">
        <f>VLOOKUP(Y98,المرجع!$B$3:$C$12,2)</f>
        <v>0</v>
      </c>
      <c r="AA98" s="44" t="str">
        <f>VLOOKUP(Z98,المرجع!$D$3:$E$12,2)</f>
        <v>ه</v>
      </c>
      <c r="AB98" s="40">
        <f t="shared" si="35"/>
        <v>0</v>
      </c>
      <c r="AC98" s="21">
        <v>2</v>
      </c>
      <c r="AD98" s="67">
        <v>15</v>
      </c>
      <c r="AE98" s="65">
        <f>VLOOKUP(AD98,المرجع!$B$3:$C$12,2)</f>
        <v>0</v>
      </c>
      <c r="AF98" s="44" t="str">
        <f>VLOOKUP(AE98,المرجع!$D$3:$E$12,2)</f>
        <v>ه</v>
      </c>
      <c r="AG98" s="40">
        <f t="shared" si="36"/>
        <v>0</v>
      </c>
      <c r="AH98" s="21">
        <v>2</v>
      </c>
      <c r="AI98" s="67">
        <v>35</v>
      </c>
      <c r="AJ98" s="65">
        <f>VLOOKUP(AI98,المرجع!$B$3:$C$12,2)</f>
        <v>0</v>
      </c>
      <c r="AK98" s="44" t="str">
        <f>VLOOKUP(AJ98,المرجع!$D$3:$E$12,2)</f>
        <v>ه</v>
      </c>
      <c r="AL98" s="40">
        <f t="shared" si="37"/>
        <v>0</v>
      </c>
      <c r="AM98" s="21">
        <v>2</v>
      </c>
      <c r="AN98" s="67">
        <v>61</v>
      </c>
      <c r="AO98" s="65">
        <f>VLOOKUP(AN98,المرجع!$B$3:$C$12,2)</f>
        <v>2</v>
      </c>
      <c r="AP98" s="44" t="str">
        <f>VLOOKUP(AO98,المرجع!$D$3:$E$12,2)</f>
        <v>د</v>
      </c>
      <c r="AQ98" s="40">
        <f t="shared" si="38"/>
        <v>4</v>
      </c>
      <c r="AR98" s="21">
        <v>2</v>
      </c>
      <c r="AS98" s="67">
        <v>35</v>
      </c>
      <c r="AT98" s="65">
        <f>VLOOKUP(AS98,المرجع!$B$3:$C$12,2)</f>
        <v>0</v>
      </c>
      <c r="AU98" s="44" t="str">
        <f>VLOOKUP(AT98,المرجع!$D$3:$E$12,2)</f>
        <v>ه</v>
      </c>
      <c r="AV98" s="40">
        <f t="shared" si="39"/>
        <v>0</v>
      </c>
      <c r="AW98" s="21">
        <v>2</v>
      </c>
      <c r="AX98" s="67">
        <v>40</v>
      </c>
      <c r="AY98" s="65">
        <f>VLOOKUP(AX98,المرجع!$B$3:$C$12,2)</f>
        <v>0</v>
      </c>
      <c r="AZ98" s="44" t="str">
        <f>VLOOKUP(AY98,المرجع!$D$3:$E$12,2)</f>
        <v>ه</v>
      </c>
      <c r="BA98" s="40">
        <f t="shared" si="40"/>
        <v>0</v>
      </c>
      <c r="BB98" s="21">
        <v>2</v>
      </c>
      <c r="BC98" s="67">
        <v>0</v>
      </c>
      <c r="BD98" s="65">
        <f>VLOOKUP(BC98,المرجع!$B$3:$C$12,2)</f>
        <v>0</v>
      </c>
      <c r="BE98" s="44" t="str">
        <f>VLOOKUP(BD98,المرجع!$D$3:$E$12,2)</f>
        <v>ه</v>
      </c>
      <c r="BF98" s="40">
        <f t="shared" si="41"/>
        <v>0</v>
      </c>
      <c r="BG98" s="21">
        <v>2</v>
      </c>
      <c r="BH98" s="67">
        <v>32</v>
      </c>
      <c r="BI98" s="65">
        <f>VLOOKUP(BH98,المرجع!$B$3:$C$12,2)</f>
        <v>0</v>
      </c>
      <c r="BJ98" s="44" t="str">
        <f>VLOOKUP(BI98,المرجع!$D$3:$E$12,2)</f>
        <v>ه</v>
      </c>
      <c r="BK98" s="40">
        <f t="shared" si="42"/>
        <v>0</v>
      </c>
      <c r="BL98" s="72">
        <f t="shared" si="46"/>
        <v>4</v>
      </c>
      <c r="BM98" s="73">
        <f t="shared" si="43"/>
        <v>23</v>
      </c>
      <c r="BN98" s="74">
        <f t="shared" si="44"/>
        <v>0.17391304347826086</v>
      </c>
      <c r="BO98" s="75"/>
      <c r="BP98" s="76" t="str">
        <f>VLOOKUP(BN98,المرجع!$D$3:$F$12,3)</f>
        <v>راسب</v>
      </c>
      <c r="BQ98" s="77">
        <f t="shared" si="45"/>
        <v>96</v>
      </c>
    </row>
    <row r="99" spans="2:69" ht="18.5">
      <c r="H99" s="40"/>
      <c r="I99" s="69"/>
    </row>
  </sheetData>
  <conditionalFormatting sqref="BP2">
    <cfRule type="containsText" dxfId="5" priority="1" operator="containsText" text="راسب">
      <formula>NOT(ISERROR(SEARCH("راسب",BP2)))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G87"/>
  <sheetViews>
    <sheetView rightToLeft="1" topLeftCell="AD1" zoomScale="110" zoomScaleNormal="110" workbookViewId="0">
      <selection activeCell="I3" sqref="I3"/>
    </sheetView>
  </sheetViews>
  <sheetFormatPr defaultRowHeight="18.5"/>
  <cols>
    <col min="1" max="1" width="4.7265625" customWidth="1"/>
    <col min="2" max="2" width="10.1796875" style="4" bestFit="1" customWidth="1"/>
    <col min="3" max="3" width="20.36328125" bestFit="1" customWidth="1"/>
    <col min="4" max="9" width="4.81640625" customWidth="1"/>
    <col min="10" max="10" width="4.81640625" style="16" customWidth="1"/>
    <col min="11" max="53" width="4.81640625" customWidth="1"/>
    <col min="54" max="54" width="4.90625" customWidth="1"/>
    <col min="55" max="55" width="7" customWidth="1"/>
    <col min="56" max="56" width="7.6328125" customWidth="1"/>
    <col min="57" max="57" width="10" customWidth="1"/>
    <col min="58" max="58" width="10.81640625" customWidth="1"/>
    <col min="59" max="59" width="7.6328125" customWidth="1"/>
  </cols>
  <sheetData>
    <row r="1" spans="2:59" ht="17.399999999999999" customHeight="1">
      <c r="B1" s="3"/>
      <c r="C1" s="1"/>
      <c r="D1" s="1"/>
      <c r="E1" s="1"/>
      <c r="F1" s="1"/>
      <c r="G1" s="1"/>
      <c r="H1" s="1"/>
      <c r="I1" s="1"/>
      <c r="J1" s="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7"/>
      <c r="AZ1" s="17"/>
      <c r="BA1" s="17"/>
    </row>
    <row r="2" spans="2:59" ht="101.5">
      <c r="B2" s="3" t="s">
        <v>36</v>
      </c>
      <c r="C2" s="6" t="s">
        <v>37</v>
      </c>
      <c r="D2" s="9" t="s">
        <v>96</v>
      </c>
      <c r="E2" s="94" t="s">
        <v>38</v>
      </c>
      <c r="F2" s="10" t="s">
        <v>97</v>
      </c>
      <c r="G2" s="22" t="s">
        <v>98</v>
      </c>
      <c r="H2" s="12" t="s">
        <v>99</v>
      </c>
      <c r="I2" s="9" t="s">
        <v>96</v>
      </c>
      <c r="J2" s="2" t="s">
        <v>39</v>
      </c>
      <c r="K2" s="10" t="s">
        <v>97</v>
      </c>
      <c r="L2" s="22" t="s">
        <v>98</v>
      </c>
      <c r="M2" s="12" t="s">
        <v>99</v>
      </c>
      <c r="N2" s="9" t="s">
        <v>96</v>
      </c>
      <c r="O2" s="94" t="s">
        <v>40</v>
      </c>
      <c r="P2" s="10" t="s">
        <v>97</v>
      </c>
      <c r="Q2" s="22" t="s">
        <v>98</v>
      </c>
      <c r="R2" s="12" t="s">
        <v>99</v>
      </c>
      <c r="S2" s="9" t="s">
        <v>96</v>
      </c>
      <c r="T2" s="95" t="s">
        <v>41</v>
      </c>
      <c r="U2" s="10" t="s">
        <v>97</v>
      </c>
      <c r="V2" s="22" t="s">
        <v>98</v>
      </c>
      <c r="W2" s="12" t="s">
        <v>99</v>
      </c>
      <c r="X2" s="9" t="s">
        <v>96</v>
      </c>
      <c r="Y2" s="95" t="s">
        <v>42</v>
      </c>
      <c r="Z2" s="10" t="s">
        <v>97</v>
      </c>
      <c r="AA2" s="22" t="s">
        <v>98</v>
      </c>
      <c r="AB2" s="12" t="s">
        <v>99</v>
      </c>
      <c r="AC2" s="9" t="s">
        <v>96</v>
      </c>
      <c r="AD2" s="95" t="s">
        <v>43</v>
      </c>
      <c r="AE2" s="10" t="s">
        <v>97</v>
      </c>
      <c r="AF2" s="22" t="s">
        <v>98</v>
      </c>
      <c r="AG2" s="12" t="s">
        <v>99</v>
      </c>
      <c r="AH2" s="9" t="s">
        <v>96</v>
      </c>
      <c r="AI2" s="95" t="s">
        <v>44</v>
      </c>
      <c r="AJ2" s="10" t="s">
        <v>97</v>
      </c>
      <c r="AK2" s="22" t="s">
        <v>98</v>
      </c>
      <c r="AL2" s="12" t="s">
        <v>99</v>
      </c>
      <c r="AM2" s="9" t="s">
        <v>96</v>
      </c>
      <c r="AN2" s="2" t="s">
        <v>176</v>
      </c>
      <c r="AO2" s="10" t="s">
        <v>97</v>
      </c>
      <c r="AP2" s="22" t="s">
        <v>98</v>
      </c>
      <c r="AQ2" s="12" t="s">
        <v>99</v>
      </c>
      <c r="AR2" s="9" t="s">
        <v>96</v>
      </c>
      <c r="AS2" s="2" t="s">
        <v>45</v>
      </c>
      <c r="AT2" s="10" t="s">
        <v>97</v>
      </c>
      <c r="AU2" s="22" t="s">
        <v>98</v>
      </c>
      <c r="AV2" s="12" t="s">
        <v>99</v>
      </c>
      <c r="AW2" s="9" t="s">
        <v>96</v>
      </c>
      <c r="AX2" s="95" t="s">
        <v>46</v>
      </c>
      <c r="AY2" s="10" t="s">
        <v>97</v>
      </c>
      <c r="AZ2" s="22" t="s">
        <v>98</v>
      </c>
      <c r="BA2" s="12" t="s">
        <v>99</v>
      </c>
      <c r="BB2" s="18" t="s">
        <v>100</v>
      </c>
      <c r="BC2" s="18" t="s">
        <v>101</v>
      </c>
      <c r="BD2" s="18" t="s">
        <v>102</v>
      </c>
      <c r="BE2" s="19" t="s">
        <v>103</v>
      </c>
      <c r="BF2" s="18" t="s">
        <v>104</v>
      </c>
      <c r="BG2" s="18" t="s">
        <v>105</v>
      </c>
    </row>
    <row r="3" spans="2:59" ht="22">
      <c r="B3" s="3">
        <v>2023035</v>
      </c>
      <c r="C3" s="5" t="s">
        <v>84</v>
      </c>
      <c r="D3" s="21">
        <v>1</v>
      </c>
      <c r="E3" s="15">
        <v>100</v>
      </c>
      <c r="F3" s="11">
        <f>VLOOKUP(E3,المرجع!$B$3:$C$12,2)</f>
        <v>5</v>
      </c>
      <c r="G3" s="23" t="str">
        <f>VLOOKUP(F3,المرجع!$D$3:$E$12,2)</f>
        <v xml:space="preserve">أ+ </v>
      </c>
      <c r="H3" s="13">
        <f t="shared" ref="H3:H34" si="0">F3*D3</f>
        <v>5</v>
      </c>
      <c r="I3" s="21">
        <v>2</v>
      </c>
      <c r="J3" s="14">
        <v>100</v>
      </c>
      <c r="K3" s="11">
        <f>VLOOKUP(J3,المرجع!$B$3:$C$12,2)</f>
        <v>5</v>
      </c>
      <c r="L3" s="23" t="str">
        <f>VLOOKUP(K3,المرجع!$D$3:$E$12,2)</f>
        <v xml:space="preserve">أ+ </v>
      </c>
      <c r="M3" s="13">
        <f t="shared" ref="M3:M34" si="1">K3*I3</f>
        <v>10</v>
      </c>
      <c r="N3" s="21">
        <v>2</v>
      </c>
      <c r="O3" s="14">
        <v>100</v>
      </c>
      <c r="P3" s="11">
        <f>VLOOKUP(O3,المرجع!$B$3:$C$12,2)</f>
        <v>5</v>
      </c>
      <c r="Q3" s="23" t="str">
        <f>VLOOKUP(P3,المرجع!$D$3:$E$12,2)</f>
        <v xml:space="preserve">أ+ </v>
      </c>
      <c r="R3" s="13">
        <f t="shared" ref="R3:R34" si="2">P3*N3</f>
        <v>10</v>
      </c>
      <c r="S3" s="21">
        <v>3</v>
      </c>
      <c r="T3" s="14">
        <v>100</v>
      </c>
      <c r="U3" s="11">
        <f>VLOOKUP(T3,المرجع!$B$3:$C$12,2)</f>
        <v>5</v>
      </c>
      <c r="V3" s="23" t="str">
        <f>VLOOKUP(U3,المرجع!$D$3:$E$12,2)</f>
        <v xml:space="preserve">أ+ </v>
      </c>
      <c r="W3" s="13">
        <f t="shared" ref="W3:W34" si="3">U3*S3</f>
        <v>15</v>
      </c>
      <c r="X3" s="21">
        <v>2</v>
      </c>
      <c r="Y3" s="14">
        <v>100</v>
      </c>
      <c r="Z3" s="11">
        <f>VLOOKUP(Y3,المرجع!$B$3:$C$12,2)</f>
        <v>5</v>
      </c>
      <c r="AA3" s="23" t="str">
        <f>VLOOKUP(Z3,المرجع!$D$3:$E$12,2)</f>
        <v xml:space="preserve">أ+ </v>
      </c>
      <c r="AB3" s="13">
        <f t="shared" ref="AB3:AB34" si="4">Z3*X3</f>
        <v>10</v>
      </c>
      <c r="AC3" s="21">
        <v>3</v>
      </c>
      <c r="AD3" s="14">
        <v>94</v>
      </c>
      <c r="AE3" s="11">
        <f>VLOOKUP(AD3,المرجع!$B$3:$C$12,2)</f>
        <v>4.75</v>
      </c>
      <c r="AF3" s="23" t="str">
        <f>VLOOKUP(AE3,المرجع!$D$3:$E$12,2)</f>
        <v>أ</v>
      </c>
      <c r="AG3" s="13">
        <f t="shared" ref="AG3:AG34" si="5">AE3*AC3</f>
        <v>14.25</v>
      </c>
      <c r="AH3" s="21">
        <v>2</v>
      </c>
      <c r="AI3" s="14">
        <v>95</v>
      </c>
      <c r="AJ3" s="11">
        <f>VLOOKUP(AI3,المرجع!$B$3:$C$12,2)</f>
        <v>5</v>
      </c>
      <c r="AK3" s="23" t="str">
        <f>VLOOKUP(AJ3,المرجع!$D$3:$E$12,2)</f>
        <v xml:space="preserve">أ+ </v>
      </c>
      <c r="AL3" s="13">
        <f t="shared" ref="AL3:AL34" si="6">AJ3*AH3</f>
        <v>10</v>
      </c>
      <c r="AM3" s="21">
        <v>3</v>
      </c>
      <c r="AN3" s="14">
        <v>92</v>
      </c>
      <c r="AO3" s="11">
        <f>VLOOKUP(AN3,المرجع!$B$3:$C$12,2)</f>
        <v>4.75</v>
      </c>
      <c r="AP3" s="23" t="str">
        <f>VLOOKUP(AO3,المرجع!$D$3:$E$12,2)</f>
        <v>أ</v>
      </c>
      <c r="AQ3" s="13">
        <f t="shared" ref="AQ3:AQ34" si="7">AO3*AM3</f>
        <v>14.25</v>
      </c>
      <c r="AR3" s="21">
        <v>2</v>
      </c>
      <c r="AS3" s="14">
        <v>90</v>
      </c>
      <c r="AT3" s="11">
        <f>VLOOKUP(AS3,المرجع!$B$3:$C$12,2)</f>
        <v>4.75</v>
      </c>
      <c r="AU3" s="23" t="str">
        <f>VLOOKUP(AT3,المرجع!$D$3:$E$12,2)</f>
        <v>أ</v>
      </c>
      <c r="AV3" s="13">
        <f t="shared" ref="AV3:AV34" si="8">AT3*AR3</f>
        <v>9.5</v>
      </c>
      <c r="AW3" s="21">
        <v>2</v>
      </c>
      <c r="AX3" s="14">
        <v>100</v>
      </c>
      <c r="AY3" s="11">
        <f>VLOOKUP(AX3,المرجع!$B$3:$C$12,2)</f>
        <v>5</v>
      </c>
      <c r="AZ3" s="23" t="str">
        <f>VLOOKUP(AY3,المرجع!$D$3:$E$12,2)</f>
        <v xml:space="preserve">أ+ </v>
      </c>
      <c r="BA3" s="13">
        <f t="shared" ref="BA3:BA34" si="9">AY3*AW3</f>
        <v>10</v>
      </c>
      <c r="BB3" s="25">
        <f t="shared" ref="BB3:BB34" si="10">BA3+AV3+AQ3+AL3+AG3+AB3+W3+R3+M3+H3</f>
        <v>108</v>
      </c>
      <c r="BC3" s="26">
        <f t="shared" ref="BC3:BC34" si="11">AW3+AR3+AM3+AH3+AC3+X3+S3+N3+I3+D3</f>
        <v>22</v>
      </c>
      <c r="BD3" s="79">
        <f t="shared" ref="BD3:BD34" si="12">BB3/BC3</f>
        <v>4.9090909090909092</v>
      </c>
      <c r="BE3" s="80">
        <f>('المستوى الأول 2022'!BL3+'المستوى الثاني 2023'!BB3)/('المستوى الثاني 2023'!BC3+'المستوى الأول 2022'!BM3)</f>
        <v>4.3777777777777782</v>
      </c>
      <c r="BF3" s="28" t="str">
        <f>VLOOKUP(BE3,المرجع!$D$3:$F$12,3)</f>
        <v>جيد جد مرتفع</v>
      </c>
      <c r="BG3" s="29">
        <f t="shared" ref="BG3:BG34" si="13">RANK(BD3,$BD$3:$BD$87)</f>
        <v>1</v>
      </c>
    </row>
    <row r="4" spans="2:59" ht="22">
      <c r="B4" s="3">
        <v>2023002</v>
      </c>
      <c r="C4" s="5" t="s">
        <v>0</v>
      </c>
      <c r="D4" s="21">
        <v>1</v>
      </c>
      <c r="E4" s="15">
        <v>100</v>
      </c>
      <c r="F4" s="11">
        <f>VLOOKUP(E4,المرجع!$B$3:$C$12,2)</f>
        <v>5</v>
      </c>
      <c r="G4" s="23" t="str">
        <f>VLOOKUP(F4,المرجع!$D$3:$E$12,2)</f>
        <v xml:space="preserve">أ+ </v>
      </c>
      <c r="H4" s="13">
        <f t="shared" si="0"/>
        <v>5</v>
      </c>
      <c r="I4" s="21">
        <v>2</v>
      </c>
      <c r="J4" s="8">
        <v>97</v>
      </c>
      <c r="K4" s="11">
        <f>VLOOKUP(J4,المرجع!$B$3:$C$12,2)</f>
        <v>5</v>
      </c>
      <c r="L4" s="23" t="str">
        <f>VLOOKUP(K4,المرجع!$D$3:$E$12,2)</f>
        <v xml:space="preserve">أ+ </v>
      </c>
      <c r="M4" s="13">
        <f t="shared" si="1"/>
        <v>10</v>
      </c>
      <c r="N4" s="21">
        <v>2</v>
      </c>
      <c r="O4" s="8">
        <v>94</v>
      </c>
      <c r="P4" s="11">
        <f>VLOOKUP(O4,المرجع!$B$3:$C$12,2)</f>
        <v>4.75</v>
      </c>
      <c r="Q4" s="23" t="str">
        <f>VLOOKUP(P4,المرجع!$D$3:$E$12,2)</f>
        <v>أ</v>
      </c>
      <c r="R4" s="13">
        <f t="shared" si="2"/>
        <v>9.5</v>
      </c>
      <c r="S4" s="21">
        <v>3</v>
      </c>
      <c r="T4" s="8">
        <v>100</v>
      </c>
      <c r="U4" s="11">
        <f>VLOOKUP(T4,المرجع!$B$3:$C$12,2)</f>
        <v>5</v>
      </c>
      <c r="V4" s="23" t="str">
        <f>VLOOKUP(U4,المرجع!$D$3:$E$12,2)</f>
        <v xml:space="preserve">أ+ </v>
      </c>
      <c r="W4" s="13">
        <f t="shared" si="3"/>
        <v>15</v>
      </c>
      <c r="X4" s="21">
        <v>2</v>
      </c>
      <c r="Y4" s="8">
        <v>94</v>
      </c>
      <c r="Z4" s="11">
        <f>VLOOKUP(Y4,المرجع!$B$3:$C$12,2)</f>
        <v>4.75</v>
      </c>
      <c r="AA4" s="23" t="str">
        <f>VLOOKUP(Z4,المرجع!$D$3:$E$12,2)</f>
        <v>أ</v>
      </c>
      <c r="AB4" s="13">
        <f t="shared" si="4"/>
        <v>9.5</v>
      </c>
      <c r="AC4" s="21">
        <v>3</v>
      </c>
      <c r="AD4" s="8">
        <v>86</v>
      </c>
      <c r="AE4" s="11">
        <f>VLOOKUP(AD4,المرجع!$B$3:$C$12,2)</f>
        <v>4.5</v>
      </c>
      <c r="AF4" s="23" t="str">
        <f>VLOOKUP(AE4,المرجع!$D$3:$E$12,2)</f>
        <v>ب+</v>
      </c>
      <c r="AG4" s="13">
        <f t="shared" si="5"/>
        <v>13.5</v>
      </c>
      <c r="AH4" s="21">
        <v>2</v>
      </c>
      <c r="AI4" s="8">
        <v>90</v>
      </c>
      <c r="AJ4" s="11">
        <f>VLOOKUP(AI4,المرجع!$B$3:$C$12,2)</f>
        <v>4.75</v>
      </c>
      <c r="AK4" s="23" t="str">
        <f>VLOOKUP(AJ4,المرجع!$D$3:$E$12,2)</f>
        <v>أ</v>
      </c>
      <c r="AL4" s="13">
        <f t="shared" si="6"/>
        <v>9.5</v>
      </c>
      <c r="AM4" s="21">
        <v>3</v>
      </c>
      <c r="AN4" s="8">
        <v>96</v>
      </c>
      <c r="AO4" s="11">
        <f>VLOOKUP(AN4,المرجع!$B$3:$C$12,2)</f>
        <v>5</v>
      </c>
      <c r="AP4" s="23" t="str">
        <f>VLOOKUP(AO4,المرجع!$D$3:$E$12,2)</f>
        <v xml:space="preserve">أ+ </v>
      </c>
      <c r="AQ4" s="13">
        <f t="shared" si="7"/>
        <v>15</v>
      </c>
      <c r="AR4" s="21">
        <v>2</v>
      </c>
      <c r="AS4" s="8">
        <v>100</v>
      </c>
      <c r="AT4" s="11">
        <f>VLOOKUP(AS4,المرجع!$B$3:$C$12,2)</f>
        <v>5</v>
      </c>
      <c r="AU4" s="23" t="str">
        <f>VLOOKUP(AT4,المرجع!$D$3:$E$12,2)</f>
        <v xml:space="preserve">أ+ </v>
      </c>
      <c r="AV4" s="13">
        <f t="shared" si="8"/>
        <v>10</v>
      </c>
      <c r="AW4" s="21">
        <v>2</v>
      </c>
      <c r="AX4" s="8">
        <v>100</v>
      </c>
      <c r="AY4" s="11">
        <f>VLOOKUP(AX4,المرجع!$B$3:$C$12,2)</f>
        <v>5</v>
      </c>
      <c r="AZ4" s="23" t="str">
        <f>VLOOKUP(AY4,المرجع!$D$3:$E$12,2)</f>
        <v xml:space="preserve">أ+ </v>
      </c>
      <c r="BA4" s="13">
        <f t="shared" si="9"/>
        <v>10</v>
      </c>
      <c r="BB4" s="25">
        <f t="shared" si="10"/>
        <v>107</v>
      </c>
      <c r="BC4" s="26">
        <f t="shared" si="11"/>
        <v>22</v>
      </c>
      <c r="BD4" s="27">
        <f t="shared" si="12"/>
        <v>4.8636363636363633</v>
      </c>
      <c r="BE4" s="80">
        <f>('المستوى الأول 2022'!BL4+'المستوى الثاني 2023'!BB4)/('المستوى الثاني 2023'!BC4+'المستوى الأول 2022'!BM4)</f>
        <v>4.3555555555555552</v>
      </c>
      <c r="BF4" s="28" t="str">
        <f>VLOOKUP(BE4,المرجع!$D$3:$F$12,3)</f>
        <v>جيد جد مرتفع</v>
      </c>
      <c r="BG4" s="29">
        <f t="shared" si="13"/>
        <v>2</v>
      </c>
    </row>
    <row r="5" spans="2:59" ht="22">
      <c r="B5" s="3">
        <v>2023085</v>
      </c>
      <c r="C5" s="5" t="s">
        <v>85</v>
      </c>
      <c r="D5" s="21">
        <v>1</v>
      </c>
      <c r="E5" s="15">
        <v>100</v>
      </c>
      <c r="F5" s="11">
        <f>VLOOKUP(E5,المرجع!$B$3:$C$12,2)</f>
        <v>5</v>
      </c>
      <c r="G5" s="23" t="str">
        <f>VLOOKUP(F5,المرجع!$D$3:$E$12,2)</f>
        <v xml:space="preserve">أ+ </v>
      </c>
      <c r="H5" s="13">
        <f t="shared" si="0"/>
        <v>5</v>
      </c>
      <c r="I5" s="21">
        <v>2</v>
      </c>
      <c r="J5" s="14">
        <v>100</v>
      </c>
      <c r="K5" s="11">
        <f>VLOOKUP(J5,المرجع!$B$3:$C$12,2)</f>
        <v>5</v>
      </c>
      <c r="L5" s="23" t="str">
        <f>VLOOKUP(K5,المرجع!$D$3:$E$12,2)</f>
        <v xml:space="preserve">أ+ </v>
      </c>
      <c r="M5" s="13">
        <f t="shared" si="1"/>
        <v>10</v>
      </c>
      <c r="N5" s="21">
        <v>2</v>
      </c>
      <c r="O5" s="14">
        <v>100</v>
      </c>
      <c r="P5" s="11">
        <f>VLOOKUP(O5,المرجع!$B$3:$C$12,2)</f>
        <v>5</v>
      </c>
      <c r="Q5" s="23" t="str">
        <f>VLOOKUP(P5,المرجع!$D$3:$E$12,2)</f>
        <v xml:space="preserve">أ+ </v>
      </c>
      <c r="R5" s="13">
        <f t="shared" si="2"/>
        <v>10</v>
      </c>
      <c r="S5" s="21">
        <v>3</v>
      </c>
      <c r="T5" s="14">
        <v>100</v>
      </c>
      <c r="U5" s="11">
        <f>VLOOKUP(T5,المرجع!$B$3:$C$12,2)</f>
        <v>5</v>
      </c>
      <c r="V5" s="23" t="str">
        <f>VLOOKUP(U5,المرجع!$D$3:$E$12,2)</f>
        <v xml:space="preserve">أ+ </v>
      </c>
      <c r="W5" s="13">
        <f t="shared" si="3"/>
        <v>15</v>
      </c>
      <c r="X5" s="21">
        <v>2</v>
      </c>
      <c r="Y5" s="14">
        <v>100</v>
      </c>
      <c r="Z5" s="11">
        <f>VLOOKUP(Y5,المرجع!$B$3:$C$12,2)</f>
        <v>5</v>
      </c>
      <c r="AA5" s="23" t="str">
        <f>VLOOKUP(Z5,المرجع!$D$3:$E$12,2)</f>
        <v xml:space="preserve">أ+ </v>
      </c>
      <c r="AB5" s="13">
        <f t="shared" si="4"/>
        <v>10</v>
      </c>
      <c r="AC5" s="21">
        <v>3</v>
      </c>
      <c r="AD5" s="14">
        <v>89</v>
      </c>
      <c r="AE5" s="11">
        <f>VLOOKUP(AD5,المرجع!$B$3:$C$12,2)</f>
        <v>4.5</v>
      </c>
      <c r="AF5" s="23" t="str">
        <f>VLOOKUP(AE5,المرجع!$D$3:$E$12,2)</f>
        <v>ب+</v>
      </c>
      <c r="AG5" s="13">
        <f t="shared" si="5"/>
        <v>13.5</v>
      </c>
      <c r="AH5" s="21">
        <v>2</v>
      </c>
      <c r="AI5" s="14">
        <v>94</v>
      </c>
      <c r="AJ5" s="11">
        <f>VLOOKUP(AI5,المرجع!$B$3:$C$12,2)</f>
        <v>4.75</v>
      </c>
      <c r="AK5" s="23" t="str">
        <f>VLOOKUP(AJ5,المرجع!$D$3:$E$12,2)</f>
        <v>أ</v>
      </c>
      <c r="AL5" s="13">
        <f t="shared" si="6"/>
        <v>9.5</v>
      </c>
      <c r="AM5" s="21">
        <v>3</v>
      </c>
      <c r="AN5" s="14">
        <v>100</v>
      </c>
      <c r="AO5" s="11">
        <f>VLOOKUP(AN5,المرجع!$B$3:$C$12,2)</f>
        <v>5</v>
      </c>
      <c r="AP5" s="23" t="str">
        <f>VLOOKUP(AO5,المرجع!$D$3:$E$12,2)</f>
        <v xml:space="preserve">أ+ </v>
      </c>
      <c r="AQ5" s="13">
        <f t="shared" si="7"/>
        <v>15</v>
      </c>
      <c r="AR5" s="21">
        <v>2</v>
      </c>
      <c r="AS5" s="14">
        <v>80</v>
      </c>
      <c r="AT5" s="11">
        <f>VLOOKUP(AS5,المرجع!$B$3:$C$12,2)</f>
        <v>4</v>
      </c>
      <c r="AU5" s="23" t="str">
        <f>VLOOKUP(AT5,المرجع!$D$3:$E$12,2)</f>
        <v>ب</v>
      </c>
      <c r="AV5" s="13">
        <f t="shared" si="8"/>
        <v>8</v>
      </c>
      <c r="AW5" s="21">
        <v>2</v>
      </c>
      <c r="AX5" s="14">
        <v>100</v>
      </c>
      <c r="AY5" s="11">
        <f>VLOOKUP(AX5,المرجع!$B$3:$C$12,2)</f>
        <v>5</v>
      </c>
      <c r="AZ5" s="23" t="str">
        <f>VLOOKUP(AY5,المرجع!$D$3:$E$12,2)</f>
        <v xml:space="preserve">أ+ </v>
      </c>
      <c r="BA5" s="13">
        <f t="shared" si="9"/>
        <v>10</v>
      </c>
      <c r="BB5" s="25">
        <f t="shared" si="10"/>
        <v>106</v>
      </c>
      <c r="BC5" s="26">
        <f t="shared" si="11"/>
        <v>22</v>
      </c>
      <c r="BD5" s="27">
        <f t="shared" si="12"/>
        <v>4.8181818181818183</v>
      </c>
      <c r="BE5" s="80">
        <f>('المستوى الأول 2022'!BL5+'المستوى الثاني 2023'!BB5)/('المستوى الثاني 2023'!BC5+'المستوى الأول 2022'!BM5)</f>
        <v>4.322222222222222</v>
      </c>
      <c r="BF5" s="28" t="str">
        <f>VLOOKUP(BE5,المرجع!$D$3:$F$12,3)</f>
        <v>جيد جد مرتفع</v>
      </c>
      <c r="BG5" s="29">
        <f t="shared" si="13"/>
        <v>3</v>
      </c>
    </row>
    <row r="6" spans="2:59" ht="22">
      <c r="B6" s="3">
        <v>2023062</v>
      </c>
      <c r="C6" s="5" t="s">
        <v>47</v>
      </c>
      <c r="D6" s="21">
        <v>1</v>
      </c>
      <c r="E6" s="15">
        <v>98</v>
      </c>
      <c r="F6" s="11">
        <f>VLOOKUP(E6,المرجع!$B$3:$C$12,2)</f>
        <v>5</v>
      </c>
      <c r="G6" s="23" t="str">
        <f>VLOOKUP(F6,المرجع!$D$3:$E$12,2)</f>
        <v xml:space="preserve">أ+ </v>
      </c>
      <c r="H6" s="13">
        <f t="shared" si="0"/>
        <v>5</v>
      </c>
      <c r="I6" s="21">
        <v>2</v>
      </c>
      <c r="J6" s="8">
        <v>90</v>
      </c>
      <c r="K6" s="11">
        <f>VLOOKUP(J6,المرجع!$B$3:$C$12,2)</f>
        <v>4.75</v>
      </c>
      <c r="L6" s="23" t="str">
        <f>VLOOKUP(K6,المرجع!$D$3:$E$12,2)</f>
        <v>أ</v>
      </c>
      <c r="M6" s="13">
        <f t="shared" si="1"/>
        <v>9.5</v>
      </c>
      <c r="N6" s="21">
        <v>2</v>
      </c>
      <c r="O6" s="8">
        <v>94</v>
      </c>
      <c r="P6" s="11">
        <f>VLOOKUP(O6,المرجع!$B$3:$C$12,2)</f>
        <v>4.75</v>
      </c>
      <c r="Q6" s="23" t="str">
        <f>VLOOKUP(P6,المرجع!$D$3:$E$12,2)</f>
        <v>أ</v>
      </c>
      <c r="R6" s="13">
        <f t="shared" si="2"/>
        <v>9.5</v>
      </c>
      <c r="S6" s="21">
        <v>3</v>
      </c>
      <c r="T6" s="8">
        <v>100</v>
      </c>
      <c r="U6" s="11">
        <f>VLOOKUP(T6,المرجع!$B$3:$C$12,2)</f>
        <v>5</v>
      </c>
      <c r="V6" s="23" t="str">
        <f>VLOOKUP(U6,المرجع!$D$3:$E$12,2)</f>
        <v xml:space="preserve">أ+ </v>
      </c>
      <c r="W6" s="13">
        <f t="shared" si="3"/>
        <v>15</v>
      </c>
      <c r="X6" s="21">
        <v>2</v>
      </c>
      <c r="Y6" s="8">
        <v>91</v>
      </c>
      <c r="Z6" s="11">
        <f>VLOOKUP(Y6,المرجع!$B$3:$C$12,2)</f>
        <v>4.75</v>
      </c>
      <c r="AA6" s="23" t="str">
        <f>VLOOKUP(Z6,المرجع!$D$3:$E$12,2)</f>
        <v>أ</v>
      </c>
      <c r="AB6" s="13">
        <f t="shared" si="4"/>
        <v>9.5</v>
      </c>
      <c r="AC6" s="21">
        <v>3</v>
      </c>
      <c r="AD6" s="8">
        <v>87</v>
      </c>
      <c r="AE6" s="11">
        <f>VLOOKUP(AD6,المرجع!$B$3:$C$12,2)</f>
        <v>4.5</v>
      </c>
      <c r="AF6" s="23" t="str">
        <f>VLOOKUP(AE6,المرجع!$D$3:$E$12,2)</f>
        <v>ب+</v>
      </c>
      <c r="AG6" s="13">
        <f t="shared" si="5"/>
        <v>13.5</v>
      </c>
      <c r="AH6" s="21">
        <v>2</v>
      </c>
      <c r="AI6" s="8">
        <v>91</v>
      </c>
      <c r="AJ6" s="11">
        <f>VLOOKUP(AI6,المرجع!$B$3:$C$12,2)</f>
        <v>4.75</v>
      </c>
      <c r="AK6" s="23" t="str">
        <f>VLOOKUP(AJ6,المرجع!$D$3:$E$12,2)</f>
        <v>أ</v>
      </c>
      <c r="AL6" s="13">
        <f t="shared" si="6"/>
        <v>9.5</v>
      </c>
      <c r="AM6" s="21">
        <v>3</v>
      </c>
      <c r="AN6" s="8">
        <v>91</v>
      </c>
      <c r="AO6" s="11">
        <f>VLOOKUP(AN6,المرجع!$B$3:$C$12,2)</f>
        <v>4.75</v>
      </c>
      <c r="AP6" s="23" t="str">
        <f>VLOOKUP(AO6,المرجع!$D$3:$E$12,2)</f>
        <v>أ</v>
      </c>
      <c r="AQ6" s="13">
        <f t="shared" si="7"/>
        <v>14.25</v>
      </c>
      <c r="AR6" s="21">
        <v>2</v>
      </c>
      <c r="AS6" s="8">
        <v>93</v>
      </c>
      <c r="AT6" s="11">
        <f>VLOOKUP(AS6,المرجع!$B$3:$C$12,2)</f>
        <v>4.75</v>
      </c>
      <c r="AU6" s="23" t="str">
        <f>VLOOKUP(AT6,المرجع!$D$3:$E$12,2)</f>
        <v>أ</v>
      </c>
      <c r="AV6" s="13">
        <f t="shared" si="8"/>
        <v>9.5</v>
      </c>
      <c r="AW6" s="21">
        <v>2</v>
      </c>
      <c r="AX6" s="8">
        <v>100</v>
      </c>
      <c r="AY6" s="11">
        <f>VLOOKUP(AX6,المرجع!$B$3:$C$12,2)</f>
        <v>5</v>
      </c>
      <c r="AZ6" s="23" t="str">
        <f>VLOOKUP(AY6,المرجع!$D$3:$E$12,2)</f>
        <v xml:space="preserve">أ+ </v>
      </c>
      <c r="BA6" s="24">
        <f t="shared" si="9"/>
        <v>10</v>
      </c>
      <c r="BB6" s="25">
        <f t="shared" si="10"/>
        <v>105.25</v>
      </c>
      <c r="BC6" s="26">
        <f t="shared" si="11"/>
        <v>22</v>
      </c>
      <c r="BD6" s="27">
        <f t="shared" si="12"/>
        <v>4.7840909090909092</v>
      </c>
      <c r="BE6" s="80">
        <f>('المستوى الأول 2022'!BL6+'المستوى الثاني 2023'!BB6)/('المستوى الثاني 2023'!BC6+'المستوى الأول 2022'!BM6)</f>
        <v>4.4611111111111112</v>
      </c>
      <c r="BF6" s="28" t="str">
        <f>VLOOKUP(BE6,المرجع!$D$3:$F$12,3)</f>
        <v>جيد جد مرتفع</v>
      </c>
      <c r="BG6" s="29">
        <f t="shared" si="13"/>
        <v>4</v>
      </c>
    </row>
    <row r="7" spans="2:59" ht="22">
      <c r="B7" s="3">
        <v>2023097</v>
      </c>
      <c r="C7" s="5" t="s">
        <v>48</v>
      </c>
      <c r="D7" s="21">
        <v>1</v>
      </c>
      <c r="E7" s="15">
        <v>100</v>
      </c>
      <c r="F7" s="11">
        <f>VLOOKUP(E7,المرجع!$B$3:$C$12,2)</f>
        <v>5</v>
      </c>
      <c r="G7" s="23" t="str">
        <f>VLOOKUP(F7,المرجع!$D$3:$E$12,2)</f>
        <v xml:space="preserve">أ+ </v>
      </c>
      <c r="H7" s="13">
        <f t="shared" si="0"/>
        <v>5</v>
      </c>
      <c r="I7" s="21">
        <v>2</v>
      </c>
      <c r="J7" s="8">
        <v>99</v>
      </c>
      <c r="K7" s="11">
        <f>VLOOKUP(J7,المرجع!$B$3:$C$12,2)</f>
        <v>5</v>
      </c>
      <c r="L7" s="23" t="str">
        <f>VLOOKUP(K7,المرجع!$D$3:$E$12,2)</f>
        <v xml:space="preserve">أ+ </v>
      </c>
      <c r="M7" s="13">
        <f t="shared" si="1"/>
        <v>10</v>
      </c>
      <c r="N7" s="21">
        <v>2</v>
      </c>
      <c r="O7" s="8">
        <v>98</v>
      </c>
      <c r="P7" s="11">
        <f>VLOOKUP(O7,المرجع!$B$3:$C$12,2)</f>
        <v>5</v>
      </c>
      <c r="Q7" s="23" t="str">
        <f>VLOOKUP(P7,المرجع!$D$3:$E$12,2)</f>
        <v xml:space="preserve">أ+ </v>
      </c>
      <c r="R7" s="13">
        <f t="shared" si="2"/>
        <v>10</v>
      </c>
      <c r="S7" s="21">
        <v>3</v>
      </c>
      <c r="T7" s="8">
        <v>100</v>
      </c>
      <c r="U7" s="11">
        <f>VLOOKUP(T7,المرجع!$B$3:$C$12,2)</f>
        <v>5</v>
      </c>
      <c r="V7" s="23" t="str">
        <f>VLOOKUP(U7,المرجع!$D$3:$E$12,2)</f>
        <v xml:space="preserve">أ+ </v>
      </c>
      <c r="W7" s="13">
        <f t="shared" si="3"/>
        <v>15</v>
      </c>
      <c r="X7" s="21">
        <v>2</v>
      </c>
      <c r="Y7" s="8">
        <v>100</v>
      </c>
      <c r="Z7" s="11">
        <f>VLOOKUP(Y7,المرجع!$B$3:$C$12,2)</f>
        <v>5</v>
      </c>
      <c r="AA7" s="23" t="str">
        <f>VLOOKUP(Z7,المرجع!$D$3:$E$12,2)</f>
        <v xml:space="preserve">أ+ </v>
      </c>
      <c r="AB7" s="13">
        <f t="shared" si="4"/>
        <v>10</v>
      </c>
      <c r="AC7" s="21">
        <v>3</v>
      </c>
      <c r="AD7" s="8">
        <v>92</v>
      </c>
      <c r="AE7" s="11">
        <f>VLOOKUP(AD7,المرجع!$B$3:$C$12,2)</f>
        <v>4.75</v>
      </c>
      <c r="AF7" s="23" t="str">
        <f>VLOOKUP(AE7,المرجع!$D$3:$E$12,2)</f>
        <v>أ</v>
      </c>
      <c r="AG7" s="13">
        <f t="shared" si="5"/>
        <v>14.25</v>
      </c>
      <c r="AH7" s="21">
        <v>2</v>
      </c>
      <c r="AI7" s="8">
        <v>85</v>
      </c>
      <c r="AJ7" s="11">
        <f>VLOOKUP(AI7,المرجع!$B$3:$C$12,2)</f>
        <v>4.5</v>
      </c>
      <c r="AK7" s="23" t="str">
        <f>VLOOKUP(AJ7,المرجع!$D$3:$E$12,2)</f>
        <v>ب+</v>
      </c>
      <c r="AL7" s="13">
        <f t="shared" si="6"/>
        <v>9</v>
      </c>
      <c r="AM7" s="21">
        <v>3</v>
      </c>
      <c r="AN7" s="8">
        <v>100</v>
      </c>
      <c r="AO7" s="11">
        <f>VLOOKUP(AN7,المرجع!$B$3:$C$12,2)</f>
        <v>5</v>
      </c>
      <c r="AP7" s="23" t="str">
        <f>VLOOKUP(AO7,المرجع!$D$3:$E$12,2)</f>
        <v xml:space="preserve">أ+ </v>
      </c>
      <c r="AQ7" s="13">
        <f t="shared" si="7"/>
        <v>15</v>
      </c>
      <c r="AR7" s="21">
        <v>2</v>
      </c>
      <c r="AS7" s="8">
        <v>90</v>
      </c>
      <c r="AT7" s="11">
        <f>VLOOKUP(AS7,المرجع!$B$3:$C$12,2)</f>
        <v>4.75</v>
      </c>
      <c r="AU7" s="23" t="str">
        <f>VLOOKUP(AT7,المرجع!$D$3:$E$12,2)</f>
        <v>أ</v>
      </c>
      <c r="AV7" s="13">
        <f t="shared" si="8"/>
        <v>9.5</v>
      </c>
      <c r="AW7" s="21">
        <v>2</v>
      </c>
      <c r="AX7" s="8">
        <v>64</v>
      </c>
      <c r="AY7" s="11">
        <f>VLOOKUP(AX7,المرجع!$B$3:$C$12,2)</f>
        <v>2</v>
      </c>
      <c r="AZ7" s="23" t="str">
        <f>VLOOKUP(AY7,المرجع!$D$3:$E$12,2)</f>
        <v>د</v>
      </c>
      <c r="BA7" s="13">
        <f t="shared" si="9"/>
        <v>4</v>
      </c>
      <c r="BB7" s="25">
        <f t="shared" si="10"/>
        <v>101.75</v>
      </c>
      <c r="BC7" s="26">
        <f t="shared" si="11"/>
        <v>22</v>
      </c>
      <c r="BD7" s="27">
        <f t="shared" si="12"/>
        <v>4.625</v>
      </c>
      <c r="BE7" s="80">
        <f>('المستوى الأول 2022'!BL7+'المستوى الثاني 2023'!BB7)/('المستوى الثاني 2023'!BC7+'المستوى الأول 2022'!BM7)</f>
        <v>4.2388888888888889</v>
      </c>
      <c r="BF7" s="28" t="str">
        <f>VLOOKUP(BE7,المرجع!$D$3:$F$12,3)</f>
        <v>جيد جد مرتفع</v>
      </c>
      <c r="BG7" s="29">
        <f t="shared" si="13"/>
        <v>8</v>
      </c>
    </row>
    <row r="8" spans="2:59" ht="22">
      <c r="B8" s="3">
        <v>2023053</v>
      </c>
      <c r="C8" s="5" t="s">
        <v>86</v>
      </c>
      <c r="D8" s="21">
        <v>1</v>
      </c>
      <c r="E8" s="15">
        <v>100</v>
      </c>
      <c r="F8" s="11">
        <f>VLOOKUP(E8,المرجع!$B$3:$C$12,2)</f>
        <v>5</v>
      </c>
      <c r="G8" s="23" t="str">
        <f>VLOOKUP(F8,المرجع!$D$3:$E$12,2)</f>
        <v xml:space="preserve">أ+ </v>
      </c>
      <c r="H8" s="13">
        <f t="shared" si="0"/>
        <v>5</v>
      </c>
      <c r="I8" s="21">
        <v>2</v>
      </c>
      <c r="J8" s="14">
        <v>100</v>
      </c>
      <c r="K8" s="11">
        <f>VLOOKUP(J8,المرجع!$B$3:$C$12,2)</f>
        <v>5</v>
      </c>
      <c r="L8" s="23" t="str">
        <f>VLOOKUP(K8,المرجع!$D$3:$E$12,2)</f>
        <v xml:space="preserve">أ+ </v>
      </c>
      <c r="M8" s="13">
        <f t="shared" si="1"/>
        <v>10</v>
      </c>
      <c r="N8" s="21">
        <v>2</v>
      </c>
      <c r="O8" s="14">
        <v>100</v>
      </c>
      <c r="P8" s="11">
        <f>VLOOKUP(O8,المرجع!$B$3:$C$12,2)</f>
        <v>5</v>
      </c>
      <c r="Q8" s="23" t="str">
        <f>VLOOKUP(P8,المرجع!$D$3:$E$12,2)</f>
        <v xml:space="preserve">أ+ </v>
      </c>
      <c r="R8" s="13">
        <f t="shared" si="2"/>
        <v>10</v>
      </c>
      <c r="S8" s="21">
        <v>3</v>
      </c>
      <c r="T8" s="14">
        <v>100</v>
      </c>
      <c r="U8" s="11">
        <f>VLOOKUP(T8,المرجع!$B$3:$C$12,2)</f>
        <v>5</v>
      </c>
      <c r="V8" s="23" t="str">
        <f>VLOOKUP(U8,المرجع!$D$3:$E$12,2)</f>
        <v xml:space="preserve">أ+ </v>
      </c>
      <c r="W8" s="13">
        <f t="shared" si="3"/>
        <v>15</v>
      </c>
      <c r="X8" s="21">
        <v>2</v>
      </c>
      <c r="Y8" s="14">
        <v>100</v>
      </c>
      <c r="Z8" s="11">
        <f>VLOOKUP(Y8,المرجع!$B$3:$C$12,2)</f>
        <v>5</v>
      </c>
      <c r="AA8" s="23" t="str">
        <f>VLOOKUP(Z8,المرجع!$D$3:$E$12,2)</f>
        <v xml:space="preserve">أ+ </v>
      </c>
      <c r="AB8" s="13">
        <f t="shared" si="4"/>
        <v>10</v>
      </c>
      <c r="AC8" s="21">
        <v>3</v>
      </c>
      <c r="AD8" s="14">
        <v>81</v>
      </c>
      <c r="AE8" s="11">
        <f>VLOOKUP(AD8,المرجع!$B$3:$C$12,2)</f>
        <v>4</v>
      </c>
      <c r="AF8" s="23" t="str">
        <f>VLOOKUP(AE8,المرجع!$D$3:$E$12,2)</f>
        <v>ب</v>
      </c>
      <c r="AG8" s="13">
        <f t="shared" si="5"/>
        <v>12</v>
      </c>
      <c r="AH8" s="21">
        <v>2</v>
      </c>
      <c r="AI8" s="14">
        <v>78</v>
      </c>
      <c r="AJ8" s="11">
        <f>VLOOKUP(AI8,المرجع!$B$3:$C$12,2)</f>
        <v>3.5</v>
      </c>
      <c r="AK8" s="23" t="str">
        <f>VLOOKUP(AJ8,المرجع!$D$3:$E$12,2)</f>
        <v>ج+</v>
      </c>
      <c r="AL8" s="13">
        <f t="shared" si="6"/>
        <v>7</v>
      </c>
      <c r="AM8" s="21">
        <v>3</v>
      </c>
      <c r="AN8" s="14">
        <v>92</v>
      </c>
      <c r="AO8" s="11">
        <f>VLOOKUP(AN8,المرجع!$B$3:$C$12,2)</f>
        <v>4.75</v>
      </c>
      <c r="AP8" s="23" t="str">
        <f>VLOOKUP(AO8,المرجع!$D$3:$E$12,2)</f>
        <v>أ</v>
      </c>
      <c r="AQ8" s="13">
        <f t="shared" si="7"/>
        <v>14.25</v>
      </c>
      <c r="AR8" s="21">
        <v>2</v>
      </c>
      <c r="AS8" s="14">
        <v>90</v>
      </c>
      <c r="AT8" s="11">
        <f>VLOOKUP(AS8,المرجع!$B$3:$C$12,2)</f>
        <v>4.75</v>
      </c>
      <c r="AU8" s="23" t="str">
        <f>VLOOKUP(AT8,المرجع!$D$3:$E$12,2)</f>
        <v>أ</v>
      </c>
      <c r="AV8" s="13">
        <f t="shared" si="8"/>
        <v>9.5</v>
      </c>
      <c r="AW8" s="21">
        <v>2</v>
      </c>
      <c r="AX8" s="14">
        <v>98</v>
      </c>
      <c r="AY8" s="11">
        <f>VLOOKUP(AX8,المرجع!$B$3:$C$12,2)</f>
        <v>5</v>
      </c>
      <c r="AZ8" s="23" t="str">
        <f>VLOOKUP(AY8,المرجع!$D$3:$E$12,2)</f>
        <v xml:space="preserve">أ+ </v>
      </c>
      <c r="BA8" s="13">
        <f t="shared" si="9"/>
        <v>10</v>
      </c>
      <c r="BB8" s="25">
        <f t="shared" si="10"/>
        <v>102.75</v>
      </c>
      <c r="BC8" s="26">
        <f t="shared" si="11"/>
        <v>22</v>
      </c>
      <c r="BD8" s="27">
        <f t="shared" si="12"/>
        <v>4.6704545454545459</v>
      </c>
      <c r="BE8" s="80">
        <f>('المستوى الأول 2022'!BL8+'المستوى الثاني 2023'!BB8)/('المستوى الثاني 2023'!BC8+'المستوى الأول 2022'!BM8)</f>
        <v>4.1055555555555552</v>
      </c>
      <c r="BF8" s="28" t="str">
        <f>VLOOKUP(BE8,المرجع!$D$3:$F$12,3)</f>
        <v>جيد جد مرتفع</v>
      </c>
      <c r="BG8" s="29">
        <f t="shared" si="13"/>
        <v>5</v>
      </c>
    </row>
    <row r="9" spans="2:59" ht="22">
      <c r="B9" s="3">
        <v>2023023</v>
      </c>
      <c r="C9" s="5" t="s">
        <v>87</v>
      </c>
      <c r="D9" s="21">
        <v>1</v>
      </c>
      <c r="E9" s="15">
        <v>100</v>
      </c>
      <c r="F9" s="11">
        <f>VLOOKUP(E9,المرجع!$B$3:$C$12,2)</f>
        <v>5</v>
      </c>
      <c r="G9" s="23" t="str">
        <f>VLOOKUP(F9,المرجع!$D$3:$E$12,2)</f>
        <v xml:space="preserve">أ+ </v>
      </c>
      <c r="H9" s="13">
        <f t="shared" si="0"/>
        <v>5</v>
      </c>
      <c r="I9" s="21">
        <v>2</v>
      </c>
      <c r="J9" s="14">
        <v>100</v>
      </c>
      <c r="K9" s="11">
        <f>VLOOKUP(J9,المرجع!$B$3:$C$12,2)</f>
        <v>5</v>
      </c>
      <c r="L9" s="23" t="str">
        <f>VLOOKUP(K9,المرجع!$D$3:$E$12,2)</f>
        <v xml:space="preserve">أ+ </v>
      </c>
      <c r="M9" s="13">
        <f t="shared" si="1"/>
        <v>10</v>
      </c>
      <c r="N9" s="21">
        <v>2</v>
      </c>
      <c r="O9" s="14">
        <v>100</v>
      </c>
      <c r="P9" s="11">
        <f>VLOOKUP(O9,المرجع!$B$3:$C$12,2)</f>
        <v>5</v>
      </c>
      <c r="Q9" s="23" t="str">
        <f>VLOOKUP(P9,المرجع!$D$3:$E$12,2)</f>
        <v xml:space="preserve">أ+ </v>
      </c>
      <c r="R9" s="13">
        <f t="shared" si="2"/>
        <v>10</v>
      </c>
      <c r="S9" s="21">
        <v>3</v>
      </c>
      <c r="T9" s="14">
        <v>100</v>
      </c>
      <c r="U9" s="11">
        <f>VLOOKUP(T9,المرجع!$B$3:$C$12,2)</f>
        <v>5</v>
      </c>
      <c r="V9" s="23" t="str">
        <f>VLOOKUP(U9,المرجع!$D$3:$E$12,2)</f>
        <v xml:space="preserve">أ+ </v>
      </c>
      <c r="W9" s="13">
        <f t="shared" si="3"/>
        <v>15</v>
      </c>
      <c r="X9" s="21">
        <v>2</v>
      </c>
      <c r="Y9" s="14">
        <v>100</v>
      </c>
      <c r="Z9" s="11">
        <f>VLOOKUP(Y9,المرجع!$B$3:$C$12,2)</f>
        <v>5</v>
      </c>
      <c r="AA9" s="23" t="str">
        <f>VLOOKUP(Z9,المرجع!$D$3:$E$12,2)</f>
        <v xml:space="preserve">أ+ </v>
      </c>
      <c r="AB9" s="13">
        <f t="shared" si="4"/>
        <v>10</v>
      </c>
      <c r="AC9" s="21">
        <v>3</v>
      </c>
      <c r="AD9" s="14">
        <v>81</v>
      </c>
      <c r="AE9" s="11">
        <f>VLOOKUP(AD9,المرجع!$B$3:$C$12,2)</f>
        <v>4</v>
      </c>
      <c r="AF9" s="23" t="str">
        <f>VLOOKUP(AE9,المرجع!$D$3:$E$12,2)</f>
        <v>ب</v>
      </c>
      <c r="AG9" s="13">
        <f t="shared" si="5"/>
        <v>12</v>
      </c>
      <c r="AH9" s="21">
        <v>2</v>
      </c>
      <c r="AI9" s="14">
        <v>95</v>
      </c>
      <c r="AJ9" s="11">
        <f>VLOOKUP(AI9,المرجع!$B$3:$C$12,2)</f>
        <v>5</v>
      </c>
      <c r="AK9" s="23" t="str">
        <f>VLOOKUP(AJ9,المرجع!$D$3:$E$12,2)</f>
        <v xml:space="preserve">أ+ </v>
      </c>
      <c r="AL9" s="13">
        <f t="shared" si="6"/>
        <v>10</v>
      </c>
      <c r="AM9" s="21">
        <v>3</v>
      </c>
      <c r="AN9" s="14">
        <v>90</v>
      </c>
      <c r="AO9" s="11">
        <f>VLOOKUP(AN9,المرجع!$B$3:$C$12,2)</f>
        <v>4.75</v>
      </c>
      <c r="AP9" s="23" t="str">
        <f>VLOOKUP(AO9,المرجع!$D$3:$E$12,2)</f>
        <v>أ</v>
      </c>
      <c r="AQ9" s="13">
        <f t="shared" si="7"/>
        <v>14.25</v>
      </c>
      <c r="AR9" s="21">
        <v>2</v>
      </c>
      <c r="AS9" s="14">
        <v>70</v>
      </c>
      <c r="AT9" s="11">
        <f>VLOOKUP(AS9,المرجع!$B$3:$C$12,2)</f>
        <v>3</v>
      </c>
      <c r="AU9" s="23" t="str">
        <f>VLOOKUP(AT9,المرجع!$D$3:$E$12,2)</f>
        <v>ج</v>
      </c>
      <c r="AV9" s="13">
        <f t="shared" si="8"/>
        <v>6</v>
      </c>
      <c r="AW9" s="21">
        <v>2</v>
      </c>
      <c r="AX9" s="14">
        <v>100</v>
      </c>
      <c r="AY9" s="11">
        <f>VLOOKUP(AX9,المرجع!$B$3:$C$12,2)</f>
        <v>5</v>
      </c>
      <c r="AZ9" s="23" t="str">
        <f>VLOOKUP(AY9,المرجع!$D$3:$E$12,2)</f>
        <v xml:space="preserve">أ+ </v>
      </c>
      <c r="BA9" s="13">
        <f t="shared" si="9"/>
        <v>10</v>
      </c>
      <c r="BB9" s="25">
        <f t="shared" si="10"/>
        <v>102.25</v>
      </c>
      <c r="BC9" s="26">
        <f t="shared" si="11"/>
        <v>22</v>
      </c>
      <c r="BD9" s="27">
        <f t="shared" si="12"/>
        <v>4.6477272727272725</v>
      </c>
      <c r="BE9" s="80">
        <f>('المستوى الأول 2022'!BL9+'المستوى الثاني 2023'!BB9)/('المستوى الثاني 2023'!BC9+'المستوى الأول 2022'!BM9)</f>
        <v>4.0611111111111109</v>
      </c>
      <c r="BF9" s="28" t="str">
        <f>VLOOKUP(BE9,المرجع!$D$3:$F$12,3)</f>
        <v xml:space="preserve">جيد جدا </v>
      </c>
      <c r="BG9" s="29">
        <f t="shared" si="13"/>
        <v>6</v>
      </c>
    </row>
    <row r="10" spans="2:59" ht="22">
      <c r="B10" s="3">
        <v>2023084</v>
      </c>
      <c r="C10" s="5" t="s">
        <v>88</v>
      </c>
      <c r="D10" s="21">
        <v>1</v>
      </c>
      <c r="E10" s="15">
        <v>100</v>
      </c>
      <c r="F10" s="11">
        <f>VLOOKUP(E10,المرجع!$B$3:$C$12,2)</f>
        <v>5</v>
      </c>
      <c r="G10" s="23" t="str">
        <f>VLOOKUP(F10,المرجع!$D$3:$E$12,2)</f>
        <v xml:space="preserve">أ+ </v>
      </c>
      <c r="H10" s="13">
        <f t="shared" si="0"/>
        <v>5</v>
      </c>
      <c r="I10" s="21">
        <v>2</v>
      </c>
      <c r="J10" s="14">
        <v>100</v>
      </c>
      <c r="K10" s="11">
        <f>VLOOKUP(J10,المرجع!$B$3:$C$12,2)</f>
        <v>5</v>
      </c>
      <c r="L10" s="23" t="str">
        <f>VLOOKUP(K10,المرجع!$D$3:$E$12,2)</f>
        <v xml:space="preserve">أ+ </v>
      </c>
      <c r="M10" s="13">
        <f t="shared" si="1"/>
        <v>10</v>
      </c>
      <c r="N10" s="21">
        <v>2</v>
      </c>
      <c r="O10" s="14">
        <v>100</v>
      </c>
      <c r="P10" s="11">
        <f>VLOOKUP(O10,المرجع!$B$3:$C$12,2)</f>
        <v>5</v>
      </c>
      <c r="Q10" s="23" t="str">
        <f>VLOOKUP(P10,المرجع!$D$3:$E$12,2)</f>
        <v xml:space="preserve">أ+ </v>
      </c>
      <c r="R10" s="13">
        <f t="shared" si="2"/>
        <v>10</v>
      </c>
      <c r="S10" s="21">
        <v>3</v>
      </c>
      <c r="T10" s="14">
        <v>100</v>
      </c>
      <c r="U10" s="11">
        <f>VLOOKUP(T10,المرجع!$B$3:$C$12,2)</f>
        <v>5</v>
      </c>
      <c r="V10" s="23" t="str">
        <f>VLOOKUP(U10,المرجع!$D$3:$E$12,2)</f>
        <v xml:space="preserve">أ+ </v>
      </c>
      <c r="W10" s="13">
        <f t="shared" si="3"/>
        <v>15</v>
      </c>
      <c r="X10" s="21">
        <v>2</v>
      </c>
      <c r="Y10" s="14">
        <v>91</v>
      </c>
      <c r="Z10" s="11">
        <f>VLOOKUP(Y10,المرجع!$B$3:$C$12,2)</f>
        <v>4.75</v>
      </c>
      <c r="AA10" s="23" t="str">
        <f>VLOOKUP(Z10,المرجع!$D$3:$E$12,2)</f>
        <v>أ</v>
      </c>
      <c r="AB10" s="13">
        <f t="shared" si="4"/>
        <v>9.5</v>
      </c>
      <c r="AC10" s="21">
        <v>3</v>
      </c>
      <c r="AD10" s="14">
        <v>82</v>
      </c>
      <c r="AE10" s="11">
        <f>VLOOKUP(AD10,المرجع!$B$3:$C$12,2)</f>
        <v>4</v>
      </c>
      <c r="AF10" s="23" t="str">
        <f>VLOOKUP(AE10,المرجع!$D$3:$E$12,2)</f>
        <v>ب</v>
      </c>
      <c r="AG10" s="13">
        <f t="shared" si="5"/>
        <v>12</v>
      </c>
      <c r="AH10" s="21">
        <v>2</v>
      </c>
      <c r="AI10" s="14">
        <v>90</v>
      </c>
      <c r="AJ10" s="11">
        <f>VLOOKUP(AI10,المرجع!$B$3:$C$12,2)</f>
        <v>4.75</v>
      </c>
      <c r="AK10" s="23" t="str">
        <f>VLOOKUP(AJ10,المرجع!$D$3:$E$12,2)</f>
        <v>أ</v>
      </c>
      <c r="AL10" s="13">
        <f t="shared" si="6"/>
        <v>9.5</v>
      </c>
      <c r="AM10" s="21">
        <v>3</v>
      </c>
      <c r="AN10" s="14">
        <v>99</v>
      </c>
      <c r="AO10" s="11">
        <f>VLOOKUP(AN10,المرجع!$B$3:$C$12,2)</f>
        <v>5</v>
      </c>
      <c r="AP10" s="23" t="str">
        <f>VLOOKUP(AO10,المرجع!$D$3:$E$12,2)</f>
        <v xml:space="preserve">أ+ </v>
      </c>
      <c r="AQ10" s="13">
        <f t="shared" si="7"/>
        <v>15</v>
      </c>
      <c r="AR10" s="21">
        <v>2</v>
      </c>
      <c r="AS10" s="14">
        <v>70</v>
      </c>
      <c r="AT10" s="11">
        <f>VLOOKUP(AS10,المرجع!$B$3:$C$12,2)</f>
        <v>3</v>
      </c>
      <c r="AU10" s="23" t="str">
        <f>VLOOKUP(AT10,المرجع!$D$3:$E$12,2)</f>
        <v>ج</v>
      </c>
      <c r="AV10" s="13">
        <f t="shared" si="8"/>
        <v>6</v>
      </c>
      <c r="AW10" s="21">
        <v>2</v>
      </c>
      <c r="AX10" s="14">
        <v>100</v>
      </c>
      <c r="AY10" s="11">
        <f>VLOOKUP(AX10,المرجع!$B$3:$C$12,2)</f>
        <v>5</v>
      </c>
      <c r="AZ10" s="23" t="str">
        <f>VLOOKUP(AY10,المرجع!$D$3:$E$12,2)</f>
        <v xml:space="preserve">أ+ </v>
      </c>
      <c r="BA10" s="13">
        <f t="shared" si="9"/>
        <v>10</v>
      </c>
      <c r="BB10" s="25">
        <f t="shared" si="10"/>
        <v>102</v>
      </c>
      <c r="BC10" s="26">
        <f t="shared" si="11"/>
        <v>22</v>
      </c>
      <c r="BD10" s="27">
        <f t="shared" si="12"/>
        <v>4.6363636363636367</v>
      </c>
      <c r="BE10" s="80">
        <f>('المستوى الأول 2022'!BL10+'المستوى الثاني 2023'!BB10)/('المستوى الثاني 2023'!BC10+'المستوى الأول 2022'!BM10)</f>
        <v>4.0777777777777775</v>
      </c>
      <c r="BF10" s="28" t="str">
        <f>VLOOKUP(BE10,المرجع!$D$3:$F$12,3)</f>
        <v xml:space="preserve">جيد جدا </v>
      </c>
      <c r="BG10" s="29">
        <f t="shared" si="13"/>
        <v>7</v>
      </c>
    </row>
    <row r="11" spans="2:59" ht="22">
      <c r="B11" s="3">
        <v>2023090</v>
      </c>
      <c r="C11" s="5" t="s">
        <v>49</v>
      </c>
      <c r="D11" s="21">
        <v>1</v>
      </c>
      <c r="E11" s="15">
        <v>98</v>
      </c>
      <c r="F11" s="11">
        <f>VLOOKUP(E11,المرجع!$B$3:$C$12,2)</f>
        <v>5</v>
      </c>
      <c r="G11" s="23" t="str">
        <f>VLOOKUP(F11,المرجع!$D$3:$E$12,2)</f>
        <v xml:space="preserve">أ+ </v>
      </c>
      <c r="H11" s="13">
        <f t="shared" si="0"/>
        <v>5</v>
      </c>
      <c r="I11" s="21">
        <v>2</v>
      </c>
      <c r="J11" s="8">
        <v>90</v>
      </c>
      <c r="K11" s="11">
        <f>VLOOKUP(J11,المرجع!$B$3:$C$12,2)</f>
        <v>4.75</v>
      </c>
      <c r="L11" s="23" t="str">
        <f>VLOOKUP(K11,المرجع!$D$3:$E$12,2)</f>
        <v>أ</v>
      </c>
      <c r="M11" s="13">
        <f t="shared" si="1"/>
        <v>9.5</v>
      </c>
      <c r="N11" s="21">
        <v>2</v>
      </c>
      <c r="O11" s="8">
        <v>89</v>
      </c>
      <c r="P11" s="11">
        <f>VLOOKUP(O11,المرجع!$B$3:$C$12,2)</f>
        <v>4.5</v>
      </c>
      <c r="Q11" s="23" t="str">
        <f>VLOOKUP(P11,المرجع!$D$3:$E$12,2)</f>
        <v>ب+</v>
      </c>
      <c r="R11" s="13">
        <f t="shared" si="2"/>
        <v>9</v>
      </c>
      <c r="S11" s="21">
        <v>3</v>
      </c>
      <c r="T11" s="8">
        <v>99</v>
      </c>
      <c r="U11" s="11">
        <f>VLOOKUP(T11,المرجع!$B$3:$C$12,2)</f>
        <v>5</v>
      </c>
      <c r="V11" s="23" t="str">
        <f>VLOOKUP(U11,المرجع!$D$3:$E$12,2)</f>
        <v xml:space="preserve">أ+ </v>
      </c>
      <c r="W11" s="13">
        <f t="shared" si="3"/>
        <v>15</v>
      </c>
      <c r="X11" s="21">
        <v>2</v>
      </c>
      <c r="Y11" s="8">
        <v>94</v>
      </c>
      <c r="Z11" s="11">
        <f>VLOOKUP(Y11,المرجع!$B$3:$C$12,2)</f>
        <v>4.75</v>
      </c>
      <c r="AA11" s="23" t="str">
        <f>VLOOKUP(Z11,المرجع!$D$3:$E$12,2)</f>
        <v>أ</v>
      </c>
      <c r="AB11" s="13">
        <f t="shared" si="4"/>
        <v>9.5</v>
      </c>
      <c r="AC11" s="21">
        <v>3</v>
      </c>
      <c r="AD11" s="8">
        <v>74</v>
      </c>
      <c r="AE11" s="11">
        <f>VLOOKUP(AD11,المرجع!$B$3:$C$12,2)</f>
        <v>3</v>
      </c>
      <c r="AF11" s="23" t="str">
        <f>VLOOKUP(AE11,المرجع!$D$3:$E$12,2)</f>
        <v>ج</v>
      </c>
      <c r="AG11" s="13">
        <f t="shared" si="5"/>
        <v>9</v>
      </c>
      <c r="AH11" s="21">
        <v>2</v>
      </c>
      <c r="AI11" s="8">
        <v>85</v>
      </c>
      <c r="AJ11" s="11">
        <f>VLOOKUP(AI11,المرجع!$B$3:$C$12,2)</f>
        <v>4.5</v>
      </c>
      <c r="AK11" s="23" t="str">
        <f>VLOOKUP(AJ11,المرجع!$D$3:$E$12,2)</f>
        <v>ب+</v>
      </c>
      <c r="AL11" s="13">
        <f t="shared" si="6"/>
        <v>9</v>
      </c>
      <c r="AM11" s="21">
        <v>3</v>
      </c>
      <c r="AN11" s="8">
        <v>90</v>
      </c>
      <c r="AO11" s="11">
        <f>VLOOKUP(AN11,المرجع!$B$3:$C$12,2)</f>
        <v>4.75</v>
      </c>
      <c r="AP11" s="23" t="str">
        <f>VLOOKUP(AO11,المرجع!$D$3:$E$12,2)</f>
        <v>أ</v>
      </c>
      <c r="AQ11" s="13">
        <f t="shared" si="7"/>
        <v>14.25</v>
      </c>
      <c r="AR11" s="21">
        <v>2</v>
      </c>
      <c r="AS11" s="8">
        <v>90</v>
      </c>
      <c r="AT11" s="11">
        <f>VLOOKUP(AS11,المرجع!$B$3:$C$12,2)</f>
        <v>4.75</v>
      </c>
      <c r="AU11" s="23" t="str">
        <f>VLOOKUP(AT11,المرجع!$D$3:$E$12,2)</f>
        <v>أ</v>
      </c>
      <c r="AV11" s="13">
        <f t="shared" si="8"/>
        <v>9.5</v>
      </c>
      <c r="AW11" s="21">
        <v>2</v>
      </c>
      <c r="AX11" s="8">
        <v>86</v>
      </c>
      <c r="AY11" s="11">
        <f>VLOOKUP(AX11,المرجع!$B$3:$C$12,2)</f>
        <v>4.5</v>
      </c>
      <c r="AZ11" s="23" t="str">
        <f>VLOOKUP(AY11,المرجع!$D$3:$E$12,2)</f>
        <v>ب+</v>
      </c>
      <c r="BA11" s="13">
        <f t="shared" si="9"/>
        <v>9</v>
      </c>
      <c r="BB11" s="25">
        <f t="shared" si="10"/>
        <v>98.75</v>
      </c>
      <c r="BC11" s="26">
        <f t="shared" si="11"/>
        <v>22</v>
      </c>
      <c r="BD11" s="27">
        <f t="shared" si="12"/>
        <v>4.4886363636363633</v>
      </c>
      <c r="BE11" s="80">
        <f>('المستوى الأول 2022'!BL11+'المستوى الثاني 2023'!BB11)/('المستوى الثاني 2023'!BC11+'المستوى الأول 2022'!BM11)</f>
        <v>3.9388888888888891</v>
      </c>
      <c r="BF11" s="28" t="str">
        <f>VLOOKUP(BE11,المرجع!$D$3:$F$12,3)</f>
        <v xml:space="preserve">جيد جدا </v>
      </c>
      <c r="BG11" s="29">
        <f t="shared" si="13"/>
        <v>10</v>
      </c>
    </row>
    <row r="12" spans="2:59" ht="22">
      <c r="B12" s="3">
        <v>2023001</v>
      </c>
      <c r="C12" s="5" t="s">
        <v>1</v>
      </c>
      <c r="D12" s="21">
        <v>1</v>
      </c>
      <c r="E12" s="15">
        <v>96</v>
      </c>
      <c r="F12" s="11">
        <f>VLOOKUP(E12,المرجع!$B$3:$C$12,2)</f>
        <v>5</v>
      </c>
      <c r="G12" s="23" t="str">
        <f>VLOOKUP(F12,المرجع!$D$3:$E$12,2)</f>
        <v xml:space="preserve">أ+ </v>
      </c>
      <c r="H12" s="13">
        <f t="shared" si="0"/>
        <v>5</v>
      </c>
      <c r="I12" s="21">
        <v>2</v>
      </c>
      <c r="J12" s="8">
        <v>85</v>
      </c>
      <c r="K12" s="11">
        <f>VLOOKUP(J12,المرجع!$B$3:$C$12,2)</f>
        <v>4.5</v>
      </c>
      <c r="L12" s="23" t="str">
        <f>VLOOKUP(K12,المرجع!$D$3:$E$12,2)</f>
        <v>ب+</v>
      </c>
      <c r="M12" s="13">
        <f t="shared" si="1"/>
        <v>9</v>
      </c>
      <c r="N12" s="21">
        <v>2</v>
      </c>
      <c r="O12" s="8">
        <v>84</v>
      </c>
      <c r="P12" s="11">
        <f>VLOOKUP(O12,المرجع!$B$3:$C$12,2)</f>
        <v>4</v>
      </c>
      <c r="Q12" s="23" t="str">
        <f>VLOOKUP(P12,المرجع!$D$3:$E$12,2)</f>
        <v>ب</v>
      </c>
      <c r="R12" s="13">
        <f t="shared" si="2"/>
        <v>8</v>
      </c>
      <c r="S12" s="21">
        <v>3</v>
      </c>
      <c r="T12" s="8">
        <v>100</v>
      </c>
      <c r="U12" s="11">
        <f>VLOOKUP(T12,المرجع!$B$3:$C$12,2)</f>
        <v>5</v>
      </c>
      <c r="V12" s="23" t="str">
        <f>VLOOKUP(U12,المرجع!$D$3:$E$12,2)</f>
        <v xml:space="preserve">أ+ </v>
      </c>
      <c r="W12" s="13">
        <f t="shared" si="3"/>
        <v>15</v>
      </c>
      <c r="X12" s="21">
        <v>2</v>
      </c>
      <c r="Y12" s="8">
        <v>100</v>
      </c>
      <c r="Z12" s="11">
        <f>VLOOKUP(Y12,المرجع!$B$3:$C$12,2)</f>
        <v>5</v>
      </c>
      <c r="AA12" s="23" t="str">
        <f>VLOOKUP(Z12,المرجع!$D$3:$E$12,2)</f>
        <v xml:space="preserve">أ+ </v>
      </c>
      <c r="AB12" s="13">
        <f t="shared" si="4"/>
        <v>10</v>
      </c>
      <c r="AC12" s="21">
        <v>3</v>
      </c>
      <c r="AD12" s="8">
        <v>87</v>
      </c>
      <c r="AE12" s="11">
        <f>VLOOKUP(AD12,المرجع!$B$3:$C$12,2)</f>
        <v>4.5</v>
      </c>
      <c r="AF12" s="23" t="str">
        <f>VLOOKUP(AE12,المرجع!$D$3:$E$12,2)</f>
        <v>ب+</v>
      </c>
      <c r="AG12" s="13">
        <f t="shared" si="5"/>
        <v>13.5</v>
      </c>
      <c r="AH12" s="21">
        <v>2</v>
      </c>
      <c r="AI12" s="8">
        <v>85</v>
      </c>
      <c r="AJ12" s="11">
        <f>VLOOKUP(AI12,المرجع!$B$3:$C$12,2)</f>
        <v>4.5</v>
      </c>
      <c r="AK12" s="23" t="str">
        <f>VLOOKUP(AJ12,المرجع!$D$3:$E$12,2)</f>
        <v>ب+</v>
      </c>
      <c r="AL12" s="13">
        <f t="shared" si="6"/>
        <v>9</v>
      </c>
      <c r="AM12" s="21">
        <v>3</v>
      </c>
      <c r="AN12" s="8">
        <v>90</v>
      </c>
      <c r="AO12" s="11">
        <f>VLOOKUP(AN12,المرجع!$B$3:$C$12,2)</f>
        <v>4.75</v>
      </c>
      <c r="AP12" s="23" t="str">
        <f>VLOOKUP(AO12,المرجع!$D$3:$E$12,2)</f>
        <v>أ</v>
      </c>
      <c r="AQ12" s="13">
        <f t="shared" si="7"/>
        <v>14.25</v>
      </c>
      <c r="AR12" s="21">
        <v>2</v>
      </c>
      <c r="AS12" s="8">
        <v>70</v>
      </c>
      <c r="AT12" s="11">
        <f>VLOOKUP(AS12,المرجع!$B$3:$C$12,2)</f>
        <v>3</v>
      </c>
      <c r="AU12" s="23" t="str">
        <f>VLOOKUP(AT12,المرجع!$D$3:$E$12,2)</f>
        <v>ج</v>
      </c>
      <c r="AV12" s="13">
        <f t="shared" si="8"/>
        <v>6</v>
      </c>
      <c r="AW12" s="21">
        <v>2</v>
      </c>
      <c r="AX12" s="8">
        <v>100</v>
      </c>
      <c r="AY12" s="11">
        <f>VLOOKUP(AX12,المرجع!$B$3:$C$12,2)</f>
        <v>5</v>
      </c>
      <c r="AZ12" s="23" t="str">
        <f>VLOOKUP(AY12,المرجع!$D$3:$E$12,2)</f>
        <v xml:space="preserve">أ+ </v>
      </c>
      <c r="BA12" s="13">
        <f t="shared" si="9"/>
        <v>10</v>
      </c>
      <c r="BB12" s="25">
        <f t="shared" si="10"/>
        <v>99.75</v>
      </c>
      <c r="BC12" s="26">
        <f t="shared" si="11"/>
        <v>22</v>
      </c>
      <c r="BD12" s="27">
        <f t="shared" si="12"/>
        <v>4.5340909090909092</v>
      </c>
      <c r="BE12" s="80">
        <f>('المستوى الأول 2022'!BL12+'المستوى الثاني 2023'!BB12)/('المستوى الثاني 2023'!BC12+'المستوى الأول 2022'!BM12)</f>
        <v>4.0555555555555554</v>
      </c>
      <c r="BF12" s="28" t="str">
        <f>VLOOKUP(BE12,المرجع!$D$3:$F$12,3)</f>
        <v xml:space="preserve">جيد جدا </v>
      </c>
      <c r="BG12" s="29">
        <f t="shared" si="13"/>
        <v>9</v>
      </c>
    </row>
    <row r="13" spans="2:59" ht="22">
      <c r="B13" s="3">
        <v>2023027</v>
      </c>
      <c r="C13" s="5" t="s">
        <v>2</v>
      </c>
      <c r="D13" s="21">
        <v>1</v>
      </c>
      <c r="E13" s="15">
        <v>100</v>
      </c>
      <c r="F13" s="11">
        <f>VLOOKUP(E13,المرجع!$B$3:$C$12,2)</f>
        <v>5</v>
      </c>
      <c r="G13" s="23" t="str">
        <f>VLOOKUP(F13,المرجع!$D$3:$E$12,2)</f>
        <v xml:space="preserve">أ+ </v>
      </c>
      <c r="H13" s="13">
        <f t="shared" si="0"/>
        <v>5</v>
      </c>
      <c r="I13" s="21">
        <v>2</v>
      </c>
      <c r="J13" s="8">
        <v>95</v>
      </c>
      <c r="K13" s="11">
        <f>VLOOKUP(J13,المرجع!$B$3:$C$12,2)</f>
        <v>5</v>
      </c>
      <c r="L13" s="23" t="str">
        <f>VLOOKUP(K13,المرجع!$D$3:$E$12,2)</f>
        <v xml:space="preserve">أ+ </v>
      </c>
      <c r="M13" s="13">
        <f t="shared" si="1"/>
        <v>10</v>
      </c>
      <c r="N13" s="21">
        <v>2</v>
      </c>
      <c r="O13" s="8">
        <v>94</v>
      </c>
      <c r="P13" s="11">
        <f>VLOOKUP(O13,المرجع!$B$3:$C$12,2)</f>
        <v>4.75</v>
      </c>
      <c r="Q13" s="23" t="str">
        <f>VLOOKUP(P13,المرجع!$D$3:$E$12,2)</f>
        <v>أ</v>
      </c>
      <c r="R13" s="13">
        <f t="shared" si="2"/>
        <v>9.5</v>
      </c>
      <c r="S13" s="21">
        <v>3</v>
      </c>
      <c r="T13" s="8">
        <v>100</v>
      </c>
      <c r="U13" s="11">
        <f>VLOOKUP(T13,المرجع!$B$3:$C$12,2)</f>
        <v>5</v>
      </c>
      <c r="V13" s="23" t="str">
        <f>VLOOKUP(U13,المرجع!$D$3:$E$12,2)</f>
        <v xml:space="preserve">أ+ </v>
      </c>
      <c r="W13" s="13">
        <f t="shared" si="3"/>
        <v>15</v>
      </c>
      <c r="X13" s="21">
        <v>2</v>
      </c>
      <c r="Y13" s="8">
        <v>100</v>
      </c>
      <c r="Z13" s="11">
        <f>VLOOKUP(Y13,المرجع!$B$3:$C$12,2)</f>
        <v>5</v>
      </c>
      <c r="AA13" s="23" t="str">
        <f>VLOOKUP(Z13,المرجع!$D$3:$E$12,2)</f>
        <v xml:space="preserve">أ+ </v>
      </c>
      <c r="AB13" s="13">
        <f t="shared" si="4"/>
        <v>10</v>
      </c>
      <c r="AC13" s="21">
        <v>3</v>
      </c>
      <c r="AD13" s="8">
        <v>92</v>
      </c>
      <c r="AE13" s="11">
        <f>VLOOKUP(AD13,المرجع!$B$3:$C$12,2)</f>
        <v>4.75</v>
      </c>
      <c r="AF13" s="23" t="str">
        <f>VLOOKUP(AE13,المرجع!$D$3:$E$12,2)</f>
        <v>أ</v>
      </c>
      <c r="AG13" s="13">
        <f t="shared" si="5"/>
        <v>14.25</v>
      </c>
      <c r="AH13" s="21">
        <v>2</v>
      </c>
      <c r="AI13" s="8">
        <v>77</v>
      </c>
      <c r="AJ13" s="11">
        <f>VLOOKUP(AI13,المرجع!$B$3:$C$12,2)</f>
        <v>3.5</v>
      </c>
      <c r="AK13" s="23" t="str">
        <f>VLOOKUP(AJ13,المرجع!$D$3:$E$12,2)</f>
        <v>ج+</v>
      </c>
      <c r="AL13" s="13">
        <f t="shared" si="6"/>
        <v>7</v>
      </c>
      <c r="AM13" s="21">
        <v>3</v>
      </c>
      <c r="AN13" s="8">
        <v>97</v>
      </c>
      <c r="AO13" s="11">
        <f>VLOOKUP(AN13,المرجع!$B$3:$C$12,2)</f>
        <v>5</v>
      </c>
      <c r="AP13" s="23" t="str">
        <f>VLOOKUP(AO13,المرجع!$D$3:$E$12,2)</f>
        <v xml:space="preserve">أ+ </v>
      </c>
      <c r="AQ13" s="13">
        <f t="shared" si="7"/>
        <v>15</v>
      </c>
      <c r="AR13" s="21">
        <v>2</v>
      </c>
      <c r="AS13" s="8">
        <v>50</v>
      </c>
      <c r="AT13" s="11">
        <f>VLOOKUP(AS13,المرجع!$B$3:$C$12,2)</f>
        <v>2</v>
      </c>
      <c r="AU13" s="23" t="str">
        <f>VLOOKUP(AT13,المرجع!$D$3:$E$12,2)</f>
        <v>د</v>
      </c>
      <c r="AV13" s="13">
        <f t="shared" si="8"/>
        <v>4</v>
      </c>
      <c r="AW13" s="21">
        <v>2</v>
      </c>
      <c r="AX13" s="8">
        <v>83</v>
      </c>
      <c r="AY13" s="11">
        <f>VLOOKUP(AX13,المرجع!$B$3:$C$12,2)</f>
        <v>4</v>
      </c>
      <c r="AZ13" s="23" t="str">
        <f>VLOOKUP(AY13,المرجع!$D$3:$E$12,2)</f>
        <v>ب</v>
      </c>
      <c r="BA13" s="13">
        <f t="shared" si="9"/>
        <v>8</v>
      </c>
      <c r="BB13" s="25">
        <f t="shared" si="10"/>
        <v>97.75</v>
      </c>
      <c r="BC13" s="26">
        <f t="shared" si="11"/>
        <v>22</v>
      </c>
      <c r="BD13" s="27">
        <f t="shared" si="12"/>
        <v>4.4431818181818183</v>
      </c>
      <c r="BE13" s="80">
        <f>('المستوى الأول 2022'!BL13+'المستوى الثاني 2023'!BB13)/('المستوى الثاني 2023'!BC13+'المستوى الأول 2022'!BM13)</f>
        <v>3.9833333333333334</v>
      </c>
      <c r="BF13" s="28" t="str">
        <f>VLOOKUP(BE13,المرجع!$D$3:$F$12,3)</f>
        <v xml:space="preserve">جيد جدا </v>
      </c>
      <c r="BG13" s="29">
        <f t="shared" si="13"/>
        <v>11</v>
      </c>
    </row>
    <row r="14" spans="2:59" ht="22">
      <c r="B14" s="3">
        <v>2023087</v>
      </c>
      <c r="C14" s="5" t="s">
        <v>51</v>
      </c>
      <c r="D14" s="21">
        <v>1</v>
      </c>
      <c r="E14" s="15">
        <v>92</v>
      </c>
      <c r="F14" s="11">
        <f>VLOOKUP(E14,المرجع!$B$3:$C$12,2)</f>
        <v>4.75</v>
      </c>
      <c r="G14" s="23" t="str">
        <f>VLOOKUP(F14,المرجع!$D$3:$E$12,2)</f>
        <v>أ</v>
      </c>
      <c r="H14" s="13">
        <f t="shared" si="0"/>
        <v>4.75</v>
      </c>
      <c r="I14" s="21">
        <v>2</v>
      </c>
      <c r="J14" s="8">
        <v>95</v>
      </c>
      <c r="K14" s="11">
        <f>VLOOKUP(J14,المرجع!$B$3:$C$12,2)</f>
        <v>5</v>
      </c>
      <c r="L14" s="23" t="str">
        <f>VLOOKUP(K14,المرجع!$D$3:$E$12,2)</f>
        <v xml:space="preserve">أ+ </v>
      </c>
      <c r="M14" s="13">
        <f t="shared" si="1"/>
        <v>10</v>
      </c>
      <c r="N14" s="21">
        <v>2</v>
      </c>
      <c r="O14" s="8">
        <v>87</v>
      </c>
      <c r="P14" s="11">
        <f>VLOOKUP(O14,المرجع!$B$3:$C$12,2)</f>
        <v>4.5</v>
      </c>
      <c r="Q14" s="23" t="str">
        <f>VLOOKUP(P14,المرجع!$D$3:$E$12,2)</f>
        <v>ب+</v>
      </c>
      <c r="R14" s="13">
        <f t="shared" si="2"/>
        <v>9</v>
      </c>
      <c r="S14" s="21">
        <v>3</v>
      </c>
      <c r="T14" s="8">
        <v>100</v>
      </c>
      <c r="U14" s="11">
        <f>VLOOKUP(T14,المرجع!$B$3:$C$12,2)</f>
        <v>5</v>
      </c>
      <c r="V14" s="23" t="str">
        <f>VLOOKUP(U14,المرجع!$D$3:$E$12,2)</f>
        <v xml:space="preserve">أ+ </v>
      </c>
      <c r="W14" s="13">
        <f t="shared" si="3"/>
        <v>15</v>
      </c>
      <c r="X14" s="21">
        <v>2</v>
      </c>
      <c r="Y14" s="8">
        <v>91</v>
      </c>
      <c r="Z14" s="11">
        <f>VLOOKUP(Y14,المرجع!$B$3:$C$12,2)</f>
        <v>4.75</v>
      </c>
      <c r="AA14" s="23" t="str">
        <f>VLOOKUP(Z14,المرجع!$D$3:$E$12,2)</f>
        <v>أ</v>
      </c>
      <c r="AB14" s="13">
        <f t="shared" si="4"/>
        <v>9.5</v>
      </c>
      <c r="AC14" s="21">
        <v>3</v>
      </c>
      <c r="AD14" s="8">
        <v>81</v>
      </c>
      <c r="AE14" s="11">
        <f>VLOOKUP(AD14,المرجع!$B$3:$C$12,2)</f>
        <v>4</v>
      </c>
      <c r="AF14" s="23" t="str">
        <f>VLOOKUP(AE14,المرجع!$D$3:$E$12,2)</f>
        <v>ب</v>
      </c>
      <c r="AG14" s="13">
        <f t="shared" si="5"/>
        <v>12</v>
      </c>
      <c r="AH14" s="21">
        <v>2</v>
      </c>
      <c r="AI14" s="8">
        <v>89</v>
      </c>
      <c r="AJ14" s="11">
        <f>VLOOKUP(AI14,المرجع!$B$3:$C$12,2)</f>
        <v>4.5</v>
      </c>
      <c r="AK14" s="23" t="str">
        <f>VLOOKUP(AJ14,المرجع!$D$3:$E$12,2)</f>
        <v>ب+</v>
      </c>
      <c r="AL14" s="13">
        <f t="shared" si="6"/>
        <v>9</v>
      </c>
      <c r="AM14" s="21">
        <v>3</v>
      </c>
      <c r="AN14" s="8">
        <v>100</v>
      </c>
      <c r="AO14" s="11">
        <f>VLOOKUP(AN14,المرجع!$B$3:$C$12,2)</f>
        <v>5</v>
      </c>
      <c r="AP14" s="23" t="str">
        <f>VLOOKUP(AO14,المرجع!$D$3:$E$12,2)</f>
        <v xml:space="preserve">أ+ </v>
      </c>
      <c r="AQ14" s="13">
        <f t="shared" si="7"/>
        <v>15</v>
      </c>
      <c r="AR14" s="21">
        <v>2</v>
      </c>
      <c r="AS14" s="8">
        <v>60</v>
      </c>
      <c r="AT14" s="11">
        <f>VLOOKUP(AS14,المرجع!$B$3:$C$12,2)</f>
        <v>2</v>
      </c>
      <c r="AU14" s="23" t="str">
        <f>VLOOKUP(AT14,المرجع!$D$3:$E$12,2)</f>
        <v>د</v>
      </c>
      <c r="AV14" s="13">
        <f t="shared" si="8"/>
        <v>4</v>
      </c>
      <c r="AW14" s="21">
        <v>2</v>
      </c>
      <c r="AX14" s="8">
        <v>88</v>
      </c>
      <c r="AY14" s="11">
        <f>VLOOKUP(AX14,المرجع!$B$3:$C$12,2)</f>
        <v>4.5</v>
      </c>
      <c r="AZ14" s="23" t="str">
        <f>VLOOKUP(AY14,المرجع!$D$3:$E$12,2)</f>
        <v>ب+</v>
      </c>
      <c r="BA14" s="13">
        <f t="shared" si="9"/>
        <v>9</v>
      </c>
      <c r="BB14" s="25">
        <f t="shared" si="10"/>
        <v>97.25</v>
      </c>
      <c r="BC14" s="26">
        <f t="shared" si="11"/>
        <v>22</v>
      </c>
      <c r="BD14" s="27">
        <f t="shared" si="12"/>
        <v>4.4204545454545459</v>
      </c>
      <c r="BE14" s="80">
        <f>('المستوى الأول 2022'!BL14+'المستوى الثاني 2023'!BB14)/('المستوى الثاني 2023'!BC14+'المستوى الأول 2022'!BM14)</f>
        <v>4.0166666666666666</v>
      </c>
      <c r="BF14" s="28" t="str">
        <f>VLOOKUP(BE14,المرجع!$D$3:$F$12,3)</f>
        <v xml:space="preserve">جيد جدا </v>
      </c>
      <c r="BG14" s="29">
        <f t="shared" si="13"/>
        <v>12</v>
      </c>
    </row>
    <row r="15" spans="2:59" ht="22">
      <c r="B15" s="3">
        <v>2023069</v>
      </c>
      <c r="C15" s="5" t="s">
        <v>50</v>
      </c>
      <c r="D15" s="21">
        <v>1</v>
      </c>
      <c r="E15" s="15">
        <v>94</v>
      </c>
      <c r="F15" s="11">
        <f>VLOOKUP(E15,المرجع!$B$3:$C$12,2)</f>
        <v>4.75</v>
      </c>
      <c r="G15" s="23" t="str">
        <f>VLOOKUP(F15,المرجع!$D$3:$E$12,2)</f>
        <v>أ</v>
      </c>
      <c r="H15" s="13">
        <f t="shared" si="0"/>
        <v>4.75</v>
      </c>
      <c r="I15" s="21">
        <v>2</v>
      </c>
      <c r="J15" s="8">
        <v>90</v>
      </c>
      <c r="K15" s="11">
        <f>VLOOKUP(J15,المرجع!$B$3:$C$12,2)</f>
        <v>4.75</v>
      </c>
      <c r="L15" s="23" t="str">
        <f>VLOOKUP(K15,المرجع!$D$3:$E$12,2)</f>
        <v>أ</v>
      </c>
      <c r="M15" s="13">
        <f t="shared" si="1"/>
        <v>9.5</v>
      </c>
      <c r="N15" s="21">
        <v>2</v>
      </c>
      <c r="O15" s="8">
        <v>87</v>
      </c>
      <c r="P15" s="11">
        <f>VLOOKUP(O15,المرجع!$B$3:$C$12,2)</f>
        <v>4.5</v>
      </c>
      <c r="Q15" s="23" t="str">
        <f>VLOOKUP(P15,المرجع!$D$3:$E$12,2)</f>
        <v>ب+</v>
      </c>
      <c r="R15" s="13">
        <f t="shared" si="2"/>
        <v>9</v>
      </c>
      <c r="S15" s="21">
        <v>3</v>
      </c>
      <c r="T15" s="8">
        <v>100</v>
      </c>
      <c r="U15" s="11">
        <f>VLOOKUP(T15,المرجع!$B$3:$C$12,2)</f>
        <v>5</v>
      </c>
      <c r="V15" s="23" t="str">
        <f>VLOOKUP(U15,المرجع!$D$3:$E$12,2)</f>
        <v xml:space="preserve">أ+ </v>
      </c>
      <c r="W15" s="13">
        <f t="shared" si="3"/>
        <v>15</v>
      </c>
      <c r="X15" s="21">
        <v>2</v>
      </c>
      <c r="Y15" s="8">
        <v>100</v>
      </c>
      <c r="Z15" s="11">
        <f>VLOOKUP(Y15,المرجع!$B$3:$C$12,2)</f>
        <v>5</v>
      </c>
      <c r="AA15" s="23" t="str">
        <f>VLOOKUP(Z15,المرجع!$D$3:$E$12,2)</f>
        <v xml:space="preserve">أ+ </v>
      </c>
      <c r="AB15" s="13">
        <f t="shared" si="4"/>
        <v>10</v>
      </c>
      <c r="AC15" s="21">
        <v>3</v>
      </c>
      <c r="AD15" s="8">
        <v>87</v>
      </c>
      <c r="AE15" s="11">
        <f>VLOOKUP(AD15,المرجع!$B$3:$C$12,2)</f>
        <v>4.5</v>
      </c>
      <c r="AF15" s="23" t="str">
        <f>VLOOKUP(AE15,المرجع!$D$3:$E$12,2)</f>
        <v>ب+</v>
      </c>
      <c r="AG15" s="13">
        <f t="shared" si="5"/>
        <v>13.5</v>
      </c>
      <c r="AH15" s="21">
        <v>2</v>
      </c>
      <c r="AI15" s="8">
        <v>80</v>
      </c>
      <c r="AJ15" s="11">
        <f>VLOOKUP(AI15,المرجع!$B$3:$C$12,2)</f>
        <v>4</v>
      </c>
      <c r="AK15" s="23" t="str">
        <f>VLOOKUP(AJ15,المرجع!$D$3:$E$12,2)</f>
        <v>ب</v>
      </c>
      <c r="AL15" s="13">
        <f t="shared" si="6"/>
        <v>8</v>
      </c>
      <c r="AM15" s="21">
        <v>3</v>
      </c>
      <c r="AN15" s="8">
        <v>85</v>
      </c>
      <c r="AO15" s="11">
        <f>VLOOKUP(AN15,المرجع!$B$3:$C$12,2)</f>
        <v>4.5</v>
      </c>
      <c r="AP15" s="23" t="str">
        <f>VLOOKUP(AO15,المرجع!$D$3:$E$12,2)</f>
        <v>ب+</v>
      </c>
      <c r="AQ15" s="13">
        <f t="shared" si="7"/>
        <v>13.5</v>
      </c>
      <c r="AR15" s="21">
        <v>2</v>
      </c>
      <c r="AS15" s="8">
        <v>60</v>
      </c>
      <c r="AT15" s="11">
        <f>VLOOKUP(AS15,المرجع!$B$3:$C$12,2)</f>
        <v>2</v>
      </c>
      <c r="AU15" s="23" t="str">
        <f>VLOOKUP(AT15,المرجع!$D$3:$E$12,2)</f>
        <v>د</v>
      </c>
      <c r="AV15" s="13">
        <f t="shared" si="8"/>
        <v>4</v>
      </c>
      <c r="AW15" s="21">
        <v>2</v>
      </c>
      <c r="AX15" s="8">
        <v>100</v>
      </c>
      <c r="AY15" s="11">
        <f>VLOOKUP(AX15,المرجع!$B$3:$C$12,2)</f>
        <v>5</v>
      </c>
      <c r="AZ15" s="23" t="str">
        <f>VLOOKUP(AY15,المرجع!$D$3:$E$12,2)</f>
        <v xml:space="preserve">أ+ </v>
      </c>
      <c r="BA15" s="13">
        <f t="shared" si="9"/>
        <v>10</v>
      </c>
      <c r="BB15" s="25">
        <f t="shared" si="10"/>
        <v>97.25</v>
      </c>
      <c r="BC15" s="26">
        <f t="shared" si="11"/>
        <v>22</v>
      </c>
      <c r="BD15" s="27">
        <f t="shared" si="12"/>
        <v>4.4204545454545459</v>
      </c>
      <c r="BE15" s="80">
        <f>('المستوى الأول 2022'!BL15+'المستوى الثاني 2023'!BB15)/('المستوى الثاني 2023'!BC15+'المستوى الأول 2022'!BM15)</f>
        <v>3.9055555555555554</v>
      </c>
      <c r="BF15" s="28" t="str">
        <f>VLOOKUP(BE15,المرجع!$D$3:$F$12,3)</f>
        <v xml:space="preserve">جيد جدا </v>
      </c>
      <c r="BG15" s="29">
        <f t="shared" si="13"/>
        <v>12</v>
      </c>
    </row>
    <row r="16" spans="2:59" ht="22">
      <c r="B16" s="3">
        <v>2023039</v>
      </c>
      <c r="C16" s="5" t="s">
        <v>89</v>
      </c>
      <c r="D16" s="21">
        <v>1</v>
      </c>
      <c r="E16" s="15">
        <v>100</v>
      </c>
      <c r="F16" s="11">
        <f>VLOOKUP(E16,المرجع!$B$3:$C$12,2)</f>
        <v>5</v>
      </c>
      <c r="G16" s="23" t="str">
        <f>VLOOKUP(F16,المرجع!$D$3:$E$12,2)</f>
        <v xml:space="preserve">أ+ </v>
      </c>
      <c r="H16" s="13">
        <f t="shared" si="0"/>
        <v>5</v>
      </c>
      <c r="I16" s="21">
        <v>2</v>
      </c>
      <c r="J16" s="14">
        <v>98</v>
      </c>
      <c r="K16" s="11">
        <f>VLOOKUP(J16,المرجع!$B$3:$C$12,2)</f>
        <v>5</v>
      </c>
      <c r="L16" s="23" t="str">
        <f>VLOOKUP(K16,المرجع!$D$3:$E$12,2)</f>
        <v xml:space="preserve">أ+ </v>
      </c>
      <c r="M16" s="13">
        <f t="shared" si="1"/>
        <v>10</v>
      </c>
      <c r="N16" s="21">
        <v>2</v>
      </c>
      <c r="O16" s="14">
        <v>98</v>
      </c>
      <c r="P16" s="11">
        <f>VLOOKUP(O16,المرجع!$B$3:$C$12,2)</f>
        <v>5</v>
      </c>
      <c r="Q16" s="23" t="str">
        <f>VLOOKUP(P16,المرجع!$D$3:$E$12,2)</f>
        <v xml:space="preserve">أ+ </v>
      </c>
      <c r="R16" s="13">
        <f t="shared" si="2"/>
        <v>10</v>
      </c>
      <c r="S16" s="21">
        <v>3</v>
      </c>
      <c r="T16" s="14">
        <v>99</v>
      </c>
      <c r="U16" s="11">
        <f>VLOOKUP(T16,المرجع!$B$3:$C$12,2)</f>
        <v>5</v>
      </c>
      <c r="V16" s="23" t="str">
        <f>VLOOKUP(U16,المرجع!$D$3:$E$12,2)</f>
        <v xml:space="preserve">أ+ </v>
      </c>
      <c r="W16" s="13">
        <f t="shared" si="3"/>
        <v>15</v>
      </c>
      <c r="X16" s="21">
        <v>2</v>
      </c>
      <c r="Y16" s="14">
        <v>90</v>
      </c>
      <c r="Z16" s="11">
        <f>VLOOKUP(Y16,المرجع!$B$3:$C$12,2)</f>
        <v>4.75</v>
      </c>
      <c r="AA16" s="23" t="str">
        <f>VLOOKUP(Z16,المرجع!$D$3:$E$12,2)</f>
        <v>أ</v>
      </c>
      <c r="AB16" s="13">
        <f t="shared" si="4"/>
        <v>9.5</v>
      </c>
      <c r="AC16" s="21">
        <v>3</v>
      </c>
      <c r="AD16" s="14">
        <v>66</v>
      </c>
      <c r="AE16" s="11">
        <f>VLOOKUP(AD16,المرجع!$B$3:$C$12,2)</f>
        <v>2.5</v>
      </c>
      <c r="AF16" s="23" t="str">
        <f>VLOOKUP(AE16,المرجع!$D$3:$E$12,2)</f>
        <v>د+</v>
      </c>
      <c r="AG16" s="13">
        <f t="shared" si="5"/>
        <v>7.5</v>
      </c>
      <c r="AH16" s="21">
        <v>2</v>
      </c>
      <c r="AI16" s="14">
        <v>65</v>
      </c>
      <c r="AJ16" s="11">
        <f>VLOOKUP(AI16,المرجع!$B$3:$C$12,2)</f>
        <v>2.5</v>
      </c>
      <c r="AK16" s="23" t="str">
        <f>VLOOKUP(AJ16,المرجع!$D$3:$E$12,2)</f>
        <v>د+</v>
      </c>
      <c r="AL16" s="13">
        <f t="shared" si="6"/>
        <v>5</v>
      </c>
      <c r="AM16" s="21">
        <v>3</v>
      </c>
      <c r="AN16" s="14">
        <v>85</v>
      </c>
      <c r="AO16" s="11">
        <f>VLOOKUP(AN16,المرجع!$B$3:$C$12,2)</f>
        <v>4.5</v>
      </c>
      <c r="AP16" s="23" t="str">
        <f>VLOOKUP(AO16,المرجع!$D$3:$E$12,2)</f>
        <v>ب+</v>
      </c>
      <c r="AQ16" s="13">
        <f t="shared" si="7"/>
        <v>13.5</v>
      </c>
      <c r="AR16" s="21">
        <v>2</v>
      </c>
      <c r="AS16" s="14">
        <v>95</v>
      </c>
      <c r="AT16" s="11">
        <f>VLOOKUP(AS16,المرجع!$B$3:$C$12,2)</f>
        <v>5</v>
      </c>
      <c r="AU16" s="23" t="str">
        <f>VLOOKUP(AT16,المرجع!$D$3:$E$12,2)</f>
        <v xml:space="preserve">أ+ </v>
      </c>
      <c r="AV16" s="13">
        <f t="shared" si="8"/>
        <v>10</v>
      </c>
      <c r="AW16" s="21">
        <v>2</v>
      </c>
      <c r="AX16" s="14">
        <v>91</v>
      </c>
      <c r="AY16" s="11">
        <f>VLOOKUP(AX16,المرجع!$B$3:$C$12,2)</f>
        <v>4.75</v>
      </c>
      <c r="AZ16" s="23" t="str">
        <f>VLOOKUP(AY16,المرجع!$D$3:$E$12,2)</f>
        <v>أ</v>
      </c>
      <c r="BA16" s="13">
        <f t="shared" si="9"/>
        <v>9.5</v>
      </c>
      <c r="BB16" s="25">
        <f t="shared" si="10"/>
        <v>95</v>
      </c>
      <c r="BC16" s="26">
        <f t="shared" si="11"/>
        <v>22</v>
      </c>
      <c r="BD16" s="27">
        <f t="shared" si="12"/>
        <v>4.3181818181818183</v>
      </c>
      <c r="BE16" s="80">
        <f>('المستوى الأول 2022'!BL16+'المستوى الثاني 2023'!BB16)/('المستوى الثاني 2023'!BC16+'المستوى الأول 2022'!BM16)</f>
        <v>3.8888888888888888</v>
      </c>
      <c r="BF16" s="28" t="str">
        <f>VLOOKUP(BE16,المرجع!$D$3:$F$12,3)</f>
        <v xml:space="preserve">جيد جدا </v>
      </c>
      <c r="BG16" s="29">
        <f t="shared" si="13"/>
        <v>17</v>
      </c>
    </row>
    <row r="17" spans="2:59" ht="22">
      <c r="B17" s="3">
        <v>2023112</v>
      </c>
      <c r="C17" s="5" t="s">
        <v>53</v>
      </c>
      <c r="D17" s="21">
        <v>1</v>
      </c>
      <c r="E17" s="15">
        <v>94</v>
      </c>
      <c r="F17" s="11">
        <f>VLOOKUP(E17,المرجع!$B$3:$C$12,2)</f>
        <v>4.75</v>
      </c>
      <c r="G17" s="23" t="str">
        <f>VLOOKUP(F17,المرجع!$D$3:$E$12,2)</f>
        <v>أ</v>
      </c>
      <c r="H17" s="13">
        <f t="shared" si="0"/>
        <v>4.75</v>
      </c>
      <c r="I17" s="21">
        <v>2</v>
      </c>
      <c r="J17" s="8">
        <v>85</v>
      </c>
      <c r="K17" s="11">
        <f>VLOOKUP(J17,المرجع!$B$3:$C$12,2)</f>
        <v>4.5</v>
      </c>
      <c r="L17" s="23" t="str">
        <f>VLOOKUP(K17,المرجع!$D$3:$E$12,2)</f>
        <v>ب+</v>
      </c>
      <c r="M17" s="13">
        <f t="shared" si="1"/>
        <v>9</v>
      </c>
      <c r="N17" s="21">
        <v>2</v>
      </c>
      <c r="O17" s="8">
        <v>97</v>
      </c>
      <c r="P17" s="11">
        <f>VLOOKUP(O17,المرجع!$B$3:$C$12,2)</f>
        <v>5</v>
      </c>
      <c r="Q17" s="23" t="str">
        <f>VLOOKUP(P17,المرجع!$D$3:$E$12,2)</f>
        <v xml:space="preserve">أ+ </v>
      </c>
      <c r="R17" s="13">
        <f t="shared" si="2"/>
        <v>10</v>
      </c>
      <c r="S17" s="21">
        <v>3</v>
      </c>
      <c r="T17" s="8">
        <v>100</v>
      </c>
      <c r="U17" s="11">
        <f>VLOOKUP(T17,المرجع!$B$3:$C$12,2)</f>
        <v>5</v>
      </c>
      <c r="V17" s="23" t="str">
        <f>VLOOKUP(U17,المرجع!$D$3:$E$12,2)</f>
        <v xml:space="preserve">أ+ </v>
      </c>
      <c r="W17" s="13">
        <f t="shared" si="3"/>
        <v>15</v>
      </c>
      <c r="X17" s="21">
        <v>2</v>
      </c>
      <c r="Y17" s="8">
        <v>97</v>
      </c>
      <c r="Z17" s="11">
        <f>VLOOKUP(Y17,المرجع!$B$3:$C$12,2)</f>
        <v>5</v>
      </c>
      <c r="AA17" s="23" t="str">
        <f>VLOOKUP(Z17,المرجع!$D$3:$E$12,2)</f>
        <v xml:space="preserve">أ+ </v>
      </c>
      <c r="AB17" s="13">
        <f t="shared" si="4"/>
        <v>10</v>
      </c>
      <c r="AC17" s="21">
        <v>3</v>
      </c>
      <c r="AD17" s="8">
        <v>85</v>
      </c>
      <c r="AE17" s="11">
        <f>VLOOKUP(AD17,المرجع!$B$3:$C$12,2)</f>
        <v>4.5</v>
      </c>
      <c r="AF17" s="23" t="str">
        <f>VLOOKUP(AE17,المرجع!$D$3:$E$12,2)</f>
        <v>ب+</v>
      </c>
      <c r="AG17" s="13">
        <f t="shared" si="5"/>
        <v>13.5</v>
      </c>
      <c r="AH17" s="21">
        <v>2</v>
      </c>
      <c r="AI17" s="8">
        <v>80</v>
      </c>
      <c r="AJ17" s="11">
        <f>VLOOKUP(AI17,المرجع!$B$3:$C$12,2)</f>
        <v>4</v>
      </c>
      <c r="AK17" s="23" t="str">
        <f>VLOOKUP(AJ17,المرجع!$D$3:$E$12,2)</f>
        <v>ب</v>
      </c>
      <c r="AL17" s="13">
        <f t="shared" si="6"/>
        <v>8</v>
      </c>
      <c r="AM17" s="21">
        <v>3</v>
      </c>
      <c r="AN17" s="8">
        <v>90</v>
      </c>
      <c r="AO17" s="11">
        <f>VLOOKUP(AN17,المرجع!$B$3:$C$12,2)</f>
        <v>4.75</v>
      </c>
      <c r="AP17" s="23" t="str">
        <f>VLOOKUP(AO17,المرجع!$D$3:$E$12,2)</f>
        <v>أ</v>
      </c>
      <c r="AQ17" s="13">
        <f t="shared" si="7"/>
        <v>14.25</v>
      </c>
      <c r="AR17" s="21">
        <v>2</v>
      </c>
      <c r="AS17" s="8">
        <v>60</v>
      </c>
      <c r="AT17" s="11">
        <f>VLOOKUP(AS17,المرجع!$B$3:$C$12,2)</f>
        <v>2</v>
      </c>
      <c r="AU17" s="23" t="str">
        <f>VLOOKUP(AT17,المرجع!$D$3:$E$12,2)</f>
        <v>د</v>
      </c>
      <c r="AV17" s="13">
        <f t="shared" si="8"/>
        <v>4</v>
      </c>
      <c r="AW17" s="21">
        <v>2</v>
      </c>
      <c r="AX17" s="8">
        <v>82</v>
      </c>
      <c r="AY17" s="11">
        <f>VLOOKUP(AX17,المرجع!$B$3:$C$12,2)</f>
        <v>4</v>
      </c>
      <c r="AZ17" s="23" t="str">
        <f>VLOOKUP(AY17,المرجع!$D$3:$E$12,2)</f>
        <v>ب</v>
      </c>
      <c r="BA17" s="13">
        <f t="shared" si="9"/>
        <v>8</v>
      </c>
      <c r="BB17" s="25">
        <f t="shared" si="10"/>
        <v>96.5</v>
      </c>
      <c r="BC17" s="26">
        <f t="shared" si="11"/>
        <v>22</v>
      </c>
      <c r="BD17" s="27">
        <f t="shared" si="12"/>
        <v>4.3863636363636367</v>
      </c>
      <c r="BE17" s="80">
        <f>('المستوى الأول 2022'!BL17+'المستوى الثاني 2023'!BB17)/('المستوى الثاني 2023'!BC17+'المستوى الأول 2022'!BM17)</f>
        <v>3.911111111111111</v>
      </c>
      <c r="BF17" s="28" t="str">
        <f>VLOOKUP(BE17,المرجع!$D$3:$F$12,3)</f>
        <v xml:space="preserve">جيد جدا </v>
      </c>
      <c r="BG17" s="29">
        <f t="shared" si="13"/>
        <v>14</v>
      </c>
    </row>
    <row r="18" spans="2:59" ht="22">
      <c r="B18" s="3">
        <v>2023056</v>
      </c>
      <c r="C18" s="5" t="s">
        <v>3</v>
      </c>
      <c r="D18" s="21">
        <v>1</v>
      </c>
      <c r="E18" s="15">
        <v>100</v>
      </c>
      <c r="F18" s="11">
        <f>VLOOKUP(E18,المرجع!$B$3:$C$12,2)</f>
        <v>5</v>
      </c>
      <c r="G18" s="23" t="str">
        <f>VLOOKUP(F18,المرجع!$D$3:$E$12,2)</f>
        <v xml:space="preserve">أ+ </v>
      </c>
      <c r="H18" s="13">
        <f t="shared" si="0"/>
        <v>5</v>
      </c>
      <c r="I18" s="21">
        <v>2</v>
      </c>
      <c r="J18" s="8">
        <v>100</v>
      </c>
      <c r="K18" s="11">
        <f>VLOOKUP(J18,المرجع!$B$3:$C$12,2)</f>
        <v>5</v>
      </c>
      <c r="L18" s="23" t="str">
        <f>VLOOKUP(K18,المرجع!$D$3:$E$12,2)</f>
        <v xml:space="preserve">أ+ </v>
      </c>
      <c r="M18" s="13">
        <f t="shared" si="1"/>
        <v>10</v>
      </c>
      <c r="N18" s="21">
        <v>2</v>
      </c>
      <c r="O18" s="8">
        <v>85</v>
      </c>
      <c r="P18" s="11">
        <f>VLOOKUP(O18,المرجع!$B$3:$C$12,2)</f>
        <v>4.5</v>
      </c>
      <c r="Q18" s="23" t="str">
        <f>VLOOKUP(P18,المرجع!$D$3:$E$12,2)</f>
        <v>ب+</v>
      </c>
      <c r="R18" s="13">
        <f t="shared" si="2"/>
        <v>9</v>
      </c>
      <c r="S18" s="21">
        <v>3</v>
      </c>
      <c r="T18" s="8">
        <v>90</v>
      </c>
      <c r="U18" s="11">
        <f>VLOOKUP(T18,المرجع!$B$3:$C$12,2)</f>
        <v>4.75</v>
      </c>
      <c r="V18" s="23" t="str">
        <f>VLOOKUP(U18,المرجع!$D$3:$E$12,2)</f>
        <v>أ</v>
      </c>
      <c r="W18" s="13">
        <f t="shared" si="3"/>
        <v>14.25</v>
      </c>
      <c r="X18" s="21">
        <v>2</v>
      </c>
      <c r="Y18" s="8">
        <v>88</v>
      </c>
      <c r="Z18" s="11">
        <f>VLOOKUP(Y18,المرجع!$B$3:$C$12,2)</f>
        <v>4.5</v>
      </c>
      <c r="AA18" s="23" t="str">
        <f>VLOOKUP(Z18,المرجع!$D$3:$E$12,2)</f>
        <v>ب+</v>
      </c>
      <c r="AB18" s="13">
        <f t="shared" si="4"/>
        <v>9</v>
      </c>
      <c r="AC18" s="21">
        <v>3</v>
      </c>
      <c r="AD18" s="8">
        <v>81</v>
      </c>
      <c r="AE18" s="11">
        <f>VLOOKUP(AD18,المرجع!$B$3:$C$12,2)</f>
        <v>4</v>
      </c>
      <c r="AF18" s="23" t="str">
        <f>VLOOKUP(AE18,المرجع!$D$3:$E$12,2)</f>
        <v>ب</v>
      </c>
      <c r="AG18" s="13">
        <f t="shared" si="5"/>
        <v>12</v>
      </c>
      <c r="AH18" s="21">
        <v>2</v>
      </c>
      <c r="AI18" s="8">
        <v>75</v>
      </c>
      <c r="AJ18" s="11">
        <f>VLOOKUP(AI18,المرجع!$B$3:$C$12,2)</f>
        <v>3.5</v>
      </c>
      <c r="AK18" s="23" t="str">
        <f>VLOOKUP(AJ18,المرجع!$D$3:$E$12,2)</f>
        <v>ج+</v>
      </c>
      <c r="AL18" s="13">
        <f t="shared" si="6"/>
        <v>7</v>
      </c>
      <c r="AM18" s="21">
        <v>3</v>
      </c>
      <c r="AN18" s="8">
        <v>85</v>
      </c>
      <c r="AO18" s="11">
        <f>VLOOKUP(AN18,المرجع!$B$3:$C$12,2)</f>
        <v>4.5</v>
      </c>
      <c r="AP18" s="23" t="str">
        <f>VLOOKUP(AO18,المرجع!$D$3:$E$12,2)</f>
        <v>ب+</v>
      </c>
      <c r="AQ18" s="13">
        <f t="shared" si="7"/>
        <v>13.5</v>
      </c>
      <c r="AR18" s="21">
        <v>2</v>
      </c>
      <c r="AS18" s="8">
        <v>70</v>
      </c>
      <c r="AT18" s="11">
        <f>VLOOKUP(AS18,المرجع!$B$3:$C$12,2)</f>
        <v>3</v>
      </c>
      <c r="AU18" s="23" t="str">
        <f>VLOOKUP(AT18,المرجع!$D$3:$E$12,2)</f>
        <v>ج</v>
      </c>
      <c r="AV18" s="13">
        <f t="shared" si="8"/>
        <v>6</v>
      </c>
      <c r="AW18" s="21">
        <v>2</v>
      </c>
      <c r="AX18" s="8">
        <v>100</v>
      </c>
      <c r="AY18" s="11">
        <f>VLOOKUP(AX18,المرجع!$B$3:$C$12,2)</f>
        <v>5</v>
      </c>
      <c r="AZ18" s="23" t="str">
        <f>VLOOKUP(AY18,المرجع!$D$3:$E$12,2)</f>
        <v xml:space="preserve">أ+ </v>
      </c>
      <c r="BA18" s="13">
        <f t="shared" si="9"/>
        <v>10</v>
      </c>
      <c r="BB18" s="25">
        <f t="shared" si="10"/>
        <v>95.75</v>
      </c>
      <c r="BC18" s="26">
        <f t="shared" si="11"/>
        <v>22</v>
      </c>
      <c r="BD18" s="27">
        <f t="shared" si="12"/>
        <v>4.3522727272727275</v>
      </c>
      <c r="BE18" s="80">
        <f>('المستوى الأول 2022'!BL18+'المستوى الثاني 2023'!BB18)/('المستوى الثاني 2023'!BC18+'المستوى الأول 2022'!BM18)</f>
        <v>3.8666666666666667</v>
      </c>
      <c r="BF18" s="28" t="str">
        <f>VLOOKUP(BE18,المرجع!$D$3:$F$12,3)</f>
        <v xml:space="preserve">جيد جدا </v>
      </c>
      <c r="BG18" s="29">
        <f t="shared" si="13"/>
        <v>15</v>
      </c>
    </row>
    <row r="19" spans="2:59" ht="22">
      <c r="B19" s="3">
        <v>2023033</v>
      </c>
      <c r="C19" s="5" t="s">
        <v>7</v>
      </c>
      <c r="D19" s="21">
        <v>1</v>
      </c>
      <c r="E19" s="15">
        <v>97</v>
      </c>
      <c r="F19" s="11">
        <f>VLOOKUP(E19,المرجع!$B$3:$C$12,2)</f>
        <v>5</v>
      </c>
      <c r="G19" s="23" t="str">
        <f>VLOOKUP(F19,المرجع!$D$3:$E$12,2)</f>
        <v xml:space="preserve">أ+ </v>
      </c>
      <c r="H19" s="13">
        <f t="shared" si="0"/>
        <v>5</v>
      </c>
      <c r="I19" s="21">
        <v>2</v>
      </c>
      <c r="J19" s="8">
        <v>92</v>
      </c>
      <c r="K19" s="11">
        <f>VLOOKUP(J19,المرجع!$B$3:$C$12,2)</f>
        <v>4.75</v>
      </c>
      <c r="L19" s="23" t="str">
        <f>VLOOKUP(K19,المرجع!$D$3:$E$12,2)</f>
        <v>أ</v>
      </c>
      <c r="M19" s="13">
        <f t="shared" si="1"/>
        <v>9.5</v>
      </c>
      <c r="N19" s="21">
        <v>2</v>
      </c>
      <c r="O19" s="8">
        <v>85</v>
      </c>
      <c r="P19" s="11">
        <f>VLOOKUP(O19,المرجع!$B$3:$C$12,2)</f>
        <v>4.5</v>
      </c>
      <c r="Q19" s="23" t="str">
        <f>VLOOKUP(P19,المرجع!$D$3:$E$12,2)</f>
        <v>ب+</v>
      </c>
      <c r="R19" s="13">
        <f t="shared" si="2"/>
        <v>9</v>
      </c>
      <c r="S19" s="21">
        <v>3</v>
      </c>
      <c r="T19" s="8">
        <v>90</v>
      </c>
      <c r="U19" s="11">
        <f>VLOOKUP(T19,المرجع!$B$3:$C$12,2)</f>
        <v>4.75</v>
      </c>
      <c r="V19" s="23" t="str">
        <f>VLOOKUP(U19,المرجع!$D$3:$E$12,2)</f>
        <v>أ</v>
      </c>
      <c r="W19" s="13">
        <f t="shared" si="3"/>
        <v>14.25</v>
      </c>
      <c r="X19" s="21">
        <v>2</v>
      </c>
      <c r="Y19" s="8">
        <v>88</v>
      </c>
      <c r="Z19" s="11">
        <f>VLOOKUP(Y19,المرجع!$B$3:$C$12,2)</f>
        <v>4.5</v>
      </c>
      <c r="AA19" s="23" t="str">
        <f>VLOOKUP(Z19,المرجع!$D$3:$E$12,2)</f>
        <v>ب+</v>
      </c>
      <c r="AB19" s="13">
        <f t="shared" si="4"/>
        <v>9</v>
      </c>
      <c r="AC19" s="21">
        <v>3</v>
      </c>
      <c r="AD19" s="8">
        <v>85</v>
      </c>
      <c r="AE19" s="11">
        <f>VLOOKUP(AD19,المرجع!$B$3:$C$12,2)</f>
        <v>4.5</v>
      </c>
      <c r="AF19" s="23" t="str">
        <f>VLOOKUP(AE19,المرجع!$D$3:$E$12,2)</f>
        <v>ب+</v>
      </c>
      <c r="AG19" s="13">
        <f t="shared" si="5"/>
        <v>13.5</v>
      </c>
      <c r="AH19" s="21">
        <v>2</v>
      </c>
      <c r="AI19" s="8">
        <v>90</v>
      </c>
      <c r="AJ19" s="11">
        <f>VLOOKUP(AI19,المرجع!$B$3:$C$12,2)</f>
        <v>4.75</v>
      </c>
      <c r="AK19" s="23" t="str">
        <f>VLOOKUP(AJ19,المرجع!$D$3:$E$12,2)</f>
        <v>أ</v>
      </c>
      <c r="AL19" s="13">
        <f t="shared" si="6"/>
        <v>9.5</v>
      </c>
      <c r="AM19" s="21">
        <v>3</v>
      </c>
      <c r="AN19" s="8">
        <v>96</v>
      </c>
      <c r="AO19" s="11">
        <f>VLOOKUP(AN19,المرجع!$B$3:$C$12,2)</f>
        <v>5</v>
      </c>
      <c r="AP19" s="23" t="str">
        <f>VLOOKUP(AO19,المرجع!$D$3:$E$12,2)</f>
        <v xml:space="preserve">أ+ </v>
      </c>
      <c r="AQ19" s="13">
        <f t="shared" si="7"/>
        <v>15</v>
      </c>
      <c r="AR19" s="21">
        <v>2</v>
      </c>
      <c r="AS19" s="8">
        <v>50</v>
      </c>
      <c r="AT19" s="11">
        <f>VLOOKUP(AS19,المرجع!$B$3:$C$12,2)</f>
        <v>2</v>
      </c>
      <c r="AU19" s="23" t="str">
        <f>VLOOKUP(AT19,المرجع!$D$3:$E$12,2)</f>
        <v>د</v>
      </c>
      <c r="AV19" s="13">
        <f t="shared" si="8"/>
        <v>4</v>
      </c>
      <c r="AW19" s="21">
        <v>2</v>
      </c>
      <c r="AX19" s="8">
        <v>74</v>
      </c>
      <c r="AY19" s="11">
        <f>VLOOKUP(AX19,المرجع!$B$3:$C$12,2)</f>
        <v>3</v>
      </c>
      <c r="AZ19" s="23" t="str">
        <f>VLOOKUP(AY19,المرجع!$D$3:$E$12,2)</f>
        <v>ج</v>
      </c>
      <c r="BA19" s="13">
        <f t="shared" si="9"/>
        <v>6</v>
      </c>
      <c r="BB19" s="25">
        <f t="shared" si="10"/>
        <v>94.75</v>
      </c>
      <c r="BC19" s="26">
        <f t="shared" si="11"/>
        <v>22</v>
      </c>
      <c r="BD19" s="27">
        <f t="shared" si="12"/>
        <v>4.3068181818181817</v>
      </c>
      <c r="BE19" s="80">
        <f>('المستوى الأول 2022'!BL19+'المستوى الثاني 2023'!BB19)/('المستوى الثاني 2023'!BC19+'المستوى الأول 2022'!BM19)</f>
        <v>3.9333333333333331</v>
      </c>
      <c r="BF19" s="28" t="str">
        <f>VLOOKUP(BE19,المرجع!$D$3:$F$12,3)</f>
        <v xml:space="preserve">جيد جدا </v>
      </c>
      <c r="BG19" s="29">
        <f t="shared" si="13"/>
        <v>18</v>
      </c>
    </row>
    <row r="20" spans="2:59" ht="22">
      <c r="B20" s="3">
        <v>2023041</v>
      </c>
      <c r="C20" s="5" t="s">
        <v>90</v>
      </c>
      <c r="D20" s="21">
        <v>1</v>
      </c>
      <c r="E20" s="15">
        <v>100</v>
      </c>
      <c r="F20" s="11">
        <f>VLOOKUP(E20,المرجع!$B$3:$C$12,2)</f>
        <v>5</v>
      </c>
      <c r="G20" s="23" t="str">
        <f>VLOOKUP(F20,المرجع!$D$3:$E$12,2)</f>
        <v xml:space="preserve">أ+ </v>
      </c>
      <c r="H20" s="13">
        <f t="shared" si="0"/>
        <v>5</v>
      </c>
      <c r="I20" s="21">
        <v>2</v>
      </c>
      <c r="J20" s="14">
        <v>100</v>
      </c>
      <c r="K20" s="11">
        <f>VLOOKUP(J20,المرجع!$B$3:$C$12,2)</f>
        <v>5</v>
      </c>
      <c r="L20" s="23" t="str">
        <f>VLOOKUP(K20,المرجع!$D$3:$E$12,2)</f>
        <v xml:space="preserve">أ+ </v>
      </c>
      <c r="M20" s="13">
        <f t="shared" si="1"/>
        <v>10</v>
      </c>
      <c r="N20" s="21">
        <v>2</v>
      </c>
      <c r="O20" s="14">
        <v>100</v>
      </c>
      <c r="P20" s="11">
        <f>VLOOKUP(O20,المرجع!$B$3:$C$12,2)</f>
        <v>5</v>
      </c>
      <c r="Q20" s="23" t="str">
        <f>VLOOKUP(P20,المرجع!$D$3:$E$12,2)</f>
        <v xml:space="preserve">أ+ </v>
      </c>
      <c r="R20" s="13">
        <f t="shared" si="2"/>
        <v>10</v>
      </c>
      <c r="S20" s="21">
        <v>3</v>
      </c>
      <c r="T20" s="14">
        <v>100</v>
      </c>
      <c r="U20" s="11">
        <f>VLOOKUP(T20,المرجع!$B$3:$C$12,2)</f>
        <v>5</v>
      </c>
      <c r="V20" s="23" t="str">
        <f>VLOOKUP(U20,المرجع!$D$3:$E$12,2)</f>
        <v xml:space="preserve">أ+ </v>
      </c>
      <c r="W20" s="13">
        <f t="shared" si="3"/>
        <v>15</v>
      </c>
      <c r="X20" s="21">
        <v>2</v>
      </c>
      <c r="Y20" s="14">
        <v>80</v>
      </c>
      <c r="Z20" s="11">
        <f>VLOOKUP(Y20,المرجع!$B$3:$C$12,2)</f>
        <v>4</v>
      </c>
      <c r="AA20" s="23" t="str">
        <f>VLOOKUP(Z20,المرجع!$D$3:$E$12,2)</f>
        <v>ب</v>
      </c>
      <c r="AB20" s="13">
        <f t="shared" si="4"/>
        <v>8</v>
      </c>
      <c r="AC20" s="21">
        <v>3</v>
      </c>
      <c r="AD20" s="14">
        <v>91</v>
      </c>
      <c r="AE20" s="11">
        <f>VLOOKUP(AD20,المرجع!$B$3:$C$12,2)</f>
        <v>4.75</v>
      </c>
      <c r="AF20" s="23" t="str">
        <f>VLOOKUP(AE20,المرجع!$D$3:$E$12,2)</f>
        <v>أ</v>
      </c>
      <c r="AG20" s="13">
        <f t="shared" si="5"/>
        <v>14.25</v>
      </c>
      <c r="AH20" s="21">
        <v>2</v>
      </c>
      <c r="AI20" s="14">
        <v>71</v>
      </c>
      <c r="AJ20" s="11">
        <f>VLOOKUP(AI20,المرجع!$B$3:$C$12,2)</f>
        <v>3</v>
      </c>
      <c r="AK20" s="23" t="str">
        <f>VLOOKUP(AJ20,المرجع!$D$3:$E$12,2)</f>
        <v>ج</v>
      </c>
      <c r="AL20" s="13">
        <f t="shared" si="6"/>
        <v>6</v>
      </c>
      <c r="AM20" s="21">
        <v>3</v>
      </c>
      <c r="AN20" s="14">
        <v>86</v>
      </c>
      <c r="AO20" s="11">
        <f>VLOOKUP(AN20,المرجع!$B$3:$C$12,2)</f>
        <v>4.5</v>
      </c>
      <c r="AP20" s="23" t="str">
        <f>VLOOKUP(AO20,المرجع!$D$3:$E$12,2)</f>
        <v>ب+</v>
      </c>
      <c r="AQ20" s="13">
        <f t="shared" si="7"/>
        <v>13.5</v>
      </c>
      <c r="AR20" s="21">
        <v>2</v>
      </c>
      <c r="AS20" s="14">
        <v>50</v>
      </c>
      <c r="AT20" s="11">
        <f>VLOOKUP(AS20,المرجع!$B$3:$C$12,2)</f>
        <v>2</v>
      </c>
      <c r="AU20" s="23" t="str">
        <f>VLOOKUP(AT20,المرجع!$D$3:$E$12,2)</f>
        <v>د</v>
      </c>
      <c r="AV20" s="13">
        <f t="shared" si="8"/>
        <v>4</v>
      </c>
      <c r="AW20" s="21">
        <v>2</v>
      </c>
      <c r="AX20" s="14">
        <v>94</v>
      </c>
      <c r="AY20" s="11">
        <f>VLOOKUP(AX20,المرجع!$B$3:$C$12,2)</f>
        <v>4.75</v>
      </c>
      <c r="AZ20" s="23" t="str">
        <f>VLOOKUP(AY20,المرجع!$D$3:$E$12,2)</f>
        <v>أ</v>
      </c>
      <c r="BA20" s="13">
        <f t="shared" si="9"/>
        <v>9.5</v>
      </c>
      <c r="BB20" s="25">
        <f t="shared" si="10"/>
        <v>95.25</v>
      </c>
      <c r="BC20" s="26">
        <f t="shared" si="11"/>
        <v>22</v>
      </c>
      <c r="BD20" s="27">
        <f t="shared" si="12"/>
        <v>4.3295454545454541</v>
      </c>
      <c r="BE20" s="80">
        <f>('المستوى الأول 2022'!BL20+'المستوى الثاني 2023'!BB20)/('المستوى الثاني 2023'!BC20+'المستوى الأول 2022'!BM20)</f>
        <v>3.7388888888888889</v>
      </c>
      <c r="BF20" s="28" t="str">
        <f>VLOOKUP(BE20,المرجع!$D$3:$F$12,3)</f>
        <v xml:space="preserve">جيد جدا </v>
      </c>
      <c r="BG20" s="29">
        <f t="shared" si="13"/>
        <v>16</v>
      </c>
    </row>
    <row r="21" spans="2:59" ht="22">
      <c r="B21" s="3">
        <v>2023113</v>
      </c>
      <c r="C21" s="5" t="s">
        <v>54</v>
      </c>
      <c r="D21" s="21">
        <v>1</v>
      </c>
      <c r="E21" s="15">
        <v>85</v>
      </c>
      <c r="F21" s="11">
        <f>VLOOKUP(E21,المرجع!$B$3:$C$12,2)</f>
        <v>4.5</v>
      </c>
      <c r="G21" s="23" t="str">
        <f>VLOOKUP(F21,المرجع!$D$3:$E$12,2)</f>
        <v>ب+</v>
      </c>
      <c r="H21" s="13">
        <f t="shared" si="0"/>
        <v>4.5</v>
      </c>
      <c r="I21" s="21">
        <v>2</v>
      </c>
      <c r="J21" s="8">
        <v>89</v>
      </c>
      <c r="K21" s="11">
        <f>VLOOKUP(J21,المرجع!$B$3:$C$12,2)</f>
        <v>4.5</v>
      </c>
      <c r="L21" s="23" t="str">
        <f>VLOOKUP(K21,المرجع!$D$3:$E$12,2)</f>
        <v>ب+</v>
      </c>
      <c r="M21" s="13">
        <f t="shared" si="1"/>
        <v>9</v>
      </c>
      <c r="N21" s="21">
        <v>2</v>
      </c>
      <c r="O21" s="8">
        <v>84</v>
      </c>
      <c r="P21" s="11">
        <f>VLOOKUP(O21,المرجع!$B$3:$C$12,2)</f>
        <v>4</v>
      </c>
      <c r="Q21" s="23" t="str">
        <f>VLOOKUP(P21,المرجع!$D$3:$E$12,2)</f>
        <v>ب</v>
      </c>
      <c r="R21" s="13">
        <f t="shared" si="2"/>
        <v>8</v>
      </c>
      <c r="S21" s="21">
        <v>3</v>
      </c>
      <c r="T21" s="8">
        <v>100</v>
      </c>
      <c r="U21" s="11">
        <f>VLOOKUP(T21,المرجع!$B$3:$C$12,2)</f>
        <v>5</v>
      </c>
      <c r="V21" s="23" t="str">
        <f>VLOOKUP(U21,المرجع!$D$3:$E$12,2)</f>
        <v xml:space="preserve">أ+ </v>
      </c>
      <c r="W21" s="13">
        <f t="shared" si="3"/>
        <v>15</v>
      </c>
      <c r="X21" s="21">
        <v>2</v>
      </c>
      <c r="Y21" s="8">
        <v>100</v>
      </c>
      <c r="Z21" s="11">
        <f>VLOOKUP(Y21,المرجع!$B$3:$C$12,2)</f>
        <v>5</v>
      </c>
      <c r="AA21" s="23" t="str">
        <f>VLOOKUP(Z21,المرجع!$D$3:$E$12,2)</f>
        <v xml:space="preserve">أ+ </v>
      </c>
      <c r="AB21" s="13">
        <f t="shared" si="4"/>
        <v>10</v>
      </c>
      <c r="AC21" s="21">
        <v>3</v>
      </c>
      <c r="AD21" s="8">
        <v>83</v>
      </c>
      <c r="AE21" s="11">
        <f>VLOOKUP(AD21,المرجع!$B$3:$C$12,2)</f>
        <v>4</v>
      </c>
      <c r="AF21" s="23" t="str">
        <f>VLOOKUP(AE21,المرجع!$D$3:$E$12,2)</f>
        <v>ب</v>
      </c>
      <c r="AG21" s="13">
        <f t="shared" si="5"/>
        <v>12</v>
      </c>
      <c r="AH21" s="21">
        <v>2</v>
      </c>
      <c r="AI21" s="8">
        <v>80</v>
      </c>
      <c r="AJ21" s="11">
        <f>VLOOKUP(AI21,المرجع!$B$3:$C$12,2)</f>
        <v>4</v>
      </c>
      <c r="AK21" s="23" t="str">
        <f>VLOOKUP(AJ21,المرجع!$D$3:$E$12,2)</f>
        <v>ب</v>
      </c>
      <c r="AL21" s="13">
        <f t="shared" si="6"/>
        <v>8</v>
      </c>
      <c r="AM21" s="21">
        <v>3</v>
      </c>
      <c r="AN21" s="8">
        <v>96</v>
      </c>
      <c r="AO21" s="11">
        <f>VLOOKUP(AN21,المرجع!$B$3:$C$12,2)</f>
        <v>5</v>
      </c>
      <c r="AP21" s="23" t="str">
        <f>VLOOKUP(AO21,المرجع!$D$3:$E$12,2)</f>
        <v xml:space="preserve">أ+ </v>
      </c>
      <c r="AQ21" s="13">
        <f t="shared" si="7"/>
        <v>15</v>
      </c>
      <c r="AR21" s="21">
        <v>2</v>
      </c>
      <c r="AS21" s="8">
        <v>60</v>
      </c>
      <c r="AT21" s="11">
        <f>VLOOKUP(AS21,المرجع!$B$3:$C$12,2)</f>
        <v>2</v>
      </c>
      <c r="AU21" s="23" t="str">
        <f>VLOOKUP(AT21,المرجع!$D$3:$E$12,2)</f>
        <v>د</v>
      </c>
      <c r="AV21" s="13">
        <f t="shared" si="8"/>
        <v>4</v>
      </c>
      <c r="AW21" s="21">
        <v>2</v>
      </c>
      <c r="AX21" s="8">
        <v>85</v>
      </c>
      <c r="AY21" s="11">
        <f>VLOOKUP(AX21,المرجع!$B$3:$C$12,2)</f>
        <v>4.5</v>
      </c>
      <c r="AZ21" s="23" t="str">
        <f>VLOOKUP(AY21,المرجع!$D$3:$E$12,2)</f>
        <v>ب+</v>
      </c>
      <c r="BA21" s="13">
        <f t="shared" si="9"/>
        <v>9</v>
      </c>
      <c r="BB21" s="25">
        <f t="shared" si="10"/>
        <v>94.5</v>
      </c>
      <c r="BC21" s="26">
        <f t="shared" si="11"/>
        <v>22</v>
      </c>
      <c r="BD21" s="27">
        <f t="shared" si="12"/>
        <v>4.2954545454545459</v>
      </c>
      <c r="BE21" s="80">
        <f>('المستوى الأول 2022'!BL21+'المستوى الثاني 2023'!BB21)/('المستوى الثاني 2023'!BC21+'المستوى الأول 2022'!BM21)</f>
        <v>3.7277777777777779</v>
      </c>
      <c r="BF21" s="28" t="str">
        <f>VLOOKUP(BE21,المرجع!$D$3:$F$12,3)</f>
        <v xml:space="preserve">جيد جدا </v>
      </c>
      <c r="BG21" s="29">
        <f t="shared" si="13"/>
        <v>19</v>
      </c>
    </row>
    <row r="22" spans="2:59" ht="22">
      <c r="B22" s="3">
        <v>2023051</v>
      </c>
      <c r="C22" s="5" t="s">
        <v>4</v>
      </c>
      <c r="D22" s="21">
        <v>1</v>
      </c>
      <c r="E22" s="15">
        <v>91</v>
      </c>
      <c r="F22" s="11">
        <f>VLOOKUP(E22,المرجع!$B$3:$C$12,2)</f>
        <v>4.75</v>
      </c>
      <c r="G22" s="23" t="str">
        <f>VLOOKUP(F22,المرجع!$D$3:$E$12,2)</f>
        <v>أ</v>
      </c>
      <c r="H22" s="13">
        <f t="shared" si="0"/>
        <v>4.75</v>
      </c>
      <c r="I22" s="21">
        <v>2</v>
      </c>
      <c r="J22" s="8">
        <v>97</v>
      </c>
      <c r="K22" s="11">
        <f>VLOOKUP(J22,المرجع!$B$3:$C$12,2)</f>
        <v>5</v>
      </c>
      <c r="L22" s="23" t="str">
        <f>VLOOKUP(K22,المرجع!$D$3:$E$12,2)</f>
        <v xml:space="preserve">أ+ </v>
      </c>
      <c r="M22" s="13">
        <f t="shared" si="1"/>
        <v>10</v>
      </c>
      <c r="N22" s="21">
        <v>2</v>
      </c>
      <c r="O22" s="8">
        <v>86</v>
      </c>
      <c r="P22" s="11">
        <f>VLOOKUP(O22,المرجع!$B$3:$C$12,2)</f>
        <v>4.5</v>
      </c>
      <c r="Q22" s="23" t="str">
        <f>VLOOKUP(P22,المرجع!$D$3:$E$12,2)</f>
        <v>ب+</v>
      </c>
      <c r="R22" s="13">
        <f t="shared" si="2"/>
        <v>9</v>
      </c>
      <c r="S22" s="21">
        <v>3</v>
      </c>
      <c r="T22" s="8">
        <v>90</v>
      </c>
      <c r="U22" s="11">
        <f>VLOOKUP(T22,المرجع!$B$3:$C$12,2)</f>
        <v>4.75</v>
      </c>
      <c r="V22" s="23" t="str">
        <f>VLOOKUP(U22,المرجع!$D$3:$E$12,2)</f>
        <v>أ</v>
      </c>
      <c r="W22" s="13">
        <f t="shared" si="3"/>
        <v>14.25</v>
      </c>
      <c r="X22" s="21">
        <v>2</v>
      </c>
      <c r="Y22" s="8">
        <v>88</v>
      </c>
      <c r="Z22" s="11">
        <f>VLOOKUP(Y22,المرجع!$B$3:$C$12,2)</f>
        <v>4.5</v>
      </c>
      <c r="AA22" s="23" t="str">
        <f>VLOOKUP(Z22,المرجع!$D$3:$E$12,2)</f>
        <v>ب+</v>
      </c>
      <c r="AB22" s="13">
        <f t="shared" si="4"/>
        <v>9</v>
      </c>
      <c r="AC22" s="21">
        <v>3</v>
      </c>
      <c r="AD22" s="8">
        <v>91</v>
      </c>
      <c r="AE22" s="11">
        <f>VLOOKUP(AD22,المرجع!$B$3:$C$12,2)</f>
        <v>4.75</v>
      </c>
      <c r="AF22" s="23" t="str">
        <f>VLOOKUP(AE22,المرجع!$D$3:$E$12,2)</f>
        <v>أ</v>
      </c>
      <c r="AG22" s="13">
        <f t="shared" si="5"/>
        <v>14.25</v>
      </c>
      <c r="AH22" s="21">
        <v>2</v>
      </c>
      <c r="AI22" s="8">
        <v>63</v>
      </c>
      <c r="AJ22" s="11">
        <f>VLOOKUP(AI22,المرجع!$B$3:$C$12,2)</f>
        <v>2</v>
      </c>
      <c r="AK22" s="23" t="str">
        <f>VLOOKUP(AJ22,المرجع!$D$3:$E$12,2)</f>
        <v>د</v>
      </c>
      <c r="AL22" s="13">
        <f t="shared" si="6"/>
        <v>4</v>
      </c>
      <c r="AM22" s="21">
        <v>3</v>
      </c>
      <c r="AN22" s="8">
        <v>93</v>
      </c>
      <c r="AO22" s="11">
        <f>VLOOKUP(AN22,المرجع!$B$3:$C$12,2)</f>
        <v>4.75</v>
      </c>
      <c r="AP22" s="23" t="str">
        <f>VLOOKUP(AO22,المرجع!$D$3:$E$12,2)</f>
        <v>أ</v>
      </c>
      <c r="AQ22" s="13">
        <f t="shared" si="7"/>
        <v>14.25</v>
      </c>
      <c r="AR22" s="21">
        <v>2</v>
      </c>
      <c r="AS22" s="8">
        <v>70</v>
      </c>
      <c r="AT22" s="11">
        <f>VLOOKUP(AS22,المرجع!$B$3:$C$12,2)</f>
        <v>3</v>
      </c>
      <c r="AU22" s="23" t="str">
        <f>VLOOKUP(AT22,المرجع!$D$3:$E$12,2)</f>
        <v>ج</v>
      </c>
      <c r="AV22" s="13">
        <f t="shared" si="8"/>
        <v>6</v>
      </c>
      <c r="AW22" s="21">
        <v>2</v>
      </c>
      <c r="AX22" s="8">
        <v>86</v>
      </c>
      <c r="AY22" s="11">
        <f>VLOOKUP(AX22,المرجع!$B$3:$C$12,2)</f>
        <v>4.5</v>
      </c>
      <c r="AZ22" s="23" t="str">
        <f>VLOOKUP(AY22,المرجع!$D$3:$E$12,2)</f>
        <v>ب+</v>
      </c>
      <c r="BA22" s="13">
        <f t="shared" si="9"/>
        <v>9</v>
      </c>
      <c r="BB22" s="25">
        <f t="shared" si="10"/>
        <v>94.5</v>
      </c>
      <c r="BC22" s="26">
        <f t="shared" si="11"/>
        <v>22</v>
      </c>
      <c r="BD22" s="27">
        <f t="shared" si="12"/>
        <v>4.2954545454545459</v>
      </c>
      <c r="BE22" s="80">
        <f>('المستوى الأول 2022'!BL22+'المستوى الثاني 2023'!BB22)/('المستوى الثاني 2023'!BC22+'المستوى الأول 2022'!BM22)</f>
        <v>3.7333333333333334</v>
      </c>
      <c r="BF22" s="28" t="str">
        <f>VLOOKUP(BE22,المرجع!$D$3:$F$12,3)</f>
        <v xml:space="preserve">جيد جدا </v>
      </c>
      <c r="BG22" s="29">
        <f t="shared" si="13"/>
        <v>19</v>
      </c>
    </row>
    <row r="23" spans="2:59" ht="22">
      <c r="B23" s="3">
        <v>2023038</v>
      </c>
      <c r="C23" s="5" t="s">
        <v>5</v>
      </c>
      <c r="D23" s="21">
        <v>1</v>
      </c>
      <c r="E23" s="15">
        <v>98</v>
      </c>
      <c r="F23" s="11">
        <f>VLOOKUP(E23,المرجع!$B$3:$C$12,2)</f>
        <v>5</v>
      </c>
      <c r="G23" s="23" t="str">
        <f>VLOOKUP(F23,المرجع!$D$3:$E$12,2)</f>
        <v xml:space="preserve">أ+ </v>
      </c>
      <c r="H23" s="13">
        <f t="shared" si="0"/>
        <v>5</v>
      </c>
      <c r="I23" s="21">
        <v>2</v>
      </c>
      <c r="J23" s="8">
        <v>80</v>
      </c>
      <c r="K23" s="11">
        <f>VLOOKUP(J23,المرجع!$B$3:$C$12,2)</f>
        <v>4</v>
      </c>
      <c r="L23" s="23" t="str">
        <f>VLOOKUP(K23,المرجع!$D$3:$E$12,2)</f>
        <v>ب</v>
      </c>
      <c r="M23" s="13">
        <f t="shared" si="1"/>
        <v>8</v>
      </c>
      <c r="N23" s="21">
        <v>2</v>
      </c>
      <c r="O23" s="8">
        <v>96</v>
      </c>
      <c r="P23" s="11">
        <f>VLOOKUP(O23,المرجع!$B$3:$C$12,2)</f>
        <v>5</v>
      </c>
      <c r="Q23" s="23" t="str">
        <f>VLOOKUP(P23,المرجع!$D$3:$E$12,2)</f>
        <v xml:space="preserve">أ+ </v>
      </c>
      <c r="R23" s="13">
        <f t="shared" si="2"/>
        <v>10</v>
      </c>
      <c r="S23" s="21">
        <v>3</v>
      </c>
      <c r="T23" s="8">
        <v>100</v>
      </c>
      <c r="U23" s="11">
        <f>VLOOKUP(T23,المرجع!$B$3:$C$12,2)</f>
        <v>5</v>
      </c>
      <c r="V23" s="23" t="str">
        <f>VLOOKUP(U23,المرجع!$D$3:$E$12,2)</f>
        <v xml:space="preserve">أ+ </v>
      </c>
      <c r="W23" s="13">
        <f t="shared" si="3"/>
        <v>15</v>
      </c>
      <c r="X23" s="21">
        <v>2</v>
      </c>
      <c r="Y23" s="8">
        <v>91</v>
      </c>
      <c r="Z23" s="11">
        <f>VLOOKUP(Y23,المرجع!$B$3:$C$12,2)</f>
        <v>4.75</v>
      </c>
      <c r="AA23" s="23" t="str">
        <f>VLOOKUP(Z23,المرجع!$D$3:$E$12,2)</f>
        <v>أ</v>
      </c>
      <c r="AB23" s="13">
        <f t="shared" si="4"/>
        <v>9.5</v>
      </c>
      <c r="AC23" s="21">
        <v>3</v>
      </c>
      <c r="AD23" s="8">
        <v>86</v>
      </c>
      <c r="AE23" s="11">
        <f>VLOOKUP(AD23,المرجع!$B$3:$C$12,2)</f>
        <v>4.5</v>
      </c>
      <c r="AF23" s="23" t="str">
        <f>VLOOKUP(AE23,المرجع!$D$3:$E$12,2)</f>
        <v>ب+</v>
      </c>
      <c r="AG23" s="13">
        <f t="shared" si="5"/>
        <v>13.5</v>
      </c>
      <c r="AH23" s="21">
        <v>2</v>
      </c>
      <c r="AI23" s="8">
        <v>88</v>
      </c>
      <c r="AJ23" s="11">
        <f>VLOOKUP(AI23,المرجع!$B$3:$C$12,2)</f>
        <v>4.5</v>
      </c>
      <c r="AK23" s="23" t="str">
        <f>VLOOKUP(AJ23,المرجع!$D$3:$E$12,2)</f>
        <v>ب+</v>
      </c>
      <c r="AL23" s="13">
        <f t="shared" si="6"/>
        <v>9</v>
      </c>
      <c r="AM23" s="21">
        <v>3</v>
      </c>
      <c r="AN23" s="8">
        <v>71</v>
      </c>
      <c r="AO23" s="11">
        <f>VLOOKUP(AN23,المرجع!$B$3:$C$12,2)</f>
        <v>3</v>
      </c>
      <c r="AP23" s="23" t="str">
        <f>VLOOKUP(AO23,المرجع!$D$3:$E$12,2)</f>
        <v>ج</v>
      </c>
      <c r="AQ23" s="13">
        <f t="shared" si="7"/>
        <v>9</v>
      </c>
      <c r="AR23" s="21">
        <v>2</v>
      </c>
      <c r="AS23" s="8">
        <v>50</v>
      </c>
      <c r="AT23" s="11">
        <f>VLOOKUP(AS23,المرجع!$B$3:$C$12,2)</f>
        <v>2</v>
      </c>
      <c r="AU23" s="23" t="str">
        <f>VLOOKUP(AT23,المرجع!$D$3:$E$12,2)</f>
        <v>د</v>
      </c>
      <c r="AV23" s="13">
        <f t="shared" si="8"/>
        <v>4</v>
      </c>
      <c r="AW23" s="21">
        <v>2</v>
      </c>
      <c r="AX23" s="8">
        <v>92</v>
      </c>
      <c r="AY23" s="11">
        <f>VLOOKUP(AX23,المرجع!$B$3:$C$12,2)</f>
        <v>4.75</v>
      </c>
      <c r="AZ23" s="23" t="str">
        <f>VLOOKUP(AY23,المرجع!$D$3:$E$12,2)</f>
        <v>أ</v>
      </c>
      <c r="BA23" s="13">
        <f t="shared" si="9"/>
        <v>9.5</v>
      </c>
      <c r="BB23" s="25">
        <f t="shared" si="10"/>
        <v>92.5</v>
      </c>
      <c r="BC23" s="26">
        <f t="shared" si="11"/>
        <v>22</v>
      </c>
      <c r="BD23" s="27">
        <f t="shared" si="12"/>
        <v>4.2045454545454541</v>
      </c>
      <c r="BE23" s="80">
        <f>('المستوى الأول 2022'!BL23+'المستوى الثاني 2023'!BB23)/('المستوى الثاني 2023'!BC23+'المستوى الأول 2022'!BM23)</f>
        <v>3.7277777777777779</v>
      </c>
      <c r="BF23" s="28" t="str">
        <f>VLOOKUP(BE23,المرجع!$D$3:$F$12,3)</f>
        <v xml:space="preserve">جيد جدا </v>
      </c>
      <c r="BG23" s="29">
        <f t="shared" si="13"/>
        <v>21</v>
      </c>
    </row>
    <row r="24" spans="2:59" ht="22">
      <c r="B24" s="3">
        <v>2023129</v>
      </c>
      <c r="C24" s="5" t="s">
        <v>92</v>
      </c>
      <c r="D24" s="21">
        <v>1</v>
      </c>
      <c r="E24" s="15">
        <v>95</v>
      </c>
      <c r="F24" s="11">
        <f>VLOOKUP(E24,المرجع!$B$3:$C$12,2)</f>
        <v>5</v>
      </c>
      <c r="G24" s="23" t="str">
        <f>VLOOKUP(F24,المرجع!$D$3:$E$12,2)</f>
        <v xml:space="preserve">أ+ </v>
      </c>
      <c r="H24" s="13">
        <f t="shared" si="0"/>
        <v>5</v>
      </c>
      <c r="I24" s="21">
        <v>2</v>
      </c>
      <c r="J24" s="14">
        <v>98</v>
      </c>
      <c r="K24" s="11">
        <f>VLOOKUP(J24,المرجع!$B$3:$C$12,2)</f>
        <v>5</v>
      </c>
      <c r="L24" s="23" t="str">
        <f>VLOOKUP(K24,المرجع!$D$3:$E$12,2)</f>
        <v xml:space="preserve">أ+ </v>
      </c>
      <c r="M24" s="13">
        <f t="shared" si="1"/>
        <v>10</v>
      </c>
      <c r="N24" s="21">
        <v>2</v>
      </c>
      <c r="O24" s="14">
        <v>98</v>
      </c>
      <c r="P24" s="11">
        <f>VLOOKUP(O24,المرجع!$B$3:$C$12,2)</f>
        <v>5</v>
      </c>
      <c r="Q24" s="23" t="str">
        <f>VLOOKUP(P24,المرجع!$D$3:$E$12,2)</f>
        <v xml:space="preserve">أ+ </v>
      </c>
      <c r="R24" s="13">
        <f t="shared" si="2"/>
        <v>10</v>
      </c>
      <c r="S24" s="21">
        <v>3</v>
      </c>
      <c r="T24" s="14">
        <v>90</v>
      </c>
      <c r="U24" s="11">
        <f>VLOOKUP(T24,المرجع!$B$3:$C$12,2)</f>
        <v>4.75</v>
      </c>
      <c r="V24" s="23" t="str">
        <f>VLOOKUP(U24,المرجع!$D$3:$E$12,2)</f>
        <v>أ</v>
      </c>
      <c r="W24" s="13">
        <f t="shared" si="3"/>
        <v>14.25</v>
      </c>
      <c r="X24" s="21">
        <v>2</v>
      </c>
      <c r="Y24" s="14">
        <v>94</v>
      </c>
      <c r="Z24" s="11">
        <f>VLOOKUP(Y24,المرجع!$B$3:$C$12,2)</f>
        <v>4.75</v>
      </c>
      <c r="AA24" s="23" t="str">
        <f>VLOOKUP(Z24,المرجع!$D$3:$E$12,2)</f>
        <v>أ</v>
      </c>
      <c r="AB24" s="13">
        <f t="shared" si="4"/>
        <v>9.5</v>
      </c>
      <c r="AC24" s="21">
        <v>3</v>
      </c>
      <c r="AD24" s="14">
        <v>72</v>
      </c>
      <c r="AE24" s="11">
        <f>VLOOKUP(AD24,المرجع!$B$3:$C$12,2)</f>
        <v>3</v>
      </c>
      <c r="AF24" s="23" t="str">
        <f>VLOOKUP(AE24,المرجع!$D$3:$E$12,2)</f>
        <v>ج</v>
      </c>
      <c r="AG24" s="13">
        <f t="shared" si="5"/>
        <v>9</v>
      </c>
      <c r="AH24" s="21">
        <v>2</v>
      </c>
      <c r="AI24" s="14">
        <v>77</v>
      </c>
      <c r="AJ24" s="11">
        <f>VLOOKUP(AI24,المرجع!$B$3:$C$12,2)</f>
        <v>3.5</v>
      </c>
      <c r="AK24" s="23" t="str">
        <f>VLOOKUP(AJ24,المرجع!$D$3:$E$12,2)</f>
        <v>ج+</v>
      </c>
      <c r="AL24" s="13">
        <f t="shared" si="6"/>
        <v>7</v>
      </c>
      <c r="AM24" s="21">
        <v>3</v>
      </c>
      <c r="AN24" s="14">
        <v>88</v>
      </c>
      <c r="AO24" s="11">
        <f>VLOOKUP(AN24,المرجع!$B$3:$C$12,2)</f>
        <v>4.5</v>
      </c>
      <c r="AP24" s="23" t="str">
        <f>VLOOKUP(AO24,المرجع!$D$3:$E$12,2)</f>
        <v>ب+</v>
      </c>
      <c r="AQ24" s="13">
        <f t="shared" si="7"/>
        <v>13.5</v>
      </c>
      <c r="AR24" s="21">
        <v>2</v>
      </c>
      <c r="AS24" s="14">
        <v>50</v>
      </c>
      <c r="AT24" s="11">
        <f>VLOOKUP(AS24,المرجع!$B$3:$C$12,2)</f>
        <v>2</v>
      </c>
      <c r="AU24" s="23" t="str">
        <f>VLOOKUP(AT24,المرجع!$D$3:$E$12,2)</f>
        <v>د</v>
      </c>
      <c r="AV24" s="13">
        <f t="shared" si="8"/>
        <v>4</v>
      </c>
      <c r="AW24" s="21">
        <v>2</v>
      </c>
      <c r="AX24" s="14">
        <v>87</v>
      </c>
      <c r="AY24" s="11">
        <f>VLOOKUP(AX24,المرجع!$B$3:$C$12,2)</f>
        <v>4.5</v>
      </c>
      <c r="AZ24" s="23" t="str">
        <f>VLOOKUP(AY24,المرجع!$D$3:$E$12,2)</f>
        <v>ب+</v>
      </c>
      <c r="BA24" s="13">
        <f t="shared" si="9"/>
        <v>9</v>
      </c>
      <c r="BB24" s="25">
        <f t="shared" si="10"/>
        <v>91.25</v>
      </c>
      <c r="BC24" s="26">
        <f t="shared" si="11"/>
        <v>22</v>
      </c>
      <c r="BD24" s="27">
        <f t="shared" si="12"/>
        <v>4.1477272727272725</v>
      </c>
      <c r="BE24" s="80">
        <f>('المستوى الأول 2022'!BL24+'المستوى الثاني 2023'!BB24)/('المستوى الثاني 2023'!BC24+'المستوى الأول 2022'!BM24)</f>
        <v>3.6111111111111112</v>
      </c>
      <c r="BF24" s="28" t="str">
        <f>VLOOKUP(BE24,المرجع!$D$3:$F$12,3)</f>
        <v xml:space="preserve">جيد جدا </v>
      </c>
      <c r="BG24" s="29">
        <f t="shared" si="13"/>
        <v>26</v>
      </c>
    </row>
    <row r="25" spans="2:59" ht="22">
      <c r="B25" s="3">
        <v>2023081</v>
      </c>
      <c r="C25" s="5" t="s">
        <v>52</v>
      </c>
      <c r="D25" s="21">
        <v>1</v>
      </c>
      <c r="E25" s="15">
        <v>95</v>
      </c>
      <c r="F25" s="11">
        <f>VLOOKUP(E25,المرجع!$B$3:$C$12,2)</f>
        <v>5</v>
      </c>
      <c r="G25" s="23" t="str">
        <f>VLOOKUP(F25,المرجع!$D$3:$E$12,2)</f>
        <v xml:space="preserve">أ+ </v>
      </c>
      <c r="H25" s="13">
        <f t="shared" si="0"/>
        <v>5</v>
      </c>
      <c r="I25" s="21">
        <v>2</v>
      </c>
      <c r="J25" s="8">
        <v>95</v>
      </c>
      <c r="K25" s="11">
        <f>VLOOKUP(J25,المرجع!$B$3:$C$12,2)</f>
        <v>5</v>
      </c>
      <c r="L25" s="23" t="str">
        <f>VLOOKUP(K25,المرجع!$D$3:$E$12,2)</f>
        <v xml:space="preserve">أ+ </v>
      </c>
      <c r="M25" s="13">
        <f t="shared" si="1"/>
        <v>10</v>
      </c>
      <c r="N25" s="21">
        <v>2</v>
      </c>
      <c r="O25" s="8">
        <v>87</v>
      </c>
      <c r="P25" s="11">
        <f>VLOOKUP(O25,المرجع!$B$3:$C$12,2)</f>
        <v>4.5</v>
      </c>
      <c r="Q25" s="23" t="str">
        <f>VLOOKUP(P25,المرجع!$D$3:$E$12,2)</f>
        <v>ب+</v>
      </c>
      <c r="R25" s="13">
        <f t="shared" si="2"/>
        <v>9</v>
      </c>
      <c r="S25" s="21">
        <v>3</v>
      </c>
      <c r="T25" s="8">
        <v>100</v>
      </c>
      <c r="U25" s="11">
        <f>VLOOKUP(T25,المرجع!$B$3:$C$12,2)</f>
        <v>5</v>
      </c>
      <c r="V25" s="23" t="str">
        <f>VLOOKUP(U25,المرجع!$D$3:$E$12,2)</f>
        <v xml:space="preserve">أ+ </v>
      </c>
      <c r="W25" s="13">
        <f t="shared" si="3"/>
        <v>15</v>
      </c>
      <c r="X25" s="21">
        <v>2</v>
      </c>
      <c r="Y25" s="8">
        <v>79</v>
      </c>
      <c r="Z25" s="11">
        <f>VLOOKUP(Y25,المرجع!$B$3:$C$12,2)</f>
        <v>3.5</v>
      </c>
      <c r="AA25" s="23" t="str">
        <f>VLOOKUP(Z25,المرجع!$D$3:$E$12,2)</f>
        <v>ج+</v>
      </c>
      <c r="AB25" s="13">
        <f t="shared" si="4"/>
        <v>7</v>
      </c>
      <c r="AC25" s="21">
        <v>3</v>
      </c>
      <c r="AD25" s="8">
        <v>72</v>
      </c>
      <c r="AE25" s="11">
        <f>VLOOKUP(AD25,المرجع!$B$3:$C$12,2)</f>
        <v>3</v>
      </c>
      <c r="AF25" s="23" t="str">
        <f>VLOOKUP(AE25,المرجع!$D$3:$E$12,2)</f>
        <v>ج</v>
      </c>
      <c r="AG25" s="13">
        <f t="shared" si="5"/>
        <v>9</v>
      </c>
      <c r="AH25" s="21">
        <v>2</v>
      </c>
      <c r="AI25" s="8">
        <v>72</v>
      </c>
      <c r="AJ25" s="11">
        <f>VLOOKUP(AI25,المرجع!$B$3:$C$12,2)</f>
        <v>3</v>
      </c>
      <c r="AK25" s="23" t="str">
        <f>VLOOKUP(AJ25,المرجع!$D$3:$E$12,2)</f>
        <v>ج</v>
      </c>
      <c r="AL25" s="13">
        <f t="shared" si="6"/>
        <v>6</v>
      </c>
      <c r="AM25" s="21">
        <v>3</v>
      </c>
      <c r="AN25" s="8">
        <v>100</v>
      </c>
      <c r="AO25" s="11">
        <f>VLOOKUP(AN25,المرجع!$B$3:$C$12,2)</f>
        <v>5</v>
      </c>
      <c r="AP25" s="23" t="str">
        <f>VLOOKUP(AO25,المرجع!$D$3:$E$12,2)</f>
        <v xml:space="preserve">أ+ </v>
      </c>
      <c r="AQ25" s="13">
        <f t="shared" si="7"/>
        <v>15</v>
      </c>
      <c r="AR25" s="21">
        <v>2</v>
      </c>
      <c r="AS25" s="8">
        <v>70</v>
      </c>
      <c r="AT25" s="11">
        <f>VLOOKUP(AS25,المرجع!$B$3:$C$12,2)</f>
        <v>3</v>
      </c>
      <c r="AU25" s="23" t="str">
        <f>VLOOKUP(AT25,المرجع!$D$3:$E$12,2)</f>
        <v>ج</v>
      </c>
      <c r="AV25" s="13">
        <f t="shared" si="8"/>
        <v>6</v>
      </c>
      <c r="AW25" s="21">
        <v>2</v>
      </c>
      <c r="AX25" s="8">
        <v>100</v>
      </c>
      <c r="AY25" s="11">
        <f>VLOOKUP(AX25,المرجع!$B$3:$C$12,2)</f>
        <v>5</v>
      </c>
      <c r="AZ25" s="23" t="str">
        <f>VLOOKUP(AY25,المرجع!$D$3:$E$12,2)</f>
        <v xml:space="preserve">أ+ </v>
      </c>
      <c r="BA25" s="13">
        <f t="shared" si="9"/>
        <v>10</v>
      </c>
      <c r="BB25" s="25">
        <f t="shared" si="10"/>
        <v>92</v>
      </c>
      <c r="BC25" s="26">
        <f t="shared" si="11"/>
        <v>22</v>
      </c>
      <c r="BD25" s="27">
        <f t="shared" si="12"/>
        <v>4.1818181818181817</v>
      </c>
      <c r="BE25" s="80">
        <f>('المستوى الأول 2022'!BL25+'المستوى الثاني 2023'!BB25)/('المستوى الثاني 2023'!BC25+'المستوى الأول 2022'!BM25)</f>
        <v>3.6111111111111112</v>
      </c>
      <c r="BF25" s="28" t="str">
        <f>VLOOKUP(BE25,المرجع!$D$3:$F$12,3)</f>
        <v xml:space="preserve">جيد جدا </v>
      </c>
      <c r="BG25" s="29">
        <f t="shared" si="13"/>
        <v>23</v>
      </c>
    </row>
    <row r="26" spans="2:59" ht="22">
      <c r="B26" s="3">
        <v>2023030</v>
      </c>
      <c r="C26" s="5" t="s">
        <v>6</v>
      </c>
      <c r="D26" s="21">
        <v>1</v>
      </c>
      <c r="E26" s="15">
        <v>99</v>
      </c>
      <c r="F26" s="11">
        <f>VLOOKUP(E26,المرجع!$B$3:$C$12,2)</f>
        <v>5</v>
      </c>
      <c r="G26" s="23" t="str">
        <f>VLOOKUP(F26,المرجع!$D$3:$E$12,2)</f>
        <v xml:space="preserve">أ+ </v>
      </c>
      <c r="H26" s="13">
        <f t="shared" si="0"/>
        <v>5</v>
      </c>
      <c r="I26" s="21">
        <v>2</v>
      </c>
      <c r="J26" s="8">
        <v>82</v>
      </c>
      <c r="K26" s="11">
        <f>VLOOKUP(J26,المرجع!$B$3:$C$12,2)</f>
        <v>4</v>
      </c>
      <c r="L26" s="23" t="str">
        <f>VLOOKUP(K26,المرجع!$D$3:$E$12,2)</f>
        <v>ب</v>
      </c>
      <c r="M26" s="13">
        <f t="shared" si="1"/>
        <v>8</v>
      </c>
      <c r="N26" s="21">
        <v>2</v>
      </c>
      <c r="O26" s="8">
        <v>81</v>
      </c>
      <c r="P26" s="11">
        <f>VLOOKUP(O26,المرجع!$B$3:$C$12,2)</f>
        <v>4</v>
      </c>
      <c r="Q26" s="23" t="str">
        <f>VLOOKUP(P26,المرجع!$D$3:$E$12,2)</f>
        <v>ب</v>
      </c>
      <c r="R26" s="13">
        <f t="shared" si="2"/>
        <v>8</v>
      </c>
      <c r="S26" s="21">
        <v>3</v>
      </c>
      <c r="T26" s="8">
        <v>100</v>
      </c>
      <c r="U26" s="11">
        <f>VLOOKUP(T26,المرجع!$B$3:$C$12,2)</f>
        <v>5</v>
      </c>
      <c r="V26" s="23" t="str">
        <f>VLOOKUP(U26,المرجع!$D$3:$E$12,2)</f>
        <v xml:space="preserve">أ+ </v>
      </c>
      <c r="W26" s="13">
        <f t="shared" si="3"/>
        <v>15</v>
      </c>
      <c r="X26" s="21">
        <v>2</v>
      </c>
      <c r="Y26" s="8">
        <v>82</v>
      </c>
      <c r="Z26" s="11">
        <f>VLOOKUP(Y26,المرجع!$B$3:$C$12,2)</f>
        <v>4</v>
      </c>
      <c r="AA26" s="23" t="str">
        <f>VLOOKUP(Z26,المرجع!$D$3:$E$12,2)</f>
        <v>ب</v>
      </c>
      <c r="AB26" s="13">
        <f t="shared" si="4"/>
        <v>8</v>
      </c>
      <c r="AC26" s="21">
        <v>3</v>
      </c>
      <c r="AD26" s="8">
        <v>80</v>
      </c>
      <c r="AE26" s="11">
        <f>VLOOKUP(AD26,المرجع!$B$3:$C$12,2)</f>
        <v>4</v>
      </c>
      <c r="AF26" s="23" t="str">
        <f>VLOOKUP(AE26,المرجع!$D$3:$E$12,2)</f>
        <v>ب</v>
      </c>
      <c r="AG26" s="13">
        <f t="shared" si="5"/>
        <v>12</v>
      </c>
      <c r="AH26" s="21">
        <v>2</v>
      </c>
      <c r="AI26" s="8">
        <v>85</v>
      </c>
      <c r="AJ26" s="11">
        <f>VLOOKUP(AI26,المرجع!$B$3:$C$12,2)</f>
        <v>4.5</v>
      </c>
      <c r="AK26" s="23" t="str">
        <f>VLOOKUP(AJ26,المرجع!$D$3:$E$12,2)</f>
        <v>ب+</v>
      </c>
      <c r="AL26" s="13">
        <f t="shared" si="6"/>
        <v>9</v>
      </c>
      <c r="AM26" s="21">
        <v>3</v>
      </c>
      <c r="AN26" s="8">
        <v>89</v>
      </c>
      <c r="AO26" s="11">
        <f>VLOOKUP(AN26,المرجع!$B$3:$C$12,2)</f>
        <v>4.5</v>
      </c>
      <c r="AP26" s="23" t="str">
        <f>VLOOKUP(AO26,المرجع!$D$3:$E$12,2)</f>
        <v>ب+</v>
      </c>
      <c r="AQ26" s="13">
        <f t="shared" si="7"/>
        <v>13.5</v>
      </c>
      <c r="AR26" s="21">
        <v>2</v>
      </c>
      <c r="AS26" s="8">
        <v>50</v>
      </c>
      <c r="AT26" s="11">
        <f>VLOOKUP(AS26,المرجع!$B$3:$C$12,2)</f>
        <v>2</v>
      </c>
      <c r="AU26" s="23" t="str">
        <f>VLOOKUP(AT26,المرجع!$D$3:$E$12,2)</f>
        <v>د</v>
      </c>
      <c r="AV26" s="13">
        <f t="shared" si="8"/>
        <v>4</v>
      </c>
      <c r="AW26" s="21">
        <v>2</v>
      </c>
      <c r="AX26" s="8">
        <v>100</v>
      </c>
      <c r="AY26" s="11">
        <f>VLOOKUP(AX26,المرجع!$B$3:$C$12,2)</f>
        <v>5</v>
      </c>
      <c r="AZ26" s="23" t="str">
        <f>VLOOKUP(AY26,المرجع!$D$3:$E$12,2)</f>
        <v xml:space="preserve">أ+ </v>
      </c>
      <c r="BA26" s="13">
        <f t="shared" si="9"/>
        <v>10</v>
      </c>
      <c r="BB26" s="25">
        <f t="shared" si="10"/>
        <v>92.5</v>
      </c>
      <c r="BC26" s="26">
        <f t="shared" si="11"/>
        <v>22</v>
      </c>
      <c r="BD26" s="27">
        <f t="shared" si="12"/>
        <v>4.2045454545454541</v>
      </c>
      <c r="BE26" s="80">
        <f>('المستوى الأول 2022'!BL26+'المستوى الثاني 2023'!BB26)/('المستوى الثاني 2023'!BC26+'المستوى الأول 2022'!BM26)</f>
        <v>3.6111111111111112</v>
      </c>
      <c r="BF26" s="28" t="str">
        <f>VLOOKUP(BE26,المرجع!$D$3:$F$12,3)</f>
        <v xml:space="preserve">جيد جدا </v>
      </c>
      <c r="BG26" s="29">
        <f t="shared" si="13"/>
        <v>21</v>
      </c>
    </row>
    <row r="27" spans="2:59" ht="22">
      <c r="B27" s="3">
        <v>2023089</v>
      </c>
      <c r="C27" s="5" t="s">
        <v>55</v>
      </c>
      <c r="D27" s="21">
        <v>1</v>
      </c>
      <c r="E27" s="15">
        <v>97</v>
      </c>
      <c r="F27" s="11">
        <f>VLOOKUP(E27,المرجع!$B$3:$C$12,2)</f>
        <v>5</v>
      </c>
      <c r="G27" s="23" t="str">
        <f>VLOOKUP(F27,المرجع!$D$3:$E$12,2)</f>
        <v xml:space="preserve">أ+ </v>
      </c>
      <c r="H27" s="13">
        <f t="shared" si="0"/>
        <v>5</v>
      </c>
      <c r="I27" s="21">
        <v>2</v>
      </c>
      <c r="J27" s="8">
        <v>88</v>
      </c>
      <c r="K27" s="11">
        <f>VLOOKUP(J27,المرجع!$B$3:$C$12,2)</f>
        <v>4.5</v>
      </c>
      <c r="L27" s="23" t="str">
        <f>VLOOKUP(K27,المرجع!$D$3:$E$12,2)</f>
        <v>ب+</v>
      </c>
      <c r="M27" s="13">
        <f t="shared" si="1"/>
        <v>9</v>
      </c>
      <c r="N27" s="21">
        <v>2</v>
      </c>
      <c r="O27" s="8">
        <v>87</v>
      </c>
      <c r="P27" s="11">
        <f>VLOOKUP(O27,المرجع!$B$3:$C$12,2)</f>
        <v>4.5</v>
      </c>
      <c r="Q27" s="23" t="str">
        <f>VLOOKUP(P27,المرجع!$D$3:$E$12,2)</f>
        <v>ب+</v>
      </c>
      <c r="R27" s="13">
        <f t="shared" si="2"/>
        <v>9</v>
      </c>
      <c r="S27" s="21">
        <v>3</v>
      </c>
      <c r="T27" s="8">
        <v>100</v>
      </c>
      <c r="U27" s="11">
        <f>VLOOKUP(T27,المرجع!$B$3:$C$12,2)</f>
        <v>5</v>
      </c>
      <c r="V27" s="23" t="str">
        <f>VLOOKUP(U27,المرجع!$D$3:$E$12,2)</f>
        <v xml:space="preserve">أ+ </v>
      </c>
      <c r="W27" s="13">
        <f t="shared" si="3"/>
        <v>15</v>
      </c>
      <c r="X27" s="21">
        <v>2</v>
      </c>
      <c r="Y27" s="8">
        <v>94</v>
      </c>
      <c r="Z27" s="11">
        <f>VLOOKUP(Y27,المرجع!$B$3:$C$12,2)</f>
        <v>4.75</v>
      </c>
      <c r="AA27" s="23" t="str">
        <f>VLOOKUP(Z27,المرجع!$D$3:$E$12,2)</f>
        <v>أ</v>
      </c>
      <c r="AB27" s="13">
        <f t="shared" si="4"/>
        <v>9.5</v>
      </c>
      <c r="AC27" s="21">
        <v>3</v>
      </c>
      <c r="AD27" s="8">
        <v>78</v>
      </c>
      <c r="AE27" s="11">
        <f>VLOOKUP(AD27,المرجع!$B$3:$C$12,2)</f>
        <v>3.5</v>
      </c>
      <c r="AF27" s="23" t="str">
        <f>VLOOKUP(AE27,المرجع!$D$3:$E$12,2)</f>
        <v>ج+</v>
      </c>
      <c r="AG27" s="13">
        <f t="shared" si="5"/>
        <v>10.5</v>
      </c>
      <c r="AH27" s="21">
        <v>2</v>
      </c>
      <c r="AI27" s="8">
        <v>75</v>
      </c>
      <c r="AJ27" s="11">
        <f>VLOOKUP(AI27,المرجع!$B$3:$C$12,2)</f>
        <v>3.5</v>
      </c>
      <c r="AK27" s="23" t="str">
        <f>VLOOKUP(AJ27,المرجع!$D$3:$E$12,2)</f>
        <v>ج+</v>
      </c>
      <c r="AL27" s="13">
        <f t="shared" si="6"/>
        <v>7</v>
      </c>
      <c r="AM27" s="21">
        <v>3</v>
      </c>
      <c r="AN27" s="8">
        <v>80</v>
      </c>
      <c r="AO27" s="11">
        <f>VLOOKUP(AN27,المرجع!$B$3:$C$12,2)</f>
        <v>4</v>
      </c>
      <c r="AP27" s="23" t="str">
        <f>VLOOKUP(AO27,المرجع!$D$3:$E$12,2)</f>
        <v>ب</v>
      </c>
      <c r="AQ27" s="13">
        <f t="shared" si="7"/>
        <v>12</v>
      </c>
      <c r="AR27" s="21">
        <v>2</v>
      </c>
      <c r="AS27" s="8">
        <v>60</v>
      </c>
      <c r="AT27" s="11">
        <f>VLOOKUP(AS27,المرجع!$B$3:$C$12,2)</f>
        <v>2</v>
      </c>
      <c r="AU27" s="23" t="str">
        <f>VLOOKUP(AT27,المرجع!$D$3:$E$12,2)</f>
        <v>د</v>
      </c>
      <c r="AV27" s="13">
        <f t="shared" si="8"/>
        <v>4</v>
      </c>
      <c r="AW27" s="21">
        <v>2</v>
      </c>
      <c r="AX27" s="8">
        <v>100</v>
      </c>
      <c r="AY27" s="11">
        <f>VLOOKUP(AX27,المرجع!$B$3:$C$12,2)</f>
        <v>5</v>
      </c>
      <c r="AZ27" s="23" t="str">
        <f>VLOOKUP(AY27,المرجع!$D$3:$E$12,2)</f>
        <v xml:space="preserve">أ+ </v>
      </c>
      <c r="BA27" s="13">
        <f t="shared" si="9"/>
        <v>10</v>
      </c>
      <c r="BB27" s="25">
        <f t="shared" si="10"/>
        <v>91</v>
      </c>
      <c r="BC27" s="26">
        <f t="shared" si="11"/>
        <v>22</v>
      </c>
      <c r="BD27" s="27">
        <f t="shared" si="12"/>
        <v>4.1363636363636367</v>
      </c>
      <c r="BE27" s="80">
        <f>('المستوى الأول 2022'!BL27+'المستوى الثاني 2023'!BB27)/('المستوى الثاني 2023'!BC27+'المستوى الأول 2022'!BM27)</f>
        <v>3.661111111111111</v>
      </c>
      <c r="BF27" s="28" t="str">
        <f>VLOOKUP(BE27,المرجع!$D$3:$F$12,3)</f>
        <v xml:space="preserve">جيد جدا </v>
      </c>
      <c r="BG27" s="29">
        <f t="shared" si="13"/>
        <v>27</v>
      </c>
    </row>
    <row r="28" spans="2:59" ht="22">
      <c r="B28" s="3">
        <v>2023065</v>
      </c>
      <c r="C28" s="5" t="s">
        <v>57</v>
      </c>
      <c r="D28" s="21">
        <v>1</v>
      </c>
      <c r="E28" s="15">
        <v>98</v>
      </c>
      <c r="F28" s="11">
        <f>VLOOKUP(E28,المرجع!$B$3:$C$12,2)</f>
        <v>5</v>
      </c>
      <c r="G28" s="23" t="str">
        <f>VLOOKUP(F28,المرجع!$D$3:$E$12,2)</f>
        <v xml:space="preserve">أ+ </v>
      </c>
      <c r="H28" s="13">
        <f t="shared" si="0"/>
        <v>5</v>
      </c>
      <c r="I28" s="21">
        <v>2</v>
      </c>
      <c r="J28" s="8">
        <v>90</v>
      </c>
      <c r="K28" s="11">
        <f>VLOOKUP(J28,المرجع!$B$3:$C$12,2)</f>
        <v>4.75</v>
      </c>
      <c r="L28" s="23" t="str">
        <f>VLOOKUP(K28,المرجع!$D$3:$E$12,2)</f>
        <v>أ</v>
      </c>
      <c r="M28" s="13">
        <f t="shared" si="1"/>
        <v>9.5</v>
      </c>
      <c r="N28" s="21">
        <v>2</v>
      </c>
      <c r="O28" s="8">
        <v>78</v>
      </c>
      <c r="P28" s="11">
        <f>VLOOKUP(O28,المرجع!$B$3:$C$12,2)</f>
        <v>3.5</v>
      </c>
      <c r="Q28" s="23" t="str">
        <f>VLOOKUP(P28,المرجع!$D$3:$E$12,2)</f>
        <v>ج+</v>
      </c>
      <c r="R28" s="13">
        <f t="shared" si="2"/>
        <v>7</v>
      </c>
      <c r="S28" s="21">
        <v>3</v>
      </c>
      <c r="T28" s="8">
        <v>100</v>
      </c>
      <c r="U28" s="11">
        <f>VLOOKUP(T28,المرجع!$B$3:$C$12,2)</f>
        <v>5</v>
      </c>
      <c r="V28" s="23" t="str">
        <f>VLOOKUP(U28,المرجع!$D$3:$E$12,2)</f>
        <v xml:space="preserve">أ+ </v>
      </c>
      <c r="W28" s="13">
        <f t="shared" si="3"/>
        <v>15</v>
      </c>
      <c r="X28" s="21">
        <v>2</v>
      </c>
      <c r="Y28" s="8">
        <v>78</v>
      </c>
      <c r="Z28" s="11">
        <f>VLOOKUP(Y28,المرجع!$B$3:$C$12,2)</f>
        <v>3.5</v>
      </c>
      <c r="AA28" s="23" t="str">
        <f>VLOOKUP(Z28,المرجع!$D$3:$E$12,2)</f>
        <v>ج+</v>
      </c>
      <c r="AB28" s="13">
        <f t="shared" si="4"/>
        <v>7</v>
      </c>
      <c r="AC28" s="21">
        <v>3</v>
      </c>
      <c r="AD28" s="8">
        <v>82</v>
      </c>
      <c r="AE28" s="11">
        <f>VLOOKUP(AD28,المرجع!$B$3:$C$12,2)</f>
        <v>4</v>
      </c>
      <c r="AF28" s="23" t="str">
        <f>VLOOKUP(AE28,المرجع!$D$3:$E$12,2)</f>
        <v>ب</v>
      </c>
      <c r="AG28" s="13">
        <f t="shared" si="5"/>
        <v>12</v>
      </c>
      <c r="AH28" s="21">
        <v>2</v>
      </c>
      <c r="AI28" s="8">
        <v>85</v>
      </c>
      <c r="AJ28" s="11">
        <f>VLOOKUP(AI28,المرجع!$B$3:$C$12,2)</f>
        <v>4.5</v>
      </c>
      <c r="AK28" s="23" t="str">
        <f>VLOOKUP(AJ28,المرجع!$D$3:$E$12,2)</f>
        <v>ب+</v>
      </c>
      <c r="AL28" s="13">
        <f t="shared" si="6"/>
        <v>9</v>
      </c>
      <c r="AM28" s="21">
        <v>3</v>
      </c>
      <c r="AN28" s="8">
        <v>85</v>
      </c>
      <c r="AO28" s="11">
        <f>VLOOKUP(AN28,المرجع!$B$3:$C$12,2)</f>
        <v>4.5</v>
      </c>
      <c r="AP28" s="23" t="str">
        <f>VLOOKUP(AO28,المرجع!$D$3:$E$12,2)</f>
        <v>ب+</v>
      </c>
      <c r="AQ28" s="13">
        <f t="shared" si="7"/>
        <v>13.5</v>
      </c>
      <c r="AR28" s="21">
        <v>2</v>
      </c>
      <c r="AS28" s="8">
        <v>60</v>
      </c>
      <c r="AT28" s="11">
        <f>VLOOKUP(AS28,المرجع!$B$3:$C$12,2)</f>
        <v>2</v>
      </c>
      <c r="AU28" s="23" t="str">
        <f>VLOOKUP(AT28,المرجع!$D$3:$E$12,2)</f>
        <v>د</v>
      </c>
      <c r="AV28" s="13">
        <f t="shared" si="8"/>
        <v>4</v>
      </c>
      <c r="AW28" s="21">
        <v>2</v>
      </c>
      <c r="AX28" s="8">
        <v>100</v>
      </c>
      <c r="AY28" s="11">
        <f>VLOOKUP(AX28,المرجع!$B$3:$C$12,2)</f>
        <v>5</v>
      </c>
      <c r="AZ28" s="23" t="str">
        <f>VLOOKUP(AY28,المرجع!$D$3:$E$12,2)</f>
        <v xml:space="preserve">أ+ </v>
      </c>
      <c r="BA28" s="13">
        <f t="shared" si="9"/>
        <v>10</v>
      </c>
      <c r="BB28" s="25">
        <f t="shared" si="10"/>
        <v>92</v>
      </c>
      <c r="BC28" s="26">
        <f t="shared" si="11"/>
        <v>22</v>
      </c>
      <c r="BD28" s="27">
        <f t="shared" si="12"/>
        <v>4.1818181818181817</v>
      </c>
      <c r="BE28" s="80">
        <f>('المستوى الأول 2022'!BL28+'المستوى الثاني 2023'!BB28)/('المستوى الثاني 2023'!BC28+'المستوى الأول 2022'!BM28)</f>
        <v>3.55</v>
      </c>
      <c r="BF28" s="28" t="str">
        <f>VLOOKUP(BE28,المرجع!$D$3:$F$12,3)</f>
        <v xml:space="preserve">جيد مرتفع </v>
      </c>
      <c r="BG28" s="29">
        <f t="shared" si="13"/>
        <v>23</v>
      </c>
    </row>
    <row r="29" spans="2:59" ht="22">
      <c r="B29" s="3">
        <v>2023055</v>
      </c>
      <c r="C29" s="5" t="s">
        <v>91</v>
      </c>
      <c r="D29" s="21">
        <v>1</v>
      </c>
      <c r="E29" s="15">
        <v>100</v>
      </c>
      <c r="F29" s="11">
        <f>VLOOKUP(E29,المرجع!$B$3:$C$12,2)</f>
        <v>5</v>
      </c>
      <c r="G29" s="23" t="str">
        <f>VLOOKUP(F29,المرجع!$D$3:$E$12,2)</f>
        <v xml:space="preserve">أ+ </v>
      </c>
      <c r="H29" s="13">
        <f t="shared" si="0"/>
        <v>5</v>
      </c>
      <c r="I29" s="21">
        <v>2</v>
      </c>
      <c r="J29" s="14">
        <v>100</v>
      </c>
      <c r="K29" s="11">
        <f>VLOOKUP(J29,المرجع!$B$3:$C$12,2)</f>
        <v>5</v>
      </c>
      <c r="L29" s="23" t="str">
        <f>VLOOKUP(K29,المرجع!$D$3:$E$12,2)</f>
        <v xml:space="preserve">أ+ </v>
      </c>
      <c r="M29" s="13">
        <f t="shared" si="1"/>
        <v>10</v>
      </c>
      <c r="N29" s="21">
        <v>2</v>
      </c>
      <c r="O29" s="14">
        <v>100</v>
      </c>
      <c r="P29" s="11">
        <f>VLOOKUP(O29,المرجع!$B$3:$C$12,2)</f>
        <v>5</v>
      </c>
      <c r="Q29" s="23" t="str">
        <f>VLOOKUP(P29,المرجع!$D$3:$E$12,2)</f>
        <v xml:space="preserve">أ+ </v>
      </c>
      <c r="R29" s="13">
        <f t="shared" si="2"/>
        <v>10</v>
      </c>
      <c r="S29" s="21">
        <v>3</v>
      </c>
      <c r="T29" s="14">
        <v>98</v>
      </c>
      <c r="U29" s="11">
        <f>VLOOKUP(T29,المرجع!$B$3:$C$12,2)</f>
        <v>5</v>
      </c>
      <c r="V29" s="23" t="str">
        <f>VLOOKUP(U29,المرجع!$D$3:$E$12,2)</f>
        <v xml:space="preserve">أ+ </v>
      </c>
      <c r="W29" s="13">
        <f t="shared" si="3"/>
        <v>15</v>
      </c>
      <c r="X29" s="21">
        <v>2</v>
      </c>
      <c r="Y29" s="14">
        <v>71</v>
      </c>
      <c r="Z29" s="11">
        <f>VLOOKUP(Y29,المرجع!$B$3:$C$12,2)</f>
        <v>3</v>
      </c>
      <c r="AA29" s="23" t="str">
        <f>VLOOKUP(Z29,المرجع!$D$3:$E$12,2)</f>
        <v>ج</v>
      </c>
      <c r="AB29" s="13">
        <f t="shared" si="4"/>
        <v>6</v>
      </c>
      <c r="AC29" s="21">
        <v>3</v>
      </c>
      <c r="AD29" s="14">
        <v>51</v>
      </c>
      <c r="AE29" s="11">
        <f>VLOOKUP(AD29,المرجع!$B$3:$C$12,2)</f>
        <v>2</v>
      </c>
      <c r="AF29" s="23" t="str">
        <f>VLOOKUP(AE29,المرجع!$D$3:$E$12,2)</f>
        <v>د</v>
      </c>
      <c r="AG29" s="13">
        <f t="shared" si="5"/>
        <v>6</v>
      </c>
      <c r="AH29" s="21">
        <v>2</v>
      </c>
      <c r="AI29" s="14">
        <v>55</v>
      </c>
      <c r="AJ29" s="11">
        <f>VLOOKUP(AI29,المرجع!$B$3:$C$12,2)</f>
        <v>2</v>
      </c>
      <c r="AK29" s="23" t="str">
        <f>VLOOKUP(AJ29,المرجع!$D$3:$E$12,2)</f>
        <v>د</v>
      </c>
      <c r="AL29" s="13">
        <f t="shared" si="6"/>
        <v>4</v>
      </c>
      <c r="AM29" s="21">
        <v>3</v>
      </c>
      <c r="AN29" s="14">
        <v>95</v>
      </c>
      <c r="AO29" s="11">
        <f>VLOOKUP(AN29,المرجع!$B$3:$C$12,2)</f>
        <v>5</v>
      </c>
      <c r="AP29" s="23" t="str">
        <f>VLOOKUP(AO29,المرجع!$D$3:$E$12,2)</f>
        <v xml:space="preserve">أ+ </v>
      </c>
      <c r="AQ29" s="13">
        <f t="shared" si="7"/>
        <v>15</v>
      </c>
      <c r="AR29" s="21">
        <v>2</v>
      </c>
      <c r="AS29" s="14">
        <v>90</v>
      </c>
      <c r="AT29" s="11">
        <f>VLOOKUP(AS29,المرجع!$B$3:$C$12,2)</f>
        <v>4.75</v>
      </c>
      <c r="AU29" s="23" t="str">
        <f>VLOOKUP(AT29,المرجع!$D$3:$E$12,2)</f>
        <v>أ</v>
      </c>
      <c r="AV29" s="13">
        <f t="shared" si="8"/>
        <v>9.5</v>
      </c>
      <c r="AW29" s="21">
        <v>2</v>
      </c>
      <c r="AX29" s="14">
        <v>100</v>
      </c>
      <c r="AY29" s="11">
        <f>VLOOKUP(AX29,المرجع!$B$3:$C$12,2)</f>
        <v>5</v>
      </c>
      <c r="AZ29" s="23" t="str">
        <f>VLOOKUP(AY29,المرجع!$D$3:$E$12,2)</f>
        <v xml:space="preserve">أ+ </v>
      </c>
      <c r="BA29" s="13">
        <f t="shared" si="9"/>
        <v>10</v>
      </c>
      <c r="BB29" s="25">
        <f t="shared" si="10"/>
        <v>90.5</v>
      </c>
      <c r="BC29" s="26">
        <f t="shared" si="11"/>
        <v>22</v>
      </c>
      <c r="BD29" s="27">
        <f t="shared" si="12"/>
        <v>4.1136363636363633</v>
      </c>
      <c r="BE29" s="80">
        <f>('المستوى الأول 2022'!BL29+'المستوى الثاني 2023'!BB29)/('المستوى الثاني 2023'!BC29+'المستوى الأول 2022'!BM29)</f>
        <v>3.6</v>
      </c>
      <c r="BF29" s="28" t="str">
        <f>VLOOKUP(BE29,المرجع!$D$3:$F$12,3)</f>
        <v xml:space="preserve">جيد جدا </v>
      </c>
      <c r="BG29" s="29">
        <f t="shared" si="13"/>
        <v>29</v>
      </c>
    </row>
    <row r="30" spans="2:59" ht="22">
      <c r="B30" s="3">
        <v>2023124</v>
      </c>
      <c r="C30" s="5" t="s">
        <v>9</v>
      </c>
      <c r="D30" s="21">
        <v>1</v>
      </c>
      <c r="E30" s="15">
        <v>90</v>
      </c>
      <c r="F30" s="11">
        <f>VLOOKUP(E30,المرجع!$B$3:$C$12,2)</f>
        <v>4.75</v>
      </c>
      <c r="G30" s="23" t="str">
        <f>VLOOKUP(F30,المرجع!$D$3:$E$12,2)</f>
        <v>أ</v>
      </c>
      <c r="H30" s="13">
        <f t="shared" si="0"/>
        <v>4.75</v>
      </c>
      <c r="I30" s="21">
        <v>2</v>
      </c>
      <c r="J30" s="8">
        <v>85</v>
      </c>
      <c r="K30" s="11">
        <f>VLOOKUP(J30,المرجع!$B$3:$C$12,2)</f>
        <v>4.5</v>
      </c>
      <c r="L30" s="23" t="str">
        <f>VLOOKUP(K30,المرجع!$D$3:$E$12,2)</f>
        <v>ب+</v>
      </c>
      <c r="M30" s="13">
        <f t="shared" si="1"/>
        <v>9</v>
      </c>
      <c r="N30" s="21">
        <v>2</v>
      </c>
      <c r="O30" s="8">
        <v>81</v>
      </c>
      <c r="P30" s="11">
        <f>VLOOKUP(O30,المرجع!$B$3:$C$12,2)</f>
        <v>4</v>
      </c>
      <c r="Q30" s="23" t="str">
        <f>VLOOKUP(P30,المرجع!$D$3:$E$12,2)</f>
        <v>ب</v>
      </c>
      <c r="R30" s="13">
        <f t="shared" si="2"/>
        <v>8</v>
      </c>
      <c r="S30" s="21">
        <v>3</v>
      </c>
      <c r="T30" s="8">
        <v>94</v>
      </c>
      <c r="U30" s="11">
        <f>VLOOKUP(T30,المرجع!$B$3:$C$12,2)</f>
        <v>4.75</v>
      </c>
      <c r="V30" s="23" t="str">
        <f>VLOOKUP(U30,المرجع!$D$3:$E$12,2)</f>
        <v>أ</v>
      </c>
      <c r="W30" s="13">
        <f t="shared" si="3"/>
        <v>14.25</v>
      </c>
      <c r="X30" s="21">
        <v>2</v>
      </c>
      <c r="Y30" s="8">
        <v>88</v>
      </c>
      <c r="Z30" s="11">
        <f>VLOOKUP(Y30,المرجع!$B$3:$C$12,2)</f>
        <v>4.5</v>
      </c>
      <c r="AA30" s="23" t="str">
        <f>VLOOKUP(Z30,المرجع!$D$3:$E$12,2)</f>
        <v>ب+</v>
      </c>
      <c r="AB30" s="13">
        <f t="shared" si="4"/>
        <v>9</v>
      </c>
      <c r="AC30" s="21">
        <v>3</v>
      </c>
      <c r="AD30" s="8">
        <v>50</v>
      </c>
      <c r="AE30" s="11">
        <f>VLOOKUP(AD30,المرجع!$B$3:$C$12,2)</f>
        <v>2</v>
      </c>
      <c r="AF30" s="23" t="str">
        <f>VLOOKUP(AE30,المرجع!$D$3:$E$12,2)</f>
        <v>د</v>
      </c>
      <c r="AG30" s="13">
        <f t="shared" si="5"/>
        <v>6</v>
      </c>
      <c r="AH30" s="21">
        <v>2</v>
      </c>
      <c r="AI30" s="8">
        <v>72</v>
      </c>
      <c r="AJ30" s="11">
        <f>VLOOKUP(AI30,المرجع!$B$3:$C$12,2)</f>
        <v>3</v>
      </c>
      <c r="AK30" s="23" t="str">
        <f>VLOOKUP(AJ30,المرجع!$D$3:$E$12,2)</f>
        <v>ج</v>
      </c>
      <c r="AL30" s="13">
        <f t="shared" si="6"/>
        <v>6</v>
      </c>
      <c r="AM30" s="21">
        <v>3</v>
      </c>
      <c r="AN30" s="8">
        <v>95</v>
      </c>
      <c r="AO30" s="11">
        <f>VLOOKUP(AN30,المرجع!$B$3:$C$12,2)</f>
        <v>5</v>
      </c>
      <c r="AP30" s="23" t="str">
        <f>VLOOKUP(AO30,المرجع!$D$3:$E$12,2)</f>
        <v xml:space="preserve">أ+ </v>
      </c>
      <c r="AQ30" s="13">
        <f t="shared" si="7"/>
        <v>15</v>
      </c>
      <c r="AR30" s="21">
        <v>2</v>
      </c>
      <c r="AS30" s="8">
        <v>80</v>
      </c>
      <c r="AT30" s="11">
        <f>VLOOKUP(AS30,المرجع!$B$3:$C$12,2)</f>
        <v>4</v>
      </c>
      <c r="AU30" s="23" t="str">
        <f>VLOOKUP(AT30,المرجع!$D$3:$E$12,2)</f>
        <v>ب</v>
      </c>
      <c r="AV30" s="13">
        <f t="shared" si="8"/>
        <v>8</v>
      </c>
      <c r="AW30" s="21">
        <v>2</v>
      </c>
      <c r="AX30" s="8">
        <v>100</v>
      </c>
      <c r="AY30" s="11">
        <f>VLOOKUP(AX30,المرجع!$B$3:$C$12,2)</f>
        <v>5</v>
      </c>
      <c r="AZ30" s="23" t="str">
        <f>VLOOKUP(AY30,المرجع!$D$3:$E$12,2)</f>
        <v xml:space="preserve">أ+ </v>
      </c>
      <c r="BA30" s="13">
        <f t="shared" si="9"/>
        <v>10</v>
      </c>
      <c r="BB30" s="25">
        <f t="shared" si="10"/>
        <v>90</v>
      </c>
      <c r="BC30" s="26">
        <f t="shared" si="11"/>
        <v>22</v>
      </c>
      <c r="BD30" s="27">
        <f t="shared" si="12"/>
        <v>4.0909090909090908</v>
      </c>
      <c r="BE30" s="80">
        <f>('المستوى الأول 2022'!BL30+'المستوى الثاني 2023'!BB30)/('المستوى الثاني 2023'!BC30+'المستوى الأول 2022'!BM30)</f>
        <v>3.5722222222222224</v>
      </c>
      <c r="BF30" s="28" t="str">
        <f>VLOOKUP(BE30,المرجع!$D$3:$F$12,3)</f>
        <v xml:space="preserve">جيد مرتفع </v>
      </c>
      <c r="BG30" s="29">
        <f t="shared" si="13"/>
        <v>31</v>
      </c>
    </row>
    <row r="31" spans="2:59" ht="22">
      <c r="B31" s="3">
        <v>2023110</v>
      </c>
      <c r="C31" s="5" t="s">
        <v>56</v>
      </c>
      <c r="D31" s="21">
        <v>1</v>
      </c>
      <c r="E31" s="15">
        <v>100</v>
      </c>
      <c r="F31" s="11">
        <f>VLOOKUP(E31,المرجع!$B$3:$C$12,2)</f>
        <v>5</v>
      </c>
      <c r="G31" s="23" t="str">
        <f>VLOOKUP(F31,المرجع!$D$3:$E$12,2)</f>
        <v xml:space="preserve">أ+ </v>
      </c>
      <c r="H31" s="13">
        <f t="shared" si="0"/>
        <v>5</v>
      </c>
      <c r="I31" s="21">
        <v>2</v>
      </c>
      <c r="J31" s="8">
        <v>79</v>
      </c>
      <c r="K31" s="11">
        <f>VLOOKUP(J31,المرجع!$B$3:$C$12,2)</f>
        <v>3.5</v>
      </c>
      <c r="L31" s="23" t="str">
        <f>VLOOKUP(K31,المرجع!$D$3:$E$12,2)</f>
        <v>ج+</v>
      </c>
      <c r="M31" s="13">
        <f t="shared" si="1"/>
        <v>7</v>
      </c>
      <c r="N31" s="21">
        <v>2</v>
      </c>
      <c r="O31" s="8">
        <v>89</v>
      </c>
      <c r="P31" s="11">
        <f>VLOOKUP(O31,المرجع!$B$3:$C$12,2)</f>
        <v>4.5</v>
      </c>
      <c r="Q31" s="23" t="str">
        <f>VLOOKUP(P31,المرجع!$D$3:$E$12,2)</f>
        <v>ب+</v>
      </c>
      <c r="R31" s="13">
        <f t="shared" si="2"/>
        <v>9</v>
      </c>
      <c r="S31" s="21">
        <v>3</v>
      </c>
      <c r="T31" s="8">
        <v>90</v>
      </c>
      <c r="U31" s="11">
        <f>VLOOKUP(T31,المرجع!$B$3:$C$12,2)</f>
        <v>4.75</v>
      </c>
      <c r="V31" s="23" t="str">
        <f>VLOOKUP(U31,المرجع!$D$3:$E$12,2)</f>
        <v>أ</v>
      </c>
      <c r="W31" s="13">
        <f t="shared" si="3"/>
        <v>14.25</v>
      </c>
      <c r="X31" s="21">
        <v>2</v>
      </c>
      <c r="Y31" s="8">
        <v>97</v>
      </c>
      <c r="Z31" s="11">
        <f>VLOOKUP(Y31,المرجع!$B$3:$C$12,2)</f>
        <v>5</v>
      </c>
      <c r="AA31" s="23" t="str">
        <f>VLOOKUP(Z31,المرجع!$D$3:$E$12,2)</f>
        <v xml:space="preserve">أ+ </v>
      </c>
      <c r="AB31" s="13">
        <f t="shared" si="4"/>
        <v>10</v>
      </c>
      <c r="AC31" s="21">
        <v>3</v>
      </c>
      <c r="AD31" s="8">
        <v>90</v>
      </c>
      <c r="AE31" s="11">
        <f>VLOOKUP(AD31,المرجع!$B$3:$C$12,2)</f>
        <v>4.75</v>
      </c>
      <c r="AF31" s="23" t="str">
        <f>VLOOKUP(AE31,المرجع!$D$3:$E$12,2)</f>
        <v>أ</v>
      </c>
      <c r="AG31" s="13">
        <f t="shared" si="5"/>
        <v>14.25</v>
      </c>
      <c r="AH31" s="21">
        <v>2</v>
      </c>
      <c r="AI31" s="8">
        <v>71</v>
      </c>
      <c r="AJ31" s="11">
        <f>VLOOKUP(AI31,المرجع!$B$3:$C$12,2)</f>
        <v>3</v>
      </c>
      <c r="AK31" s="23" t="str">
        <f>VLOOKUP(AJ31,المرجع!$D$3:$E$12,2)</f>
        <v>ج</v>
      </c>
      <c r="AL31" s="13">
        <f t="shared" si="6"/>
        <v>6</v>
      </c>
      <c r="AM31" s="21">
        <v>3</v>
      </c>
      <c r="AN31" s="8">
        <v>71</v>
      </c>
      <c r="AO31" s="11">
        <f>VLOOKUP(AN31,المرجع!$B$3:$C$12,2)</f>
        <v>3</v>
      </c>
      <c r="AP31" s="23" t="str">
        <f>VLOOKUP(AO31,المرجع!$D$3:$E$12,2)</f>
        <v>ج</v>
      </c>
      <c r="AQ31" s="13">
        <f t="shared" si="7"/>
        <v>9</v>
      </c>
      <c r="AR31" s="21">
        <v>2</v>
      </c>
      <c r="AS31" s="8">
        <v>70</v>
      </c>
      <c r="AT31" s="11">
        <f>VLOOKUP(AS31,المرجع!$B$3:$C$12,2)</f>
        <v>3</v>
      </c>
      <c r="AU31" s="23" t="str">
        <f>VLOOKUP(AT31,المرجع!$D$3:$E$12,2)</f>
        <v>ج</v>
      </c>
      <c r="AV31" s="13">
        <f t="shared" si="8"/>
        <v>6</v>
      </c>
      <c r="AW31" s="21">
        <v>2</v>
      </c>
      <c r="AX31" s="8">
        <v>100</v>
      </c>
      <c r="AY31" s="11">
        <f>VLOOKUP(AX31,المرجع!$B$3:$C$12,2)</f>
        <v>5</v>
      </c>
      <c r="AZ31" s="23" t="str">
        <f>VLOOKUP(AY31,المرجع!$D$3:$E$12,2)</f>
        <v xml:space="preserve">أ+ </v>
      </c>
      <c r="BA31" s="13">
        <f t="shared" si="9"/>
        <v>10</v>
      </c>
      <c r="BB31" s="25">
        <f t="shared" si="10"/>
        <v>90.5</v>
      </c>
      <c r="BC31" s="26">
        <f t="shared" si="11"/>
        <v>22</v>
      </c>
      <c r="BD31" s="27">
        <f t="shared" si="12"/>
        <v>4.1136363636363633</v>
      </c>
      <c r="BE31" s="80">
        <f>('المستوى الأول 2022'!BL31+'المستوى الثاني 2023'!BB31)/('المستوى الثاني 2023'!BC31+'المستوى الأول 2022'!BM31)</f>
        <v>3.5388888888888888</v>
      </c>
      <c r="BF31" s="28" t="str">
        <f>VLOOKUP(BE31,المرجع!$D$3:$F$12,3)</f>
        <v xml:space="preserve">جيد مرتفع </v>
      </c>
      <c r="BG31" s="29">
        <f t="shared" si="13"/>
        <v>29</v>
      </c>
    </row>
    <row r="32" spans="2:59" ht="22">
      <c r="B32" s="3">
        <v>2023045</v>
      </c>
      <c r="C32" s="5" t="s">
        <v>10</v>
      </c>
      <c r="D32" s="21">
        <v>1</v>
      </c>
      <c r="E32" s="15">
        <v>94</v>
      </c>
      <c r="F32" s="11">
        <f>VLOOKUP(E32,المرجع!$B$3:$C$12,2)</f>
        <v>4.75</v>
      </c>
      <c r="G32" s="23" t="str">
        <f>VLOOKUP(F32,المرجع!$D$3:$E$12,2)</f>
        <v>أ</v>
      </c>
      <c r="H32" s="13">
        <f t="shared" si="0"/>
        <v>4.75</v>
      </c>
      <c r="I32" s="21">
        <v>2</v>
      </c>
      <c r="J32" s="8">
        <v>80</v>
      </c>
      <c r="K32" s="11">
        <f>VLOOKUP(J32,المرجع!$B$3:$C$12,2)</f>
        <v>4</v>
      </c>
      <c r="L32" s="23" t="str">
        <f>VLOOKUP(K32,المرجع!$D$3:$E$12,2)</f>
        <v>ب</v>
      </c>
      <c r="M32" s="13">
        <f t="shared" si="1"/>
        <v>8</v>
      </c>
      <c r="N32" s="21">
        <v>2</v>
      </c>
      <c r="O32" s="8">
        <v>83</v>
      </c>
      <c r="P32" s="11">
        <f>VLOOKUP(O32,المرجع!$B$3:$C$12,2)</f>
        <v>4</v>
      </c>
      <c r="Q32" s="23" t="str">
        <f>VLOOKUP(P32,المرجع!$D$3:$E$12,2)</f>
        <v>ب</v>
      </c>
      <c r="R32" s="13">
        <f t="shared" si="2"/>
        <v>8</v>
      </c>
      <c r="S32" s="21">
        <v>3</v>
      </c>
      <c r="T32" s="8">
        <v>90</v>
      </c>
      <c r="U32" s="11">
        <f>VLOOKUP(T32,المرجع!$B$3:$C$12,2)</f>
        <v>4.75</v>
      </c>
      <c r="V32" s="23" t="str">
        <f>VLOOKUP(U32,المرجع!$D$3:$E$12,2)</f>
        <v>أ</v>
      </c>
      <c r="W32" s="13">
        <f t="shared" si="3"/>
        <v>14.25</v>
      </c>
      <c r="X32" s="21">
        <v>2</v>
      </c>
      <c r="Y32" s="8">
        <v>91</v>
      </c>
      <c r="Z32" s="11">
        <f>VLOOKUP(Y32,المرجع!$B$3:$C$12,2)</f>
        <v>4.75</v>
      </c>
      <c r="AA32" s="23" t="str">
        <f>VLOOKUP(Z32,المرجع!$D$3:$E$12,2)</f>
        <v>أ</v>
      </c>
      <c r="AB32" s="13">
        <f t="shared" si="4"/>
        <v>9.5</v>
      </c>
      <c r="AC32" s="21">
        <v>3</v>
      </c>
      <c r="AD32" s="8">
        <v>90</v>
      </c>
      <c r="AE32" s="11">
        <f>VLOOKUP(AD32,المرجع!$B$3:$C$12,2)</f>
        <v>4.75</v>
      </c>
      <c r="AF32" s="23" t="str">
        <f>VLOOKUP(AE32,المرجع!$D$3:$E$12,2)</f>
        <v>أ</v>
      </c>
      <c r="AG32" s="13">
        <f t="shared" si="5"/>
        <v>14.25</v>
      </c>
      <c r="AH32" s="21">
        <v>2</v>
      </c>
      <c r="AI32" s="8">
        <v>68</v>
      </c>
      <c r="AJ32" s="11">
        <f>VLOOKUP(AI32,المرجع!$B$3:$C$12,2)</f>
        <v>2.5</v>
      </c>
      <c r="AK32" s="23" t="str">
        <f>VLOOKUP(AJ32,المرجع!$D$3:$E$12,2)</f>
        <v>د+</v>
      </c>
      <c r="AL32" s="13">
        <f t="shared" si="6"/>
        <v>5</v>
      </c>
      <c r="AM32" s="21">
        <v>3</v>
      </c>
      <c r="AN32" s="8">
        <v>91</v>
      </c>
      <c r="AO32" s="11">
        <f>VLOOKUP(AN32,المرجع!$B$3:$C$12,2)</f>
        <v>4.75</v>
      </c>
      <c r="AP32" s="23" t="str">
        <f>VLOOKUP(AO32,المرجع!$D$3:$E$12,2)</f>
        <v>أ</v>
      </c>
      <c r="AQ32" s="13">
        <f t="shared" si="7"/>
        <v>14.25</v>
      </c>
      <c r="AR32" s="21">
        <v>2</v>
      </c>
      <c r="AS32" s="8">
        <v>50</v>
      </c>
      <c r="AT32" s="11">
        <f>VLOOKUP(AS32,المرجع!$B$3:$C$12,2)</f>
        <v>2</v>
      </c>
      <c r="AU32" s="23" t="str">
        <f>VLOOKUP(AT32,المرجع!$D$3:$E$12,2)</f>
        <v>د</v>
      </c>
      <c r="AV32" s="13">
        <f t="shared" si="8"/>
        <v>4</v>
      </c>
      <c r="AW32" s="21">
        <v>2</v>
      </c>
      <c r="AX32" s="8">
        <v>97</v>
      </c>
      <c r="AY32" s="11">
        <f>VLOOKUP(AX32,المرجع!$B$3:$C$12,2)</f>
        <v>5</v>
      </c>
      <c r="AZ32" s="23" t="str">
        <f>VLOOKUP(AY32,المرجع!$D$3:$E$12,2)</f>
        <v xml:space="preserve">أ+ </v>
      </c>
      <c r="BA32" s="13">
        <f t="shared" si="9"/>
        <v>10</v>
      </c>
      <c r="BB32" s="25">
        <f t="shared" si="10"/>
        <v>92</v>
      </c>
      <c r="BC32" s="26">
        <f t="shared" si="11"/>
        <v>22</v>
      </c>
      <c r="BD32" s="27">
        <f t="shared" si="12"/>
        <v>4.1818181818181817</v>
      </c>
      <c r="BE32" s="80">
        <f>('المستوى الأول 2022'!BL32+'المستوى الثاني 2023'!BB32)/('المستوى الثاني 2023'!BC32+'المستوى الأول 2022'!BM32)</f>
        <v>3.6333333333333333</v>
      </c>
      <c r="BF32" s="28" t="str">
        <f>VLOOKUP(BE32,المرجع!$D$3:$F$12,3)</f>
        <v xml:space="preserve">جيد جدا </v>
      </c>
      <c r="BG32" s="29">
        <f t="shared" si="13"/>
        <v>23</v>
      </c>
    </row>
    <row r="33" spans="2:59" ht="22">
      <c r="B33" s="3">
        <v>2023082</v>
      </c>
      <c r="C33" s="5" t="s">
        <v>59</v>
      </c>
      <c r="D33" s="21">
        <v>1</v>
      </c>
      <c r="E33" s="15">
        <v>93</v>
      </c>
      <c r="F33" s="11">
        <f>VLOOKUP(E33,المرجع!$B$3:$C$12,2)</f>
        <v>4.75</v>
      </c>
      <c r="G33" s="23" t="str">
        <f>VLOOKUP(F33,المرجع!$D$3:$E$12,2)</f>
        <v>أ</v>
      </c>
      <c r="H33" s="13">
        <f t="shared" si="0"/>
        <v>4.75</v>
      </c>
      <c r="I33" s="21">
        <v>2</v>
      </c>
      <c r="J33" s="8">
        <v>90</v>
      </c>
      <c r="K33" s="11">
        <f>VLOOKUP(J33,المرجع!$B$3:$C$12,2)</f>
        <v>4.75</v>
      </c>
      <c r="L33" s="23" t="str">
        <f>VLOOKUP(K33,المرجع!$D$3:$E$12,2)</f>
        <v>أ</v>
      </c>
      <c r="M33" s="13">
        <f t="shared" si="1"/>
        <v>9.5</v>
      </c>
      <c r="N33" s="21">
        <v>2</v>
      </c>
      <c r="O33" s="8">
        <v>83</v>
      </c>
      <c r="P33" s="11">
        <f>VLOOKUP(O33,المرجع!$B$3:$C$12,2)</f>
        <v>4</v>
      </c>
      <c r="Q33" s="23" t="str">
        <f>VLOOKUP(P33,المرجع!$D$3:$E$12,2)</f>
        <v>ب</v>
      </c>
      <c r="R33" s="13">
        <f t="shared" si="2"/>
        <v>8</v>
      </c>
      <c r="S33" s="21">
        <v>3</v>
      </c>
      <c r="T33" s="8">
        <v>100</v>
      </c>
      <c r="U33" s="11">
        <f>VLOOKUP(T33,المرجع!$B$3:$C$12,2)</f>
        <v>5</v>
      </c>
      <c r="V33" s="23" t="str">
        <f>VLOOKUP(U33,المرجع!$D$3:$E$12,2)</f>
        <v xml:space="preserve">أ+ </v>
      </c>
      <c r="W33" s="13">
        <f t="shared" si="3"/>
        <v>15</v>
      </c>
      <c r="X33" s="21">
        <v>2</v>
      </c>
      <c r="Y33" s="8">
        <v>85</v>
      </c>
      <c r="Z33" s="11">
        <f>VLOOKUP(Y33,المرجع!$B$3:$C$12,2)</f>
        <v>4.5</v>
      </c>
      <c r="AA33" s="23" t="str">
        <f>VLOOKUP(Z33,المرجع!$D$3:$E$12,2)</f>
        <v>ب+</v>
      </c>
      <c r="AB33" s="13">
        <f t="shared" si="4"/>
        <v>9</v>
      </c>
      <c r="AC33" s="21">
        <v>3</v>
      </c>
      <c r="AD33" s="8">
        <v>77</v>
      </c>
      <c r="AE33" s="11">
        <f>VLOOKUP(AD33,المرجع!$B$3:$C$12,2)</f>
        <v>3.5</v>
      </c>
      <c r="AF33" s="23" t="str">
        <f>VLOOKUP(AE33,المرجع!$D$3:$E$12,2)</f>
        <v>ج+</v>
      </c>
      <c r="AG33" s="13">
        <f t="shared" si="5"/>
        <v>10.5</v>
      </c>
      <c r="AH33" s="21">
        <v>2</v>
      </c>
      <c r="AI33" s="8">
        <v>61</v>
      </c>
      <c r="AJ33" s="11">
        <f>VLOOKUP(AI33,المرجع!$B$3:$C$12,2)</f>
        <v>2</v>
      </c>
      <c r="AK33" s="23" t="str">
        <f>VLOOKUP(AJ33,المرجع!$D$3:$E$12,2)</f>
        <v>د</v>
      </c>
      <c r="AL33" s="13">
        <f t="shared" si="6"/>
        <v>4</v>
      </c>
      <c r="AM33" s="21">
        <v>3</v>
      </c>
      <c r="AN33" s="8">
        <v>90</v>
      </c>
      <c r="AO33" s="11">
        <f>VLOOKUP(AN33,المرجع!$B$3:$C$12,2)</f>
        <v>4.75</v>
      </c>
      <c r="AP33" s="23" t="str">
        <f>VLOOKUP(AO33,المرجع!$D$3:$E$12,2)</f>
        <v>أ</v>
      </c>
      <c r="AQ33" s="13">
        <f t="shared" si="7"/>
        <v>14.25</v>
      </c>
      <c r="AR33" s="21">
        <v>2</v>
      </c>
      <c r="AS33" s="8">
        <v>95</v>
      </c>
      <c r="AT33" s="11">
        <f>VLOOKUP(AS33,المرجع!$B$3:$C$12,2)</f>
        <v>5</v>
      </c>
      <c r="AU33" s="23" t="str">
        <f>VLOOKUP(AT33,المرجع!$D$3:$E$12,2)</f>
        <v xml:space="preserve">أ+ </v>
      </c>
      <c r="AV33" s="13">
        <f t="shared" si="8"/>
        <v>10</v>
      </c>
      <c r="AW33" s="21">
        <v>2</v>
      </c>
      <c r="AX33" s="8">
        <v>58</v>
      </c>
      <c r="AY33" s="11">
        <f>VLOOKUP(AX33,المرجع!$B$3:$C$12,2)</f>
        <v>2</v>
      </c>
      <c r="AZ33" s="23" t="str">
        <f>VLOOKUP(AY33,المرجع!$D$3:$E$12,2)</f>
        <v>د</v>
      </c>
      <c r="BA33" s="13">
        <f t="shared" si="9"/>
        <v>4</v>
      </c>
      <c r="BB33" s="25">
        <f t="shared" si="10"/>
        <v>89</v>
      </c>
      <c r="BC33" s="26">
        <f t="shared" si="11"/>
        <v>22</v>
      </c>
      <c r="BD33" s="27">
        <f t="shared" si="12"/>
        <v>4.0454545454545459</v>
      </c>
      <c r="BE33" s="80">
        <f>('المستوى الأول 2022'!BL33+'المستوى الثاني 2023'!BB33)/('المستوى الثاني 2023'!BC33+'المستوى الأول 2022'!BM33)</f>
        <v>3.588888888888889</v>
      </c>
      <c r="BF33" s="28" t="str">
        <f>VLOOKUP(BE33,المرجع!$D$3:$F$12,3)</f>
        <v xml:space="preserve">جيد مرتفع </v>
      </c>
      <c r="BG33" s="29">
        <f t="shared" si="13"/>
        <v>32</v>
      </c>
    </row>
    <row r="34" spans="2:59" ht="22">
      <c r="B34" s="3">
        <v>2023072</v>
      </c>
      <c r="C34" s="5" t="s">
        <v>58</v>
      </c>
      <c r="D34" s="21">
        <v>1</v>
      </c>
      <c r="E34" s="15">
        <v>96</v>
      </c>
      <c r="F34" s="11">
        <f>VLOOKUP(E34,المرجع!$B$3:$C$12,2)</f>
        <v>5</v>
      </c>
      <c r="G34" s="23" t="str">
        <f>VLOOKUP(F34,المرجع!$D$3:$E$12,2)</f>
        <v xml:space="preserve">أ+ </v>
      </c>
      <c r="H34" s="13">
        <f t="shared" si="0"/>
        <v>5</v>
      </c>
      <c r="I34" s="21">
        <v>2</v>
      </c>
      <c r="J34" s="8">
        <v>89</v>
      </c>
      <c r="K34" s="11">
        <f>VLOOKUP(J34,المرجع!$B$3:$C$12,2)</f>
        <v>4.5</v>
      </c>
      <c r="L34" s="23" t="str">
        <f>VLOOKUP(K34,المرجع!$D$3:$E$12,2)</f>
        <v>ب+</v>
      </c>
      <c r="M34" s="13">
        <f t="shared" si="1"/>
        <v>9</v>
      </c>
      <c r="N34" s="21">
        <v>2</v>
      </c>
      <c r="O34" s="8">
        <v>70</v>
      </c>
      <c r="P34" s="11">
        <f>VLOOKUP(O34,المرجع!$B$3:$C$12,2)</f>
        <v>3</v>
      </c>
      <c r="Q34" s="23" t="str">
        <f>VLOOKUP(P34,المرجع!$D$3:$E$12,2)</f>
        <v>ج</v>
      </c>
      <c r="R34" s="13">
        <f t="shared" si="2"/>
        <v>6</v>
      </c>
      <c r="S34" s="21">
        <v>3</v>
      </c>
      <c r="T34" s="8">
        <v>100</v>
      </c>
      <c r="U34" s="11">
        <f>VLOOKUP(T34,المرجع!$B$3:$C$12,2)</f>
        <v>5</v>
      </c>
      <c r="V34" s="23" t="str">
        <f>VLOOKUP(U34,المرجع!$D$3:$E$12,2)</f>
        <v xml:space="preserve">أ+ </v>
      </c>
      <c r="W34" s="13">
        <f t="shared" si="3"/>
        <v>15</v>
      </c>
      <c r="X34" s="21">
        <v>2</v>
      </c>
      <c r="Y34" s="8">
        <v>97</v>
      </c>
      <c r="Z34" s="11">
        <f>VLOOKUP(Y34,المرجع!$B$3:$C$12,2)</f>
        <v>5</v>
      </c>
      <c r="AA34" s="23" t="str">
        <f>VLOOKUP(Z34,المرجع!$D$3:$E$12,2)</f>
        <v xml:space="preserve">أ+ </v>
      </c>
      <c r="AB34" s="13">
        <f t="shared" si="4"/>
        <v>10</v>
      </c>
      <c r="AC34" s="21">
        <v>3</v>
      </c>
      <c r="AD34" s="8">
        <v>83</v>
      </c>
      <c r="AE34" s="11">
        <f>VLOOKUP(AD34,المرجع!$B$3:$C$12,2)</f>
        <v>4</v>
      </c>
      <c r="AF34" s="23" t="str">
        <f>VLOOKUP(AE34,المرجع!$D$3:$E$12,2)</f>
        <v>ب</v>
      </c>
      <c r="AG34" s="13">
        <f t="shared" si="5"/>
        <v>12</v>
      </c>
      <c r="AH34" s="21">
        <v>2</v>
      </c>
      <c r="AI34" s="8">
        <v>95</v>
      </c>
      <c r="AJ34" s="11">
        <f>VLOOKUP(AI34,المرجع!$B$3:$C$12,2)</f>
        <v>5</v>
      </c>
      <c r="AK34" s="23" t="str">
        <f>VLOOKUP(AJ34,المرجع!$D$3:$E$12,2)</f>
        <v xml:space="preserve">أ+ </v>
      </c>
      <c r="AL34" s="13">
        <f t="shared" si="6"/>
        <v>10</v>
      </c>
      <c r="AM34" s="21">
        <v>3</v>
      </c>
      <c r="AN34" s="8">
        <v>84</v>
      </c>
      <c r="AO34" s="11">
        <f>VLOOKUP(AN34,المرجع!$B$3:$C$12,2)</f>
        <v>4</v>
      </c>
      <c r="AP34" s="23" t="str">
        <f>VLOOKUP(AO34,المرجع!$D$3:$E$12,2)</f>
        <v>ب</v>
      </c>
      <c r="AQ34" s="13">
        <f t="shared" si="7"/>
        <v>12</v>
      </c>
      <c r="AR34" s="21">
        <v>2</v>
      </c>
      <c r="AS34" s="8">
        <v>60</v>
      </c>
      <c r="AT34" s="11">
        <f>VLOOKUP(AS34,المرجع!$B$3:$C$12,2)</f>
        <v>2</v>
      </c>
      <c r="AU34" s="23" t="str">
        <f>VLOOKUP(AT34,المرجع!$D$3:$E$12,2)</f>
        <v>د</v>
      </c>
      <c r="AV34" s="13">
        <f t="shared" si="8"/>
        <v>4</v>
      </c>
      <c r="AW34" s="21">
        <v>2</v>
      </c>
      <c r="AX34" s="8">
        <v>70</v>
      </c>
      <c r="AY34" s="11">
        <f>VLOOKUP(AX34,المرجع!$B$3:$C$12,2)</f>
        <v>3</v>
      </c>
      <c r="AZ34" s="23" t="str">
        <f>VLOOKUP(AY34,المرجع!$D$3:$E$12,2)</f>
        <v>ج</v>
      </c>
      <c r="BA34" s="13">
        <f t="shared" si="9"/>
        <v>6</v>
      </c>
      <c r="BB34" s="25">
        <f t="shared" si="10"/>
        <v>89</v>
      </c>
      <c r="BC34" s="26">
        <f t="shared" si="11"/>
        <v>22</v>
      </c>
      <c r="BD34" s="27">
        <f t="shared" si="12"/>
        <v>4.0454545454545459</v>
      </c>
      <c r="BE34" s="80">
        <f>('المستوى الأول 2022'!BL34+'المستوى الثاني 2023'!BB34)/('المستوى الثاني 2023'!BC34+'المستوى الأول 2022'!BM34)</f>
        <v>3.4</v>
      </c>
      <c r="BF34" s="28" t="str">
        <f>VLOOKUP(BE34,المرجع!$D$3:$F$12,3)</f>
        <v xml:space="preserve">جيد مرتفع </v>
      </c>
      <c r="BG34" s="29">
        <f t="shared" si="13"/>
        <v>32</v>
      </c>
    </row>
    <row r="35" spans="2:59" ht="22">
      <c r="B35" s="3">
        <v>202357</v>
      </c>
      <c r="C35" s="5" t="s">
        <v>8</v>
      </c>
      <c r="D35" s="21">
        <v>1</v>
      </c>
      <c r="E35" s="15">
        <v>92</v>
      </c>
      <c r="F35" s="11">
        <f>VLOOKUP(E35,المرجع!$B$3:$C$12,2)</f>
        <v>4.75</v>
      </c>
      <c r="G35" s="23" t="str">
        <f>VLOOKUP(F35,المرجع!$D$3:$E$12,2)</f>
        <v>أ</v>
      </c>
      <c r="H35" s="13">
        <f t="shared" ref="H35:H66" si="14">F35*D35</f>
        <v>4.75</v>
      </c>
      <c r="I35" s="21">
        <v>2</v>
      </c>
      <c r="J35" s="8">
        <v>90</v>
      </c>
      <c r="K35" s="11">
        <f>VLOOKUP(J35,المرجع!$B$3:$C$12,2)</f>
        <v>4.75</v>
      </c>
      <c r="L35" s="23" t="str">
        <f>VLOOKUP(K35,المرجع!$D$3:$E$12,2)</f>
        <v>أ</v>
      </c>
      <c r="M35" s="13">
        <f t="shared" ref="M35:M66" si="15">K35*I35</f>
        <v>9.5</v>
      </c>
      <c r="N35" s="21">
        <v>2</v>
      </c>
      <c r="O35" s="8">
        <v>79</v>
      </c>
      <c r="P35" s="11">
        <f>VLOOKUP(O35,المرجع!$B$3:$C$12,2)</f>
        <v>3.5</v>
      </c>
      <c r="Q35" s="23" t="str">
        <f>VLOOKUP(P35,المرجع!$D$3:$E$12,2)</f>
        <v>ج+</v>
      </c>
      <c r="R35" s="13">
        <f t="shared" ref="R35:R66" si="16">P35*N35</f>
        <v>7</v>
      </c>
      <c r="S35" s="21">
        <v>3</v>
      </c>
      <c r="T35" s="8">
        <v>100</v>
      </c>
      <c r="U35" s="11">
        <f>VLOOKUP(T35,المرجع!$B$3:$C$12,2)</f>
        <v>5</v>
      </c>
      <c r="V35" s="23" t="str">
        <f>VLOOKUP(U35,المرجع!$D$3:$E$12,2)</f>
        <v xml:space="preserve">أ+ </v>
      </c>
      <c r="W35" s="13">
        <f t="shared" ref="W35:W66" si="17">U35*S35</f>
        <v>15</v>
      </c>
      <c r="X35" s="21">
        <v>2</v>
      </c>
      <c r="Y35" s="8">
        <v>84</v>
      </c>
      <c r="Z35" s="11">
        <f>VLOOKUP(Y35,المرجع!$B$3:$C$12,2)</f>
        <v>4</v>
      </c>
      <c r="AA35" s="23" t="str">
        <f>VLOOKUP(Z35,المرجع!$D$3:$E$12,2)</f>
        <v>ب</v>
      </c>
      <c r="AB35" s="13">
        <f t="shared" ref="AB35:AB66" si="18">Z35*X35</f>
        <v>8</v>
      </c>
      <c r="AC35" s="21">
        <v>3</v>
      </c>
      <c r="AD35" s="8">
        <v>87</v>
      </c>
      <c r="AE35" s="11">
        <f>VLOOKUP(AD35,المرجع!$B$3:$C$12,2)</f>
        <v>4.5</v>
      </c>
      <c r="AF35" s="23" t="str">
        <f>VLOOKUP(AE35,المرجع!$D$3:$E$12,2)</f>
        <v>ب+</v>
      </c>
      <c r="AG35" s="13">
        <f t="shared" ref="AG35:AG66" si="19">AE35*AC35</f>
        <v>13.5</v>
      </c>
      <c r="AH35" s="21">
        <v>2</v>
      </c>
      <c r="AI35" s="8">
        <v>53</v>
      </c>
      <c r="AJ35" s="11">
        <f>VLOOKUP(AI35,المرجع!$B$3:$C$12,2)</f>
        <v>2</v>
      </c>
      <c r="AK35" s="23" t="str">
        <f>VLOOKUP(AJ35,المرجع!$D$3:$E$12,2)</f>
        <v>د</v>
      </c>
      <c r="AL35" s="13">
        <f t="shared" ref="AL35:AL66" si="20">AJ35*AH35</f>
        <v>4</v>
      </c>
      <c r="AM35" s="21">
        <v>3</v>
      </c>
      <c r="AN35" s="8">
        <v>88</v>
      </c>
      <c r="AO35" s="11">
        <f>VLOOKUP(AN35,المرجع!$B$3:$C$12,2)</f>
        <v>4.5</v>
      </c>
      <c r="AP35" s="23" t="str">
        <f>VLOOKUP(AO35,المرجع!$D$3:$E$12,2)</f>
        <v>ب+</v>
      </c>
      <c r="AQ35" s="13">
        <f t="shared" ref="AQ35:AQ66" si="21">AO35*AM35</f>
        <v>13.5</v>
      </c>
      <c r="AR35" s="21">
        <v>2</v>
      </c>
      <c r="AS35" s="8">
        <v>70</v>
      </c>
      <c r="AT35" s="11">
        <f>VLOOKUP(AS35,المرجع!$B$3:$C$12,2)</f>
        <v>3</v>
      </c>
      <c r="AU35" s="23" t="str">
        <f>VLOOKUP(AT35,المرجع!$D$3:$E$12,2)</f>
        <v>ج</v>
      </c>
      <c r="AV35" s="13">
        <f t="shared" ref="AV35:AV66" si="22">AT35*AR35</f>
        <v>6</v>
      </c>
      <c r="AW35" s="21">
        <v>2</v>
      </c>
      <c r="AX35" s="8">
        <v>94</v>
      </c>
      <c r="AY35" s="11">
        <f>VLOOKUP(AX35,المرجع!$B$3:$C$12,2)</f>
        <v>4.75</v>
      </c>
      <c r="AZ35" s="23" t="str">
        <f>VLOOKUP(AY35,المرجع!$D$3:$E$12,2)</f>
        <v>أ</v>
      </c>
      <c r="BA35" s="13">
        <f t="shared" ref="BA35:BA66" si="23">AY35*AW35</f>
        <v>9.5</v>
      </c>
      <c r="BB35" s="25">
        <f t="shared" ref="BB35:BB66" si="24">BA35+AV35+AQ35+AL35+AG35+AB35+W35+R35+M35+H35</f>
        <v>90.75</v>
      </c>
      <c r="BC35" s="26">
        <f t="shared" ref="BC35:BC66" si="25">AW35+AR35+AM35+AH35+AC35+X35+S35+N35+I35+D35</f>
        <v>22</v>
      </c>
      <c r="BD35" s="27">
        <f t="shared" ref="BD35:BD66" si="26">BB35/BC35</f>
        <v>4.125</v>
      </c>
      <c r="BE35" s="80">
        <f>('المستوى الأول 2022'!BL35+'المستوى الثاني 2023'!BB35)/('المستوى الثاني 2023'!BC35+'المستوى الأول 2022'!BM35)</f>
        <v>3.6166666666666667</v>
      </c>
      <c r="BF35" s="28" t="str">
        <f>VLOOKUP(BE35,المرجع!$D$3:$F$12,3)</f>
        <v xml:space="preserve">جيد جدا </v>
      </c>
      <c r="BG35" s="29">
        <f t="shared" ref="BG35:BG66" si="27">RANK(BD35,$BD$3:$BD$87)</f>
        <v>28</v>
      </c>
    </row>
    <row r="36" spans="2:59" ht="22">
      <c r="B36" s="3">
        <v>2023021</v>
      </c>
      <c r="C36" s="5" t="s">
        <v>11</v>
      </c>
      <c r="D36" s="21">
        <v>1</v>
      </c>
      <c r="E36" s="15">
        <v>97</v>
      </c>
      <c r="F36" s="11">
        <f>VLOOKUP(E36,المرجع!$B$3:$C$12,2)</f>
        <v>5</v>
      </c>
      <c r="G36" s="23" t="str">
        <f>VLOOKUP(F36,المرجع!$D$3:$E$12,2)</f>
        <v xml:space="preserve">أ+ </v>
      </c>
      <c r="H36" s="13">
        <f t="shared" si="14"/>
        <v>5</v>
      </c>
      <c r="I36" s="21">
        <v>2</v>
      </c>
      <c r="J36" s="8">
        <v>90</v>
      </c>
      <c r="K36" s="11">
        <f>VLOOKUP(J36,المرجع!$B$3:$C$12,2)</f>
        <v>4.75</v>
      </c>
      <c r="L36" s="23" t="str">
        <f>VLOOKUP(K36,المرجع!$D$3:$E$12,2)</f>
        <v>أ</v>
      </c>
      <c r="M36" s="13">
        <f t="shared" si="15"/>
        <v>9.5</v>
      </c>
      <c r="N36" s="21">
        <v>2</v>
      </c>
      <c r="O36" s="8">
        <v>84</v>
      </c>
      <c r="P36" s="11">
        <f>VLOOKUP(O36,المرجع!$B$3:$C$12,2)</f>
        <v>4</v>
      </c>
      <c r="Q36" s="23" t="str">
        <f>VLOOKUP(P36,المرجع!$D$3:$E$12,2)</f>
        <v>ب</v>
      </c>
      <c r="R36" s="13">
        <f t="shared" si="16"/>
        <v>8</v>
      </c>
      <c r="S36" s="21">
        <v>3</v>
      </c>
      <c r="T36" s="8">
        <v>80</v>
      </c>
      <c r="U36" s="11">
        <f>VLOOKUP(T36,المرجع!$B$3:$C$12,2)</f>
        <v>4</v>
      </c>
      <c r="V36" s="23" t="str">
        <f>VLOOKUP(U36,المرجع!$D$3:$E$12,2)</f>
        <v>ب</v>
      </c>
      <c r="W36" s="13">
        <f t="shared" si="17"/>
        <v>12</v>
      </c>
      <c r="X36" s="21">
        <v>2</v>
      </c>
      <c r="Y36" s="8">
        <v>88</v>
      </c>
      <c r="Z36" s="11">
        <f>VLOOKUP(Y36,المرجع!$B$3:$C$12,2)</f>
        <v>4.5</v>
      </c>
      <c r="AA36" s="23" t="str">
        <f>VLOOKUP(Z36,المرجع!$D$3:$E$12,2)</f>
        <v>ب+</v>
      </c>
      <c r="AB36" s="13">
        <f t="shared" si="18"/>
        <v>9</v>
      </c>
      <c r="AC36" s="21">
        <v>3</v>
      </c>
      <c r="AD36" s="8">
        <v>71</v>
      </c>
      <c r="AE36" s="11">
        <f>VLOOKUP(AD36,المرجع!$B$3:$C$12,2)</f>
        <v>3</v>
      </c>
      <c r="AF36" s="23" t="str">
        <f>VLOOKUP(AE36,المرجع!$D$3:$E$12,2)</f>
        <v>ج</v>
      </c>
      <c r="AG36" s="13">
        <f t="shared" si="19"/>
        <v>9</v>
      </c>
      <c r="AH36" s="21">
        <v>2</v>
      </c>
      <c r="AI36" s="8">
        <v>64</v>
      </c>
      <c r="AJ36" s="11">
        <f>VLOOKUP(AI36,المرجع!$B$3:$C$12,2)</f>
        <v>2</v>
      </c>
      <c r="AK36" s="23" t="str">
        <f>VLOOKUP(AJ36,المرجع!$D$3:$E$12,2)</f>
        <v>د</v>
      </c>
      <c r="AL36" s="13">
        <f t="shared" si="20"/>
        <v>4</v>
      </c>
      <c r="AM36" s="21">
        <v>3</v>
      </c>
      <c r="AN36" s="8">
        <v>75</v>
      </c>
      <c r="AO36" s="11">
        <f>VLOOKUP(AN36,المرجع!$B$3:$C$12,2)</f>
        <v>3.5</v>
      </c>
      <c r="AP36" s="23" t="str">
        <f>VLOOKUP(AO36,المرجع!$D$3:$E$12,2)</f>
        <v>ج+</v>
      </c>
      <c r="AQ36" s="13">
        <f t="shared" si="21"/>
        <v>10.5</v>
      </c>
      <c r="AR36" s="21">
        <v>2</v>
      </c>
      <c r="AS36" s="8">
        <v>90</v>
      </c>
      <c r="AT36" s="11">
        <f>VLOOKUP(AS36,المرجع!$B$3:$C$12,2)</f>
        <v>4.75</v>
      </c>
      <c r="AU36" s="23" t="str">
        <f>VLOOKUP(AT36,المرجع!$D$3:$E$12,2)</f>
        <v>أ</v>
      </c>
      <c r="AV36" s="13">
        <f t="shared" si="22"/>
        <v>9.5</v>
      </c>
      <c r="AW36" s="21">
        <v>2</v>
      </c>
      <c r="AX36" s="8">
        <v>94</v>
      </c>
      <c r="AY36" s="11">
        <f>VLOOKUP(AX36,المرجع!$B$3:$C$12,2)</f>
        <v>4.75</v>
      </c>
      <c r="AZ36" s="23" t="str">
        <f>VLOOKUP(AY36,المرجع!$D$3:$E$12,2)</f>
        <v>أ</v>
      </c>
      <c r="BA36" s="13">
        <f t="shared" si="23"/>
        <v>9.5</v>
      </c>
      <c r="BB36" s="25">
        <f t="shared" si="24"/>
        <v>86</v>
      </c>
      <c r="BC36" s="26">
        <f t="shared" si="25"/>
        <v>22</v>
      </c>
      <c r="BD36" s="27">
        <f t="shared" si="26"/>
        <v>3.9090909090909092</v>
      </c>
      <c r="BE36" s="80">
        <f>('المستوى الأول 2022'!BL36+'المستوى الثاني 2023'!BB36)/('المستوى الثاني 2023'!BC36+'المستوى الأول 2022'!BM36)</f>
        <v>3.3777777777777778</v>
      </c>
      <c r="BF36" s="28" t="str">
        <f>VLOOKUP(BE36,المرجع!$D$3:$F$12,3)</f>
        <v xml:space="preserve">جيد مرتفع </v>
      </c>
      <c r="BG36" s="29">
        <f t="shared" si="27"/>
        <v>35</v>
      </c>
    </row>
    <row r="37" spans="2:59" ht="22">
      <c r="B37" s="3">
        <v>2023022</v>
      </c>
      <c r="C37" s="5" t="s">
        <v>16</v>
      </c>
      <c r="D37" s="21">
        <v>1</v>
      </c>
      <c r="E37" s="15">
        <v>91</v>
      </c>
      <c r="F37" s="11">
        <f>VLOOKUP(E37,المرجع!$B$3:$C$12,2)</f>
        <v>4.75</v>
      </c>
      <c r="G37" s="23" t="str">
        <f>VLOOKUP(F37,المرجع!$D$3:$E$12,2)</f>
        <v>أ</v>
      </c>
      <c r="H37" s="13">
        <f t="shared" si="14"/>
        <v>4.75</v>
      </c>
      <c r="I37" s="21">
        <v>2</v>
      </c>
      <c r="J37" s="8">
        <v>87</v>
      </c>
      <c r="K37" s="11">
        <f>VLOOKUP(J37,المرجع!$B$3:$C$12,2)</f>
        <v>4.5</v>
      </c>
      <c r="L37" s="23" t="str">
        <f>VLOOKUP(K37,المرجع!$D$3:$E$12,2)</f>
        <v>ب+</v>
      </c>
      <c r="M37" s="13">
        <f t="shared" si="15"/>
        <v>9</v>
      </c>
      <c r="N37" s="21">
        <v>2</v>
      </c>
      <c r="O37" s="8">
        <v>82</v>
      </c>
      <c r="P37" s="11">
        <f>VLOOKUP(O37,المرجع!$B$3:$C$12,2)</f>
        <v>4</v>
      </c>
      <c r="Q37" s="23" t="str">
        <f>VLOOKUP(P37,المرجع!$D$3:$E$12,2)</f>
        <v>ب</v>
      </c>
      <c r="R37" s="13">
        <f t="shared" si="16"/>
        <v>8</v>
      </c>
      <c r="S37" s="21">
        <v>3</v>
      </c>
      <c r="T37" s="8">
        <v>89</v>
      </c>
      <c r="U37" s="11">
        <f>VLOOKUP(T37,المرجع!$B$3:$C$12,2)</f>
        <v>4.5</v>
      </c>
      <c r="V37" s="23" t="str">
        <f>VLOOKUP(U37,المرجع!$D$3:$E$12,2)</f>
        <v>ب+</v>
      </c>
      <c r="W37" s="13">
        <f t="shared" si="17"/>
        <v>13.5</v>
      </c>
      <c r="X37" s="21">
        <v>2</v>
      </c>
      <c r="Y37" s="8">
        <v>88</v>
      </c>
      <c r="Z37" s="11">
        <f>VLOOKUP(Y37,المرجع!$B$3:$C$12,2)</f>
        <v>4.5</v>
      </c>
      <c r="AA37" s="23" t="str">
        <f>VLOOKUP(Z37,المرجع!$D$3:$E$12,2)</f>
        <v>ب+</v>
      </c>
      <c r="AB37" s="13">
        <f t="shared" si="18"/>
        <v>9</v>
      </c>
      <c r="AC37" s="21">
        <v>3</v>
      </c>
      <c r="AD37" s="8">
        <v>51</v>
      </c>
      <c r="AE37" s="11">
        <f>VLOOKUP(AD37,المرجع!$B$3:$C$12,2)</f>
        <v>2</v>
      </c>
      <c r="AF37" s="23" t="str">
        <f>VLOOKUP(AE37,المرجع!$D$3:$E$12,2)</f>
        <v>د</v>
      </c>
      <c r="AG37" s="13">
        <f t="shared" si="19"/>
        <v>6</v>
      </c>
      <c r="AH37" s="21">
        <v>2</v>
      </c>
      <c r="AI37" s="8">
        <v>50</v>
      </c>
      <c r="AJ37" s="11">
        <f>VLOOKUP(AI37,المرجع!$B$3:$C$12,2)</f>
        <v>2</v>
      </c>
      <c r="AK37" s="23" t="str">
        <f>VLOOKUP(AJ37,المرجع!$D$3:$E$12,2)</f>
        <v>د</v>
      </c>
      <c r="AL37" s="13">
        <f t="shared" si="20"/>
        <v>4</v>
      </c>
      <c r="AM37" s="21">
        <v>3</v>
      </c>
      <c r="AN37" s="8">
        <v>93</v>
      </c>
      <c r="AO37" s="11">
        <f>VLOOKUP(AN37,المرجع!$B$3:$C$12,2)</f>
        <v>4.75</v>
      </c>
      <c r="AP37" s="23" t="str">
        <f>VLOOKUP(AO37,المرجع!$D$3:$E$12,2)</f>
        <v>أ</v>
      </c>
      <c r="AQ37" s="13">
        <f t="shared" si="21"/>
        <v>14.25</v>
      </c>
      <c r="AR37" s="21">
        <v>2</v>
      </c>
      <c r="AS37" s="8">
        <v>80</v>
      </c>
      <c r="AT37" s="11">
        <f>VLOOKUP(AS37,المرجع!$B$3:$C$12,2)</f>
        <v>4</v>
      </c>
      <c r="AU37" s="23" t="str">
        <f>VLOOKUP(AT37,المرجع!$D$3:$E$12,2)</f>
        <v>ب</v>
      </c>
      <c r="AV37" s="13">
        <f t="shared" si="22"/>
        <v>8</v>
      </c>
      <c r="AW37" s="21">
        <v>2</v>
      </c>
      <c r="AX37" s="8">
        <v>92</v>
      </c>
      <c r="AY37" s="11">
        <f>VLOOKUP(AX37,المرجع!$B$3:$C$12,2)</f>
        <v>4.75</v>
      </c>
      <c r="AZ37" s="23" t="str">
        <f>VLOOKUP(AY37,المرجع!$D$3:$E$12,2)</f>
        <v>أ</v>
      </c>
      <c r="BA37" s="13">
        <f t="shared" si="23"/>
        <v>9.5</v>
      </c>
      <c r="BB37" s="25">
        <f t="shared" si="24"/>
        <v>86</v>
      </c>
      <c r="BC37" s="26">
        <f t="shared" si="25"/>
        <v>22</v>
      </c>
      <c r="BD37" s="27">
        <f t="shared" si="26"/>
        <v>3.9090909090909092</v>
      </c>
      <c r="BE37" s="80">
        <f>('المستوى الأول 2022'!BL37+'المستوى الثاني 2023'!BB37)/('المستوى الثاني 2023'!BC37+'المستوى الأول 2022'!BM37)</f>
        <v>3.4166666666666665</v>
      </c>
      <c r="BF37" s="28" t="str">
        <f>VLOOKUP(BE37,المرجع!$D$3:$F$12,3)</f>
        <v xml:space="preserve">جيد مرتفع </v>
      </c>
      <c r="BG37" s="29">
        <f t="shared" si="27"/>
        <v>35</v>
      </c>
    </row>
    <row r="38" spans="2:59" ht="22">
      <c r="B38" s="3">
        <v>2023130</v>
      </c>
      <c r="C38" s="5" t="s">
        <v>60</v>
      </c>
      <c r="D38" s="21">
        <v>1</v>
      </c>
      <c r="E38" s="15">
        <v>89</v>
      </c>
      <c r="F38" s="11">
        <f>VLOOKUP(E38,المرجع!$B$3:$C$12,2)</f>
        <v>4.5</v>
      </c>
      <c r="G38" s="23" t="str">
        <f>VLOOKUP(F38,المرجع!$D$3:$E$12,2)</f>
        <v>ب+</v>
      </c>
      <c r="H38" s="13">
        <f t="shared" si="14"/>
        <v>4.5</v>
      </c>
      <c r="I38" s="21">
        <v>2</v>
      </c>
      <c r="J38" s="8">
        <v>97</v>
      </c>
      <c r="K38" s="11">
        <f>VLOOKUP(J38,المرجع!$B$3:$C$12,2)</f>
        <v>5</v>
      </c>
      <c r="L38" s="23" t="str">
        <f>VLOOKUP(K38,المرجع!$D$3:$E$12,2)</f>
        <v xml:space="preserve">أ+ </v>
      </c>
      <c r="M38" s="13">
        <f t="shared" si="15"/>
        <v>10</v>
      </c>
      <c r="N38" s="21">
        <v>2</v>
      </c>
      <c r="O38" s="8">
        <v>94</v>
      </c>
      <c r="P38" s="11">
        <f>VLOOKUP(O38,المرجع!$B$3:$C$12,2)</f>
        <v>4.75</v>
      </c>
      <c r="Q38" s="23" t="str">
        <f>VLOOKUP(P38,المرجع!$D$3:$E$12,2)</f>
        <v>أ</v>
      </c>
      <c r="R38" s="13">
        <f t="shared" si="16"/>
        <v>9.5</v>
      </c>
      <c r="S38" s="21">
        <v>3</v>
      </c>
      <c r="T38" s="8">
        <v>100</v>
      </c>
      <c r="U38" s="11">
        <f>VLOOKUP(T38,المرجع!$B$3:$C$12,2)</f>
        <v>5</v>
      </c>
      <c r="V38" s="23" t="str">
        <f>VLOOKUP(U38,المرجع!$D$3:$E$12,2)</f>
        <v xml:space="preserve">أ+ </v>
      </c>
      <c r="W38" s="13">
        <f t="shared" si="17"/>
        <v>15</v>
      </c>
      <c r="X38" s="21">
        <v>2</v>
      </c>
      <c r="Y38" s="8">
        <v>79</v>
      </c>
      <c r="Z38" s="11">
        <f>VLOOKUP(Y38,المرجع!$B$3:$C$12,2)</f>
        <v>3.5</v>
      </c>
      <c r="AA38" s="23" t="str">
        <f>VLOOKUP(Z38,المرجع!$D$3:$E$12,2)</f>
        <v>ج+</v>
      </c>
      <c r="AB38" s="13">
        <f t="shared" si="18"/>
        <v>7</v>
      </c>
      <c r="AC38" s="21">
        <v>3</v>
      </c>
      <c r="AD38" s="8">
        <v>85</v>
      </c>
      <c r="AE38" s="11">
        <f>VLOOKUP(AD38,المرجع!$B$3:$C$12,2)</f>
        <v>4.5</v>
      </c>
      <c r="AF38" s="23" t="str">
        <f>VLOOKUP(AE38,المرجع!$D$3:$E$12,2)</f>
        <v>ب+</v>
      </c>
      <c r="AG38" s="13">
        <f t="shared" si="19"/>
        <v>13.5</v>
      </c>
      <c r="AH38" s="21">
        <v>2</v>
      </c>
      <c r="AI38" s="8">
        <v>65</v>
      </c>
      <c r="AJ38" s="11">
        <f>VLOOKUP(AI38,المرجع!$B$3:$C$12,2)</f>
        <v>2.5</v>
      </c>
      <c r="AK38" s="23" t="str">
        <f>VLOOKUP(AJ38,المرجع!$D$3:$E$12,2)</f>
        <v>د+</v>
      </c>
      <c r="AL38" s="13">
        <f t="shared" si="20"/>
        <v>5</v>
      </c>
      <c r="AM38" s="21">
        <v>3</v>
      </c>
      <c r="AN38" s="8">
        <v>80</v>
      </c>
      <c r="AO38" s="11">
        <f>VLOOKUP(AN38,المرجع!$B$3:$C$12,2)</f>
        <v>4</v>
      </c>
      <c r="AP38" s="23" t="str">
        <f>VLOOKUP(AO38,المرجع!$D$3:$E$12,2)</f>
        <v>ب</v>
      </c>
      <c r="AQ38" s="13">
        <f t="shared" si="21"/>
        <v>12</v>
      </c>
      <c r="AR38" s="21">
        <v>2</v>
      </c>
      <c r="AS38" s="8">
        <v>60</v>
      </c>
      <c r="AT38" s="11">
        <f>VLOOKUP(AS38,المرجع!$B$3:$C$12,2)</f>
        <v>2</v>
      </c>
      <c r="AU38" s="23" t="str">
        <f>VLOOKUP(AT38,المرجع!$D$3:$E$12,2)</f>
        <v>د</v>
      </c>
      <c r="AV38" s="13">
        <f t="shared" si="22"/>
        <v>4</v>
      </c>
      <c r="AW38" s="21">
        <v>2</v>
      </c>
      <c r="AX38" s="8">
        <v>76</v>
      </c>
      <c r="AY38" s="11">
        <f>VLOOKUP(AX38,المرجع!$B$3:$C$12,2)</f>
        <v>3.5</v>
      </c>
      <c r="AZ38" s="23" t="str">
        <f>VLOOKUP(AY38,المرجع!$D$3:$E$12,2)</f>
        <v>ج+</v>
      </c>
      <c r="BA38" s="13">
        <f t="shared" si="23"/>
        <v>7</v>
      </c>
      <c r="BB38" s="25">
        <f t="shared" si="24"/>
        <v>87.5</v>
      </c>
      <c r="BC38" s="26">
        <f t="shared" si="25"/>
        <v>22</v>
      </c>
      <c r="BD38" s="27">
        <f t="shared" si="26"/>
        <v>3.9772727272727271</v>
      </c>
      <c r="BE38" s="80">
        <f>('المستوى الأول 2022'!BL38+'المستوى الثاني 2023'!BB38)/('المستوى الثاني 2023'!BC38+'المستوى الأول 2022'!BM38)</f>
        <v>3.4555555555555557</v>
      </c>
      <c r="BF38" s="28" t="str">
        <f>VLOOKUP(BE38,المرجع!$D$3:$F$12,3)</f>
        <v xml:space="preserve">جيد مرتفع </v>
      </c>
      <c r="BG38" s="29">
        <f t="shared" si="27"/>
        <v>34</v>
      </c>
    </row>
    <row r="39" spans="2:59" ht="22">
      <c r="B39" s="3">
        <v>2023046</v>
      </c>
      <c r="C39" s="5" t="s">
        <v>12</v>
      </c>
      <c r="D39" s="21">
        <v>1</v>
      </c>
      <c r="E39" s="15">
        <v>99</v>
      </c>
      <c r="F39" s="11">
        <f>VLOOKUP(E39,المرجع!$B$3:$C$12,2)</f>
        <v>5</v>
      </c>
      <c r="G39" s="23" t="str">
        <f>VLOOKUP(F39,المرجع!$D$3:$E$12,2)</f>
        <v xml:space="preserve">أ+ </v>
      </c>
      <c r="H39" s="13">
        <f t="shared" si="14"/>
        <v>5</v>
      </c>
      <c r="I39" s="21">
        <v>2</v>
      </c>
      <c r="J39" s="8">
        <v>90</v>
      </c>
      <c r="K39" s="11">
        <f>VLOOKUP(J39,المرجع!$B$3:$C$12,2)</f>
        <v>4.75</v>
      </c>
      <c r="L39" s="23" t="str">
        <f>VLOOKUP(K39,المرجع!$D$3:$E$12,2)</f>
        <v>أ</v>
      </c>
      <c r="M39" s="13">
        <f t="shared" si="15"/>
        <v>9.5</v>
      </c>
      <c r="N39" s="21">
        <v>2</v>
      </c>
      <c r="O39" s="8">
        <v>79</v>
      </c>
      <c r="P39" s="11">
        <f>VLOOKUP(O39,المرجع!$B$3:$C$12,2)</f>
        <v>3.5</v>
      </c>
      <c r="Q39" s="23" t="str">
        <f>VLOOKUP(P39,المرجع!$D$3:$E$12,2)</f>
        <v>ج+</v>
      </c>
      <c r="R39" s="13">
        <f t="shared" si="16"/>
        <v>7</v>
      </c>
      <c r="S39" s="21">
        <v>3</v>
      </c>
      <c r="T39" s="8">
        <v>100</v>
      </c>
      <c r="U39" s="11">
        <f>VLOOKUP(T39,المرجع!$B$3:$C$12,2)</f>
        <v>5</v>
      </c>
      <c r="V39" s="23" t="str">
        <f>VLOOKUP(U39,المرجع!$D$3:$E$12,2)</f>
        <v xml:space="preserve">أ+ </v>
      </c>
      <c r="W39" s="13">
        <f t="shared" si="17"/>
        <v>15</v>
      </c>
      <c r="X39" s="21">
        <v>2</v>
      </c>
      <c r="Y39" s="8">
        <v>97</v>
      </c>
      <c r="Z39" s="11">
        <f>VLOOKUP(Y39,المرجع!$B$3:$C$12,2)</f>
        <v>5</v>
      </c>
      <c r="AA39" s="23" t="str">
        <f>VLOOKUP(Z39,المرجع!$D$3:$E$12,2)</f>
        <v xml:space="preserve">أ+ </v>
      </c>
      <c r="AB39" s="13">
        <f t="shared" si="18"/>
        <v>10</v>
      </c>
      <c r="AC39" s="21">
        <v>3</v>
      </c>
      <c r="AD39" s="8">
        <v>73</v>
      </c>
      <c r="AE39" s="11">
        <f>VLOOKUP(AD39,المرجع!$B$3:$C$12,2)</f>
        <v>3</v>
      </c>
      <c r="AF39" s="23" t="str">
        <f>VLOOKUP(AE39,المرجع!$D$3:$E$12,2)</f>
        <v>ج</v>
      </c>
      <c r="AG39" s="13">
        <f t="shared" si="19"/>
        <v>9</v>
      </c>
      <c r="AH39" s="21">
        <v>2</v>
      </c>
      <c r="AI39" s="8">
        <v>58</v>
      </c>
      <c r="AJ39" s="11">
        <f>VLOOKUP(AI39,المرجع!$B$3:$C$12,2)</f>
        <v>2</v>
      </c>
      <c r="AK39" s="23" t="str">
        <f>VLOOKUP(AJ39,المرجع!$D$3:$E$12,2)</f>
        <v>د</v>
      </c>
      <c r="AL39" s="13">
        <f t="shared" si="20"/>
        <v>4</v>
      </c>
      <c r="AM39" s="21">
        <v>3</v>
      </c>
      <c r="AN39" s="8">
        <v>84</v>
      </c>
      <c r="AO39" s="11">
        <f>VLOOKUP(AN39,المرجع!$B$3:$C$12,2)</f>
        <v>4</v>
      </c>
      <c r="AP39" s="23" t="str">
        <f>VLOOKUP(AO39,المرجع!$D$3:$E$12,2)</f>
        <v>ب</v>
      </c>
      <c r="AQ39" s="13">
        <f t="shared" si="21"/>
        <v>12</v>
      </c>
      <c r="AR39" s="21">
        <v>2</v>
      </c>
      <c r="AS39" s="8">
        <v>80</v>
      </c>
      <c r="AT39" s="11">
        <f>VLOOKUP(AS39,المرجع!$B$3:$C$12,2)</f>
        <v>4</v>
      </c>
      <c r="AU39" s="23" t="str">
        <f>VLOOKUP(AT39,المرجع!$D$3:$E$12,2)</f>
        <v>ب</v>
      </c>
      <c r="AV39" s="13">
        <f t="shared" si="22"/>
        <v>8</v>
      </c>
      <c r="AW39" s="21">
        <v>2</v>
      </c>
      <c r="AX39" s="8">
        <v>68</v>
      </c>
      <c r="AY39" s="11">
        <f>VLOOKUP(AX39,المرجع!$B$3:$C$12,2)</f>
        <v>2.5</v>
      </c>
      <c r="AZ39" s="23" t="str">
        <f>VLOOKUP(AY39,المرجع!$D$3:$E$12,2)</f>
        <v>د+</v>
      </c>
      <c r="BA39" s="13">
        <f t="shared" si="23"/>
        <v>5</v>
      </c>
      <c r="BB39" s="25">
        <f t="shared" si="24"/>
        <v>84.5</v>
      </c>
      <c r="BC39" s="26">
        <f t="shared" si="25"/>
        <v>22</v>
      </c>
      <c r="BD39" s="27">
        <f t="shared" si="26"/>
        <v>3.8409090909090908</v>
      </c>
      <c r="BE39" s="80">
        <f>('المستوى الأول 2022'!BL39+'المستوى الثاني 2023'!BB39)/('المستوى الثاني 2023'!BC39+'المستوى الأول 2022'!BM39)</f>
        <v>3.3111111111111109</v>
      </c>
      <c r="BF39" s="28" t="str">
        <f>VLOOKUP(BE39,المرجع!$D$3:$F$12,3)</f>
        <v xml:space="preserve">جيد مرتفع </v>
      </c>
      <c r="BG39" s="29">
        <f t="shared" si="27"/>
        <v>37</v>
      </c>
    </row>
    <row r="40" spans="2:59" ht="22">
      <c r="B40" s="3">
        <v>2023042</v>
      </c>
      <c r="C40" s="5" t="s">
        <v>13</v>
      </c>
      <c r="D40" s="21">
        <v>1</v>
      </c>
      <c r="E40" s="15">
        <v>92</v>
      </c>
      <c r="F40" s="11">
        <f>VLOOKUP(E40,المرجع!$B$3:$C$12,2)</f>
        <v>4.75</v>
      </c>
      <c r="G40" s="23" t="str">
        <f>VLOOKUP(F40,المرجع!$D$3:$E$12,2)</f>
        <v>أ</v>
      </c>
      <c r="H40" s="13">
        <f t="shared" si="14"/>
        <v>4.75</v>
      </c>
      <c r="I40" s="21">
        <v>2</v>
      </c>
      <c r="J40" s="8">
        <v>82</v>
      </c>
      <c r="K40" s="11">
        <f>VLOOKUP(J40,المرجع!$B$3:$C$12,2)</f>
        <v>4</v>
      </c>
      <c r="L40" s="23" t="str">
        <f>VLOOKUP(K40,المرجع!$D$3:$E$12,2)</f>
        <v>ب</v>
      </c>
      <c r="M40" s="13">
        <f t="shared" si="15"/>
        <v>8</v>
      </c>
      <c r="N40" s="21">
        <v>2</v>
      </c>
      <c r="O40" s="8">
        <v>77</v>
      </c>
      <c r="P40" s="11">
        <f>VLOOKUP(O40,المرجع!$B$3:$C$12,2)</f>
        <v>3.5</v>
      </c>
      <c r="Q40" s="23" t="str">
        <f>VLOOKUP(P40,المرجع!$D$3:$E$12,2)</f>
        <v>ج+</v>
      </c>
      <c r="R40" s="13">
        <f t="shared" si="16"/>
        <v>7</v>
      </c>
      <c r="S40" s="21">
        <v>3</v>
      </c>
      <c r="T40" s="8">
        <v>100</v>
      </c>
      <c r="U40" s="11">
        <f>VLOOKUP(T40,المرجع!$B$3:$C$12,2)</f>
        <v>5</v>
      </c>
      <c r="V40" s="23" t="str">
        <f>VLOOKUP(U40,المرجع!$D$3:$E$12,2)</f>
        <v xml:space="preserve">أ+ </v>
      </c>
      <c r="W40" s="13">
        <f t="shared" si="17"/>
        <v>15</v>
      </c>
      <c r="X40" s="21">
        <v>2</v>
      </c>
      <c r="Y40" s="8">
        <v>98</v>
      </c>
      <c r="Z40" s="11">
        <f>VLOOKUP(Y40,المرجع!$B$3:$C$12,2)</f>
        <v>5</v>
      </c>
      <c r="AA40" s="23" t="str">
        <f>VLOOKUP(Z40,المرجع!$D$3:$E$12,2)</f>
        <v xml:space="preserve">أ+ </v>
      </c>
      <c r="AB40" s="13">
        <f t="shared" si="18"/>
        <v>10</v>
      </c>
      <c r="AC40" s="21">
        <v>3</v>
      </c>
      <c r="AD40" s="8">
        <v>67</v>
      </c>
      <c r="AE40" s="11">
        <f>VLOOKUP(AD40,المرجع!$B$3:$C$12,2)</f>
        <v>2.5</v>
      </c>
      <c r="AF40" s="23" t="str">
        <f>VLOOKUP(AE40,المرجع!$D$3:$E$12,2)</f>
        <v>د+</v>
      </c>
      <c r="AG40" s="13">
        <f t="shared" si="19"/>
        <v>7.5</v>
      </c>
      <c r="AH40" s="21">
        <v>2</v>
      </c>
      <c r="AI40" s="8">
        <v>90</v>
      </c>
      <c r="AJ40" s="11">
        <f>VLOOKUP(AI40,المرجع!$B$3:$C$12,2)</f>
        <v>4.75</v>
      </c>
      <c r="AK40" s="23" t="str">
        <f>VLOOKUP(AJ40,المرجع!$D$3:$E$12,2)</f>
        <v>أ</v>
      </c>
      <c r="AL40" s="13">
        <f t="shared" si="20"/>
        <v>9.5</v>
      </c>
      <c r="AM40" s="21">
        <v>3</v>
      </c>
      <c r="AN40" s="8">
        <v>73</v>
      </c>
      <c r="AO40" s="11">
        <f>VLOOKUP(AN40,المرجع!$B$3:$C$12,2)</f>
        <v>3</v>
      </c>
      <c r="AP40" s="23" t="str">
        <f>VLOOKUP(AO40,المرجع!$D$3:$E$12,2)</f>
        <v>ج</v>
      </c>
      <c r="AQ40" s="13">
        <f t="shared" si="21"/>
        <v>9</v>
      </c>
      <c r="AR40" s="21">
        <v>2</v>
      </c>
      <c r="AS40" s="8">
        <v>60</v>
      </c>
      <c r="AT40" s="11">
        <f>VLOOKUP(AS40,المرجع!$B$3:$C$12,2)</f>
        <v>2</v>
      </c>
      <c r="AU40" s="23" t="str">
        <f>VLOOKUP(AT40,المرجع!$D$3:$E$12,2)</f>
        <v>د</v>
      </c>
      <c r="AV40" s="13">
        <f t="shared" si="22"/>
        <v>4</v>
      </c>
      <c r="AW40" s="21">
        <v>2</v>
      </c>
      <c r="AX40" s="8">
        <v>86</v>
      </c>
      <c r="AY40" s="11">
        <f>VLOOKUP(AX40,المرجع!$B$3:$C$12,2)</f>
        <v>4.5</v>
      </c>
      <c r="AZ40" s="23" t="str">
        <f>VLOOKUP(AY40,المرجع!$D$3:$E$12,2)</f>
        <v>ب+</v>
      </c>
      <c r="BA40" s="13">
        <f t="shared" si="23"/>
        <v>9</v>
      </c>
      <c r="BB40" s="25">
        <f t="shared" si="24"/>
        <v>83.75</v>
      </c>
      <c r="BC40" s="26">
        <f t="shared" si="25"/>
        <v>22</v>
      </c>
      <c r="BD40" s="27">
        <f t="shared" si="26"/>
        <v>3.8068181818181817</v>
      </c>
      <c r="BE40" s="80">
        <f>('المستوى الأول 2022'!BL40+'المستوى الثاني 2023'!BB40)/('المستوى الثاني 2023'!BC40+'المستوى الأول 2022'!BM40)</f>
        <v>3.2722222222222221</v>
      </c>
      <c r="BF40" s="28" t="str">
        <f>VLOOKUP(BE40,المرجع!$D$3:$F$12,3)</f>
        <v xml:space="preserve">جيد مرتفع </v>
      </c>
      <c r="BG40" s="29">
        <f t="shared" si="27"/>
        <v>39</v>
      </c>
    </row>
    <row r="41" spans="2:59" ht="22">
      <c r="B41" s="3">
        <v>2023020</v>
      </c>
      <c r="C41" s="5" t="s">
        <v>17</v>
      </c>
      <c r="D41" s="21">
        <v>1</v>
      </c>
      <c r="E41" s="15">
        <v>97</v>
      </c>
      <c r="F41" s="11">
        <f>VLOOKUP(E41,المرجع!$B$3:$C$12,2)</f>
        <v>5</v>
      </c>
      <c r="G41" s="23" t="str">
        <f>VLOOKUP(F41,المرجع!$D$3:$E$12,2)</f>
        <v xml:space="preserve">أ+ </v>
      </c>
      <c r="H41" s="13">
        <f t="shared" si="14"/>
        <v>5</v>
      </c>
      <c r="I41" s="21">
        <v>2</v>
      </c>
      <c r="J41" s="8">
        <v>89</v>
      </c>
      <c r="K41" s="11">
        <f>VLOOKUP(J41,المرجع!$B$3:$C$12,2)</f>
        <v>4.5</v>
      </c>
      <c r="L41" s="23" t="str">
        <f>VLOOKUP(K41,المرجع!$D$3:$E$12,2)</f>
        <v>ب+</v>
      </c>
      <c r="M41" s="13">
        <f t="shared" si="15"/>
        <v>9</v>
      </c>
      <c r="N41" s="21">
        <v>2</v>
      </c>
      <c r="O41" s="8">
        <v>85</v>
      </c>
      <c r="P41" s="11">
        <f>VLOOKUP(O41,المرجع!$B$3:$C$12,2)</f>
        <v>4.5</v>
      </c>
      <c r="Q41" s="23" t="str">
        <f>VLOOKUP(P41,المرجع!$D$3:$E$12,2)</f>
        <v>ب+</v>
      </c>
      <c r="R41" s="13">
        <f t="shared" si="16"/>
        <v>9</v>
      </c>
      <c r="S41" s="21">
        <v>3</v>
      </c>
      <c r="T41" s="8">
        <v>100</v>
      </c>
      <c r="U41" s="11">
        <f>VLOOKUP(T41,المرجع!$B$3:$C$12,2)</f>
        <v>5</v>
      </c>
      <c r="V41" s="23" t="str">
        <f>VLOOKUP(U41,المرجع!$D$3:$E$12,2)</f>
        <v xml:space="preserve">أ+ </v>
      </c>
      <c r="W41" s="13">
        <f t="shared" si="17"/>
        <v>15</v>
      </c>
      <c r="X41" s="21">
        <v>2</v>
      </c>
      <c r="Y41" s="8">
        <v>85</v>
      </c>
      <c r="Z41" s="11">
        <f>VLOOKUP(Y41,المرجع!$B$3:$C$12,2)</f>
        <v>4.5</v>
      </c>
      <c r="AA41" s="23" t="str">
        <f>VLOOKUP(Z41,المرجع!$D$3:$E$12,2)</f>
        <v>ب+</v>
      </c>
      <c r="AB41" s="13">
        <f t="shared" si="18"/>
        <v>9</v>
      </c>
      <c r="AC41" s="21">
        <v>3</v>
      </c>
      <c r="AD41" s="8">
        <v>82</v>
      </c>
      <c r="AE41" s="11">
        <f>VLOOKUP(AD41,المرجع!$B$3:$C$12,2)</f>
        <v>4</v>
      </c>
      <c r="AF41" s="23" t="str">
        <f>VLOOKUP(AE41,المرجع!$D$3:$E$12,2)</f>
        <v>ب</v>
      </c>
      <c r="AG41" s="13">
        <f t="shared" si="19"/>
        <v>12</v>
      </c>
      <c r="AH41" s="21">
        <v>2</v>
      </c>
      <c r="AI41" s="8">
        <v>50</v>
      </c>
      <c r="AJ41" s="11">
        <f>VLOOKUP(AI41,المرجع!$B$3:$C$12,2)</f>
        <v>2</v>
      </c>
      <c r="AK41" s="23" t="str">
        <f>VLOOKUP(AJ41,المرجع!$D$3:$E$12,2)</f>
        <v>د</v>
      </c>
      <c r="AL41" s="13">
        <f t="shared" si="20"/>
        <v>4</v>
      </c>
      <c r="AM41" s="21">
        <v>3</v>
      </c>
      <c r="AN41" s="8">
        <v>78</v>
      </c>
      <c r="AO41" s="11">
        <f>VLOOKUP(AN41,المرجع!$B$3:$C$12,2)</f>
        <v>3.5</v>
      </c>
      <c r="AP41" s="23" t="str">
        <f>VLOOKUP(AO41,المرجع!$D$3:$E$12,2)</f>
        <v>ج+</v>
      </c>
      <c r="AQ41" s="13">
        <f t="shared" si="21"/>
        <v>10.5</v>
      </c>
      <c r="AR41" s="21">
        <v>2</v>
      </c>
      <c r="AS41" s="8">
        <v>60</v>
      </c>
      <c r="AT41" s="11">
        <f>VLOOKUP(AS41,المرجع!$B$3:$C$12,2)</f>
        <v>2</v>
      </c>
      <c r="AU41" s="23" t="str">
        <f>VLOOKUP(AT41,المرجع!$D$3:$E$12,2)</f>
        <v>د</v>
      </c>
      <c r="AV41" s="13">
        <f t="shared" si="22"/>
        <v>4</v>
      </c>
      <c r="AW41" s="21">
        <v>2</v>
      </c>
      <c r="AX41" s="8">
        <v>76</v>
      </c>
      <c r="AY41" s="11">
        <f>VLOOKUP(AX41,المرجع!$B$3:$C$12,2)</f>
        <v>3.5</v>
      </c>
      <c r="AZ41" s="23" t="str">
        <f>VLOOKUP(AY41,المرجع!$D$3:$E$12,2)</f>
        <v>ج+</v>
      </c>
      <c r="BA41" s="13">
        <f t="shared" si="23"/>
        <v>7</v>
      </c>
      <c r="BB41" s="25">
        <f t="shared" si="24"/>
        <v>84.5</v>
      </c>
      <c r="BC41" s="26">
        <f t="shared" si="25"/>
        <v>22</v>
      </c>
      <c r="BD41" s="27">
        <f t="shared" si="26"/>
        <v>3.8409090909090908</v>
      </c>
      <c r="BE41" s="80">
        <f>('المستوى الأول 2022'!BL41+'المستوى الثاني 2023'!BB41)/('المستوى الثاني 2023'!BC41+'المستوى الأول 2022'!BM41)</f>
        <v>3.3833333333333333</v>
      </c>
      <c r="BF41" s="28" t="str">
        <f>VLOOKUP(BE41,المرجع!$D$3:$F$12,3)</f>
        <v xml:space="preserve">جيد مرتفع </v>
      </c>
      <c r="BG41" s="29">
        <f t="shared" si="27"/>
        <v>37</v>
      </c>
    </row>
    <row r="42" spans="2:59" ht="22">
      <c r="B42" s="3">
        <v>2023017</v>
      </c>
      <c r="C42" s="5" t="s">
        <v>15</v>
      </c>
      <c r="D42" s="21">
        <v>1</v>
      </c>
      <c r="E42" s="15">
        <v>96</v>
      </c>
      <c r="F42" s="11">
        <f>VLOOKUP(E42,المرجع!$B$3:$C$12,2)</f>
        <v>5</v>
      </c>
      <c r="G42" s="23" t="str">
        <f>VLOOKUP(F42,المرجع!$D$3:$E$12,2)</f>
        <v xml:space="preserve">أ+ </v>
      </c>
      <c r="H42" s="13">
        <f t="shared" si="14"/>
        <v>5</v>
      </c>
      <c r="I42" s="21">
        <v>2</v>
      </c>
      <c r="J42" s="8">
        <v>88</v>
      </c>
      <c r="K42" s="11">
        <f>VLOOKUP(J42,المرجع!$B$3:$C$12,2)</f>
        <v>4.5</v>
      </c>
      <c r="L42" s="23" t="str">
        <f>VLOOKUP(K42,المرجع!$D$3:$E$12,2)</f>
        <v>ب+</v>
      </c>
      <c r="M42" s="13">
        <f t="shared" si="15"/>
        <v>9</v>
      </c>
      <c r="N42" s="21">
        <v>2</v>
      </c>
      <c r="O42" s="8">
        <v>83</v>
      </c>
      <c r="P42" s="11">
        <f>VLOOKUP(O42,المرجع!$B$3:$C$12,2)</f>
        <v>4</v>
      </c>
      <c r="Q42" s="23" t="str">
        <f>VLOOKUP(P42,المرجع!$D$3:$E$12,2)</f>
        <v>ب</v>
      </c>
      <c r="R42" s="13">
        <f t="shared" si="16"/>
        <v>8</v>
      </c>
      <c r="S42" s="21">
        <v>3</v>
      </c>
      <c r="T42" s="8">
        <v>99</v>
      </c>
      <c r="U42" s="11">
        <f>VLOOKUP(T42,المرجع!$B$3:$C$12,2)</f>
        <v>5</v>
      </c>
      <c r="V42" s="23" t="str">
        <f>VLOOKUP(U42,المرجع!$D$3:$E$12,2)</f>
        <v xml:space="preserve">أ+ </v>
      </c>
      <c r="W42" s="13">
        <f t="shared" si="17"/>
        <v>15</v>
      </c>
      <c r="X42" s="21">
        <v>2</v>
      </c>
      <c r="Y42" s="8">
        <v>84</v>
      </c>
      <c r="Z42" s="11">
        <f>VLOOKUP(Y42,المرجع!$B$3:$C$12,2)</f>
        <v>4</v>
      </c>
      <c r="AA42" s="23" t="str">
        <f>VLOOKUP(Z42,المرجع!$D$3:$E$12,2)</f>
        <v>ب</v>
      </c>
      <c r="AB42" s="13">
        <f t="shared" si="18"/>
        <v>8</v>
      </c>
      <c r="AC42" s="21">
        <v>3</v>
      </c>
      <c r="AD42" s="8">
        <v>60</v>
      </c>
      <c r="AE42" s="11">
        <f>VLOOKUP(AD42,المرجع!$B$3:$C$12,2)</f>
        <v>2</v>
      </c>
      <c r="AF42" s="23" t="str">
        <f>VLOOKUP(AE42,المرجع!$D$3:$E$12,2)</f>
        <v>د</v>
      </c>
      <c r="AG42" s="13">
        <f t="shared" si="19"/>
        <v>6</v>
      </c>
      <c r="AH42" s="21">
        <v>2</v>
      </c>
      <c r="AI42" s="8">
        <v>55</v>
      </c>
      <c r="AJ42" s="11">
        <f>VLOOKUP(AI42,المرجع!$B$3:$C$12,2)</f>
        <v>2</v>
      </c>
      <c r="AK42" s="23" t="str">
        <f>VLOOKUP(AJ42,المرجع!$D$3:$E$12,2)</f>
        <v>د</v>
      </c>
      <c r="AL42" s="13">
        <f t="shared" si="20"/>
        <v>4</v>
      </c>
      <c r="AM42" s="21">
        <v>3</v>
      </c>
      <c r="AN42" s="8">
        <v>93</v>
      </c>
      <c r="AO42" s="11">
        <f>VLOOKUP(AN42,المرجع!$B$3:$C$12,2)</f>
        <v>4.75</v>
      </c>
      <c r="AP42" s="23" t="str">
        <f>VLOOKUP(AO42,المرجع!$D$3:$E$12,2)</f>
        <v>أ</v>
      </c>
      <c r="AQ42" s="13">
        <f t="shared" si="21"/>
        <v>14.25</v>
      </c>
      <c r="AR42" s="21">
        <v>2</v>
      </c>
      <c r="AS42" s="8">
        <v>50</v>
      </c>
      <c r="AT42" s="11">
        <f>VLOOKUP(AS42,المرجع!$B$3:$C$12,2)</f>
        <v>2</v>
      </c>
      <c r="AU42" s="23" t="str">
        <f>VLOOKUP(AT42,المرجع!$D$3:$E$12,2)</f>
        <v>د</v>
      </c>
      <c r="AV42" s="13">
        <f t="shared" si="22"/>
        <v>4</v>
      </c>
      <c r="AW42" s="21">
        <v>2</v>
      </c>
      <c r="AX42" s="8">
        <v>100</v>
      </c>
      <c r="AY42" s="11">
        <f>VLOOKUP(AX42,المرجع!$B$3:$C$12,2)</f>
        <v>5</v>
      </c>
      <c r="AZ42" s="23" t="str">
        <f>VLOOKUP(AY42,المرجع!$D$3:$E$12,2)</f>
        <v xml:space="preserve">أ+ </v>
      </c>
      <c r="BA42" s="13">
        <f t="shared" si="23"/>
        <v>10</v>
      </c>
      <c r="BB42" s="25">
        <f t="shared" si="24"/>
        <v>83.25</v>
      </c>
      <c r="BC42" s="26">
        <f t="shared" si="25"/>
        <v>22</v>
      </c>
      <c r="BD42" s="27">
        <f t="shared" si="26"/>
        <v>3.7840909090909092</v>
      </c>
      <c r="BE42" s="80">
        <f>('المستوى الأول 2022'!BL42+'المستوى الثاني 2023'!BB42)/('المستوى الثاني 2023'!BC42+'المستوى الأول 2022'!BM42)</f>
        <v>3.2166666666666668</v>
      </c>
      <c r="BF42" s="28" t="str">
        <f>VLOOKUP(BE42,المرجع!$D$3:$F$12,3)</f>
        <v xml:space="preserve">جيد مرتفع </v>
      </c>
      <c r="BG42" s="29">
        <f t="shared" si="27"/>
        <v>40</v>
      </c>
    </row>
    <row r="43" spans="2:59" ht="22">
      <c r="B43" s="3">
        <v>2023040</v>
      </c>
      <c r="C43" s="5" t="s">
        <v>14</v>
      </c>
      <c r="D43" s="21">
        <v>1</v>
      </c>
      <c r="E43" s="15">
        <v>94</v>
      </c>
      <c r="F43" s="11">
        <f>VLOOKUP(E43,المرجع!$B$3:$C$12,2)</f>
        <v>4.75</v>
      </c>
      <c r="G43" s="23" t="str">
        <f>VLOOKUP(F43,المرجع!$D$3:$E$12,2)</f>
        <v>أ</v>
      </c>
      <c r="H43" s="13">
        <f t="shared" si="14"/>
        <v>4.75</v>
      </c>
      <c r="I43" s="21">
        <v>2</v>
      </c>
      <c r="J43" s="8">
        <v>80</v>
      </c>
      <c r="K43" s="11">
        <f>VLOOKUP(J43,المرجع!$B$3:$C$12,2)</f>
        <v>4</v>
      </c>
      <c r="L43" s="23" t="str">
        <f>VLOOKUP(K43,المرجع!$D$3:$E$12,2)</f>
        <v>ب</v>
      </c>
      <c r="M43" s="13">
        <f t="shared" si="15"/>
        <v>8</v>
      </c>
      <c r="N43" s="21">
        <v>2</v>
      </c>
      <c r="O43" s="8">
        <v>79</v>
      </c>
      <c r="P43" s="11">
        <f>VLOOKUP(O43,المرجع!$B$3:$C$12,2)</f>
        <v>3.5</v>
      </c>
      <c r="Q43" s="23" t="str">
        <f>VLOOKUP(P43,المرجع!$D$3:$E$12,2)</f>
        <v>ج+</v>
      </c>
      <c r="R43" s="13">
        <f t="shared" si="16"/>
        <v>7</v>
      </c>
      <c r="S43" s="21">
        <v>3</v>
      </c>
      <c r="T43" s="8">
        <v>90</v>
      </c>
      <c r="U43" s="11">
        <f>VLOOKUP(T43,المرجع!$B$3:$C$12,2)</f>
        <v>4.75</v>
      </c>
      <c r="V43" s="23" t="str">
        <f>VLOOKUP(U43,المرجع!$D$3:$E$12,2)</f>
        <v>أ</v>
      </c>
      <c r="W43" s="13">
        <f t="shared" si="17"/>
        <v>14.25</v>
      </c>
      <c r="X43" s="21">
        <v>2</v>
      </c>
      <c r="Y43" s="8">
        <v>94</v>
      </c>
      <c r="Z43" s="11">
        <f>VLOOKUP(Y43,المرجع!$B$3:$C$12,2)</f>
        <v>4.75</v>
      </c>
      <c r="AA43" s="23" t="str">
        <f>VLOOKUP(Z43,المرجع!$D$3:$E$12,2)</f>
        <v>أ</v>
      </c>
      <c r="AB43" s="13">
        <f t="shared" si="18"/>
        <v>9.5</v>
      </c>
      <c r="AC43" s="21">
        <v>3</v>
      </c>
      <c r="AD43" s="8">
        <v>61</v>
      </c>
      <c r="AE43" s="11">
        <f>VLOOKUP(AD43,المرجع!$B$3:$C$12,2)</f>
        <v>2</v>
      </c>
      <c r="AF43" s="23" t="str">
        <f>VLOOKUP(AE43,المرجع!$D$3:$E$12,2)</f>
        <v>د</v>
      </c>
      <c r="AG43" s="13">
        <f t="shared" si="19"/>
        <v>6</v>
      </c>
      <c r="AH43" s="21">
        <v>2</v>
      </c>
      <c r="AI43" s="8">
        <v>73</v>
      </c>
      <c r="AJ43" s="11">
        <f>VLOOKUP(AI43,المرجع!$B$3:$C$12,2)</f>
        <v>3</v>
      </c>
      <c r="AK43" s="23" t="str">
        <f>VLOOKUP(AJ43,المرجع!$D$3:$E$12,2)</f>
        <v>ج</v>
      </c>
      <c r="AL43" s="13">
        <f t="shared" si="20"/>
        <v>6</v>
      </c>
      <c r="AM43" s="21">
        <v>3</v>
      </c>
      <c r="AN43" s="8">
        <v>64</v>
      </c>
      <c r="AO43" s="11">
        <f>VLOOKUP(AN43,المرجع!$B$3:$C$12,2)</f>
        <v>2</v>
      </c>
      <c r="AP43" s="23" t="str">
        <f>VLOOKUP(AO43,المرجع!$D$3:$E$12,2)</f>
        <v>د</v>
      </c>
      <c r="AQ43" s="13">
        <f t="shared" si="21"/>
        <v>6</v>
      </c>
      <c r="AR43" s="21">
        <v>2</v>
      </c>
      <c r="AS43" s="8">
        <v>80</v>
      </c>
      <c r="AT43" s="11">
        <f>VLOOKUP(AS43,المرجع!$B$3:$C$12,2)</f>
        <v>4</v>
      </c>
      <c r="AU43" s="23" t="str">
        <f>VLOOKUP(AT43,المرجع!$D$3:$E$12,2)</f>
        <v>ب</v>
      </c>
      <c r="AV43" s="13">
        <f t="shared" si="22"/>
        <v>8</v>
      </c>
      <c r="AW43" s="21">
        <v>2</v>
      </c>
      <c r="AX43" s="8">
        <v>100</v>
      </c>
      <c r="AY43" s="11">
        <f>VLOOKUP(AX43,المرجع!$B$3:$C$12,2)</f>
        <v>5</v>
      </c>
      <c r="AZ43" s="23" t="str">
        <f>VLOOKUP(AY43,المرجع!$D$3:$E$12,2)</f>
        <v xml:space="preserve">أ+ </v>
      </c>
      <c r="BA43" s="13">
        <f t="shared" si="23"/>
        <v>10</v>
      </c>
      <c r="BB43" s="25">
        <f t="shared" si="24"/>
        <v>79.5</v>
      </c>
      <c r="BC43" s="26">
        <f t="shared" si="25"/>
        <v>22</v>
      </c>
      <c r="BD43" s="27">
        <f t="shared" si="26"/>
        <v>3.6136363636363638</v>
      </c>
      <c r="BE43" s="80">
        <f>('المستوى الأول 2022'!BL43+'المستوى الثاني 2023'!BB43)/('المستوى الثاني 2023'!BC43+'المستوى الأول 2022'!BM43)</f>
        <v>3.1444444444444444</v>
      </c>
      <c r="BF43" s="28" t="str">
        <f>VLOOKUP(BE43,المرجع!$D$3:$F$12,3)</f>
        <v xml:space="preserve">جيد مرتفع </v>
      </c>
      <c r="BG43" s="29">
        <f t="shared" si="27"/>
        <v>42</v>
      </c>
    </row>
    <row r="44" spans="2:59" ht="22">
      <c r="B44" s="3">
        <v>2023018</v>
      </c>
      <c r="C44" s="5" t="s">
        <v>18</v>
      </c>
      <c r="D44" s="21">
        <v>1</v>
      </c>
      <c r="E44" s="15">
        <v>70</v>
      </c>
      <c r="F44" s="11">
        <f>VLOOKUP(E44,المرجع!$B$3:$C$12,2)</f>
        <v>3</v>
      </c>
      <c r="G44" s="23" t="str">
        <f>VLOOKUP(F44,المرجع!$D$3:$E$12,2)</f>
        <v>ج</v>
      </c>
      <c r="H44" s="13">
        <f t="shared" si="14"/>
        <v>3</v>
      </c>
      <c r="I44" s="21">
        <v>2</v>
      </c>
      <c r="J44" s="8">
        <v>88</v>
      </c>
      <c r="K44" s="11">
        <f>VLOOKUP(J44,المرجع!$B$3:$C$12,2)</f>
        <v>4.5</v>
      </c>
      <c r="L44" s="23" t="str">
        <f>VLOOKUP(K44,المرجع!$D$3:$E$12,2)</f>
        <v>ب+</v>
      </c>
      <c r="M44" s="13">
        <f t="shared" si="15"/>
        <v>9</v>
      </c>
      <c r="N44" s="21">
        <v>2</v>
      </c>
      <c r="O44" s="8">
        <v>81</v>
      </c>
      <c r="P44" s="11">
        <f>VLOOKUP(O44,المرجع!$B$3:$C$12,2)</f>
        <v>4</v>
      </c>
      <c r="Q44" s="23" t="str">
        <f>VLOOKUP(P44,المرجع!$D$3:$E$12,2)</f>
        <v>ب</v>
      </c>
      <c r="R44" s="13">
        <f t="shared" si="16"/>
        <v>8</v>
      </c>
      <c r="S44" s="21">
        <v>3</v>
      </c>
      <c r="T44" s="8">
        <v>100</v>
      </c>
      <c r="U44" s="11">
        <f>VLOOKUP(T44,المرجع!$B$3:$C$12,2)</f>
        <v>5</v>
      </c>
      <c r="V44" s="23" t="str">
        <f>VLOOKUP(U44,المرجع!$D$3:$E$12,2)</f>
        <v xml:space="preserve">أ+ </v>
      </c>
      <c r="W44" s="13">
        <f t="shared" si="17"/>
        <v>15</v>
      </c>
      <c r="X44" s="21">
        <v>2</v>
      </c>
      <c r="Y44" s="8">
        <v>94</v>
      </c>
      <c r="Z44" s="11">
        <f>VLOOKUP(Y44,المرجع!$B$3:$C$12,2)</f>
        <v>4.75</v>
      </c>
      <c r="AA44" s="23" t="str">
        <f>VLOOKUP(Z44,المرجع!$D$3:$E$12,2)</f>
        <v>أ</v>
      </c>
      <c r="AB44" s="13">
        <f t="shared" si="18"/>
        <v>9.5</v>
      </c>
      <c r="AC44" s="21">
        <v>3</v>
      </c>
      <c r="AD44" s="8">
        <v>66</v>
      </c>
      <c r="AE44" s="11">
        <f>VLOOKUP(AD44,المرجع!$B$3:$C$12,2)</f>
        <v>2.5</v>
      </c>
      <c r="AF44" s="23" t="str">
        <f>VLOOKUP(AE44,المرجع!$D$3:$E$12,2)</f>
        <v>د+</v>
      </c>
      <c r="AG44" s="13">
        <f t="shared" si="19"/>
        <v>7.5</v>
      </c>
      <c r="AH44" s="21">
        <v>2</v>
      </c>
      <c r="AI44" s="8">
        <v>65</v>
      </c>
      <c r="AJ44" s="11">
        <f>VLOOKUP(AI44,المرجع!$B$3:$C$12,2)</f>
        <v>2.5</v>
      </c>
      <c r="AK44" s="23" t="str">
        <f>VLOOKUP(AJ44,المرجع!$D$3:$E$12,2)</f>
        <v>د+</v>
      </c>
      <c r="AL44" s="13">
        <f t="shared" si="20"/>
        <v>5</v>
      </c>
      <c r="AM44" s="21">
        <v>3</v>
      </c>
      <c r="AN44" s="8">
        <v>93</v>
      </c>
      <c r="AO44" s="11">
        <f>VLOOKUP(AN44,المرجع!$B$3:$C$12,2)</f>
        <v>4.75</v>
      </c>
      <c r="AP44" s="23" t="str">
        <f>VLOOKUP(AO44,المرجع!$D$3:$E$12,2)</f>
        <v>أ</v>
      </c>
      <c r="AQ44" s="13">
        <f t="shared" si="21"/>
        <v>14.25</v>
      </c>
      <c r="AR44" s="21">
        <v>2</v>
      </c>
      <c r="AS44" s="8">
        <v>60</v>
      </c>
      <c r="AT44" s="11">
        <f>VLOOKUP(AS44,المرجع!$B$3:$C$12,2)</f>
        <v>2</v>
      </c>
      <c r="AU44" s="23" t="str">
        <f>VLOOKUP(AT44,المرجع!$D$3:$E$12,2)</f>
        <v>د</v>
      </c>
      <c r="AV44" s="13">
        <f t="shared" si="22"/>
        <v>4</v>
      </c>
      <c r="AW44" s="21">
        <v>2</v>
      </c>
      <c r="AX44" s="8">
        <v>72</v>
      </c>
      <c r="AY44" s="11">
        <f>VLOOKUP(AX44,المرجع!$B$3:$C$12,2)</f>
        <v>3</v>
      </c>
      <c r="AZ44" s="23" t="str">
        <f>VLOOKUP(AY44,المرجع!$D$3:$E$12,2)</f>
        <v>ج</v>
      </c>
      <c r="BA44" s="13">
        <f t="shared" si="23"/>
        <v>6</v>
      </c>
      <c r="BB44" s="25">
        <f t="shared" si="24"/>
        <v>81.25</v>
      </c>
      <c r="BC44" s="26">
        <f t="shared" si="25"/>
        <v>22</v>
      </c>
      <c r="BD44" s="27">
        <f t="shared" si="26"/>
        <v>3.6931818181818183</v>
      </c>
      <c r="BE44" s="80">
        <f>('المستوى الأول 2022'!BL44+'المستوى الثاني 2023'!BB44)/('المستوى الثاني 2023'!BC44+'المستوى الأول 2022'!BM44)</f>
        <v>3.1166666666666667</v>
      </c>
      <c r="BF44" s="28" t="str">
        <f>VLOOKUP(BE44,المرجع!$D$3:$F$12,3)</f>
        <v xml:space="preserve">جيد مرتفع </v>
      </c>
      <c r="BG44" s="29">
        <f t="shared" si="27"/>
        <v>41</v>
      </c>
    </row>
    <row r="45" spans="2:59" ht="22">
      <c r="B45" s="3">
        <v>2023107</v>
      </c>
      <c r="C45" s="5" t="s">
        <v>93</v>
      </c>
      <c r="D45" s="21">
        <v>1</v>
      </c>
      <c r="E45" s="15">
        <v>95</v>
      </c>
      <c r="F45" s="11">
        <f>VLOOKUP(E45,المرجع!$B$3:$C$12,2)</f>
        <v>5</v>
      </c>
      <c r="G45" s="23" t="str">
        <f>VLOOKUP(F45,المرجع!$D$3:$E$12,2)</f>
        <v xml:space="preserve">أ+ </v>
      </c>
      <c r="H45" s="13">
        <f t="shared" si="14"/>
        <v>5</v>
      </c>
      <c r="I45" s="21">
        <v>2</v>
      </c>
      <c r="J45" s="14">
        <v>100</v>
      </c>
      <c r="K45" s="11">
        <f>VLOOKUP(J45,المرجع!$B$3:$C$12,2)</f>
        <v>5</v>
      </c>
      <c r="L45" s="23" t="str">
        <f>VLOOKUP(K45,المرجع!$D$3:$E$12,2)</f>
        <v xml:space="preserve">أ+ </v>
      </c>
      <c r="M45" s="13">
        <f t="shared" si="15"/>
        <v>10</v>
      </c>
      <c r="N45" s="21">
        <v>2</v>
      </c>
      <c r="O45" s="14">
        <v>91</v>
      </c>
      <c r="P45" s="11">
        <f>VLOOKUP(O45,المرجع!$B$3:$C$12,2)</f>
        <v>4.75</v>
      </c>
      <c r="Q45" s="23" t="str">
        <f>VLOOKUP(P45,المرجع!$D$3:$E$12,2)</f>
        <v>أ</v>
      </c>
      <c r="R45" s="13">
        <f t="shared" si="16"/>
        <v>9.5</v>
      </c>
      <c r="S45" s="21">
        <v>3</v>
      </c>
      <c r="T45" s="14">
        <v>100</v>
      </c>
      <c r="U45" s="11">
        <f>VLOOKUP(T45,المرجع!$B$3:$C$12,2)</f>
        <v>5</v>
      </c>
      <c r="V45" s="23" t="str">
        <f>VLOOKUP(U45,المرجع!$D$3:$E$12,2)</f>
        <v xml:space="preserve">أ+ </v>
      </c>
      <c r="W45" s="13">
        <f t="shared" si="17"/>
        <v>15</v>
      </c>
      <c r="X45" s="21">
        <v>2</v>
      </c>
      <c r="Y45" s="14">
        <v>88</v>
      </c>
      <c r="Z45" s="11">
        <f>VLOOKUP(Y45,المرجع!$B$3:$C$12,2)</f>
        <v>4.5</v>
      </c>
      <c r="AA45" s="23" t="str">
        <f>VLOOKUP(Z45,المرجع!$D$3:$E$12,2)</f>
        <v>ب+</v>
      </c>
      <c r="AB45" s="13">
        <f t="shared" si="18"/>
        <v>9</v>
      </c>
      <c r="AC45" s="21">
        <v>3</v>
      </c>
      <c r="AD45" s="14">
        <v>71</v>
      </c>
      <c r="AE45" s="11">
        <f>VLOOKUP(AD45,المرجع!$B$3:$C$12,2)</f>
        <v>3</v>
      </c>
      <c r="AF45" s="23" t="str">
        <f>VLOOKUP(AE45,المرجع!$D$3:$E$12,2)</f>
        <v>ج</v>
      </c>
      <c r="AG45" s="13">
        <f t="shared" si="19"/>
        <v>9</v>
      </c>
      <c r="AH45" s="21">
        <v>2</v>
      </c>
      <c r="AI45" s="14">
        <v>60</v>
      </c>
      <c r="AJ45" s="11">
        <f>VLOOKUP(AI45,المرجع!$B$3:$C$12,2)</f>
        <v>2</v>
      </c>
      <c r="AK45" s="23" t="str">
        <f>VLOOKUP(AJ45,المرجع!$D$3:$E$12,2)</f>
        <v>د</v>
      </c>
      <c r="AL45" s="13">
        <f t="shared" si="20"/>
        <v>4</v>
      </c>
      <c r="AM45" s="21">
        <v>3</v>
      </c>
      <c r="AN45" s="14">
        <v>70</v>
      </c>
      <c r="AO45" s="11">
        <f>VLOOKUP(AN45,المرجع!$B$3:$C$12,2)</f>
        <v>3</v>
      </c>
      <c r="AP45" s="23" t="str">
        <f>VLOOKUP(AO45,المرجع!$D$3:$E$12,2)</f>
        <v>ج</v>
      </c>
      <c r="AQ45" s="13">
        <f t="shared" si="21"/>
        <v>9</v>
      </c>
      <c r="AR45" s="21">
        <v>2</v>
      </c>
      <c r="AS45" s="14">
        <v>60</v>
      </c>
      <c r="AT45" s="11">
        <f>VLOOKUP(AS45,المرجع!$B$3:$C$12,2)</f>
        <v>2</v>
      </c>
      <c r="AU45" s="23" t="str">
        <f>VLOOKUP(AT45,المرجع!$D$3:$E$12,2)</f>
        <v>د</v>
      </c>
      <c r="AV45" s="13">
        <f t="shared" si="22"/>
        <v>4</v>
      </c>
      <c r="AW45" s="21">
        <v>2</v>
      </c>
      <c r="AX45" s="14">
        <v>50</v>
      </c>
      <c r="AY45" s="11">
        <f>VLOOKUP(AX45,المرجع!$B$3:$C$12,2)</f>
        <v>2</v>
      </c>
      <c r="AZ45" s="23" t="str">
        <f>VLOOKUP(AY45,المرجع!$D$3:$E$12,2)</f>
        <v>د</v>
      </c>
      <c r="BA45" s="13">
        <f t="shared" si="23"/>
        <v>4</v>
      </c>
      <c r="BB45" s="25">
        <f t="shared" si="24"/>
        <v>78.5</v>
      </c>
      <c r="BC45" s="26">
        <f t="shared" si="25"/>
        <v>22</v>
      </c>
      <c r="BD45" s="27">
        <f t="shared" si="26"/>
        <v>3.5681818181818183</v>
      </c>
      <c r="BE45" s="80">
        <f>('المستوى الأول 2022'!BL45+'المستوى الثاني 2023'!BB45)/('المستوى الثاني 2023'!BC45+'المستوى الأول 2022'!BM45)</f>
        <v>3.3111111111111109</v>
      </c>
      <c r="BF45" s="28" t="str">
        <f>VLOOKUP(BE45,المرجع!$D$3:$F$12,3)</f>
        <v xml:space="preserve">جيد مرتفع </v>
      </c>
      <c r="BG45" s="29">
        <f t="shared" si="27"/>
        <v>44</v>
      </c>
    </row>
    <row r="46" spans="2:59" ht="22">
      <c r="B46" s="3">
        <v>2023016</v>
      </c>
      <c r="C46" s="5" t="s">
        <v>20</v>
      </c>
      <c r="D46" s="21">
        <v>1</v>
      </c>
      <c r="E46" s="15">
        <v>86</v>
      </c>
      <c r="F46" s="11">
        <f>VLOOKUP(E46,المرجع!$B$3:$C$12,2)</f>
        <v>4.5</v>
      </c>
      <c r="G46" s="23" t="str">
        <f>VLOOKUP(F46,المرجع!$D$3:$E$12,2)</f>
        <v>ب+</v>
      </c>
      <c r="H46" s="13">
        <f t="shared" si="14"/>
        <v>4.5</v>
      </c>
      <c r="I46" s="21">
        <v>2</v>
      </c>
      <c r="J46" s="8">
        <v>90</v>
      </c>
      <c r="K46" s="11">
        <f>VLOOKUP(J46,المرجع!$B$3:$C$12,2)</f>
        <v>4.75</v>
      </c>
      <c r="L46" s="23" t="str">
        <f>VLOOKUP(K46,المرجع!$D$3:$E$12,2)</f>
        <v>أ</v>
      </c>
      <c r="M46" s="13">
        <f t="shared" si="15"/>
        <v>9.5</v>
      </c>
      <c r="N46" s="21">
        <v>2</v>
      </c>
      <c r="O46" s="8">
        <v>81</v>
      </c>
      <c r="P46" s="11">
        <f>VLOOKUP(O46,المرجع!$B$3:$C$12,2)</f>
        <v>4</v>
      </c>
      <c r="Q46" s="23" t="str">
        <f>VLOOKUP(P46,المرجع!$D$3:$E$12,2)</f>
        <v>ب</v>
      </c>
      <c r="R46" s="13">
        <f t="shared" si="16"/>
        <v>8</v>
      </c>
      <c r="S46" s="21">
        <v>3</v>
      </c>
      <c r="T46" s="8">
        <v>90</v>
      </c>
      <c r="U46" s="11">
        <f>VLOOKUP(T46,المرجع!$B$3:$C$12,2)</f>
        <v>4.75</v>
      </c>
      <c r="V46" s="23" t="str">
        <f>VLOOKUP(U46,المرجع!$D$3:$E$12,2)</f>
        <v>أ</v>
      </c>
      <c r="W46" s="13">
        <f t="shared" si="17"/>
        <v>14.25</v>
      </c>
      <c r="X46" s="21">
        <v>2</v>
      </c>
      <c r="Y46" s="8">
        <v>97</v>
      </c>
      <c r="Z46" s="11">
        <f>VLOOKUP(Y46,المرجع!$B$3:$C$12,2)</f>
        <v>5</v>
      </c>
      <c r="AA46" s="23" t="str">
        <f>VLOOKUP(Z46,المرجع!$D$3:$E$12,2)</f>
        <v xml:space="preserve">أ+ </v>
      </c>
      <c r="AB46" s="13">
        <f t="shared" si="18"/>
        <v>10</v>
      </c>
      <c r="AC46" s="21">
        <v>3</v>
      </c>
      <c r="AD46" s="8">
        <v>28</v>
      </c>
      <c r="AE46" s="11">
        <f>VLOOKUP(AD46,المرجع!$B$3:$C$12,2)</f>
        <v>0</v>
      </c>
      <c r="AF46" s="23" t="str">
        <f>VLOOKUP(AE46,المرجع!$D$3:$E$12,2)</f>
        <v>ه</v>
      </c>
      <c r="AG46" s="13">
        <f t="shared" si="19"/>
        <v>0</v>
      </c>
      <c r="AH46" s="21">
        <v>2</v>
      </c>
      <c r="AI46" s="8">
        <v>59</v>
      </c>
      <c r="AJ46" s="11">
        <f>VLOOKUP(AI46,المرجع!$B$3:$C$12,2)</f>
        <v>2</v>
      </c>
      <c r="AK46" s="23" t="str">
        <f>VLOOKUP(AJ46,المرجع!$D$3:$E$12,2)</f>
        <v>د</v>
      </c>
      <c r="AL46" s="13">
        <f t="shared" si="20"/>
        <v>4</v>
      </c>
      <c r="AM46" s="21">
        <v>3</v>
      </c>
      <c r="AN46" s="8">
        <v>80</v>
      </c>
      <c r="AO46" s="11">
        <f>VLOOKUP(AN46,المرجع!$B$3:$C$12,2)</f>
        <v>4</v>
      </c>
      <c r="AP46" s="23" t="str">
        <f>VLOOKUP(AO46,المرجع!$D$3:$E$12,2)</f>
        <v>ب</v>
      </c>
      <c r="AQ46" s="13">
        <f t="shared" si="21"/>
        <v>12</v>
      </c>
      <c r="AR46" s="21">
        <v>2</v>
      </c>
      <c r="AS46" s="8">
        <v>70</v>
      </c>
      <c r="AT46" s="11">
        <f>VLOOKUP(AS46,المرجع!$B$3:$C$12,2)</f>
        <v>3</v>
      </c>
      <c r="AU46" s="23" t="str">
        <f>VLOOKUP(AT46,المرجع!$D$3:$E$12,2)</f>
        <v>ج</v>
      </c>
      <c r="AV46" s="13">
        <f t="shared" si="22"/>
        <v>6</v>
      </c>
      <c r="AW46" s="21">
        <v>2</v>
      </c>
      <c r="AX46" s="8">
        <v>88</v>
      </c>
      <c r="AY46" s="11">
        <f>VLOOKUP(AX46,المرجع!$B$3:$C$12,2)</f>
        <v>4.5</v>
      </c>
      <c r="AZ46" s="23" t="str">
        <f>VLOOKUP(AY46,المرجع!$D$3:$E$12,2)</f>
        <v>ب+</v>
      </c>
      <c r="BA46" s="13">
        <f t="shared" si="23"/>
        <v>9</v>
      </c>
      <c r="BB46" s="25">
        <f t="shared" si="24"/>
        <v>77.25</v>
      </c>
      <c r="BC46" s="26">
        <f t="shared" si="25"/>
        <v>22</v>
      </c>
      <c r="BD46" s="27">
        <f t="shared" si="26"/>
        <v>3.5113636363636362</v>
      </c>
      <c r="BE46" s="80">
        <f>('المستوى الأول 2022'!BL46+'المستوى الثاني 2023'!BB46)/('المستوى الثاني 2023'!BC46+'المستوى الأول 2022'!BM46)</f>
        <v>3.1388888888888888</v>
      </c>
      <c r="BF46" s="28" t="str">
        <f>VLOOKUP(BE46,المرجع!$D$3:$F$12,3)</f>
        <v xml:space="preserve">جيد مرتفع </v>
      </c>
      <c r="BG46" s="29">
        <f t="shared" si="27"/>
        <v>45</v>
      </c>
    </row>
    <row r="47" spans="2:59" ht="22">
      <c r="B47" s="3">
        <v>2023080</v>
      </c>
      <c r="C47" s="5" t="s">
        <v>61</v>
      </c>
      <c r="D47" s="21">
        <v>1</v>
      </c>
      <c r="E47" s="15">
        <v>94</v>
      </c>
      <c r="F47" s="11">
        <f>VLOOKUP(E47,المرجع!$B$3:$C$12,2)</f>
        <v>4.75</v>
      </c>
      <c r="G47" s="23" t="str">
        <f>VLOOKUP(F47,المرجع!$D$3:$E$12,2)</f>
        <v>أ</v>
      </c>
      <c r="H47" s="13">
        <f t="shared" si="14"/>
        <v>4.75</v>
      </c>
      <c r="I47" s="21">
        <v>2</v>
      </c>
      <c r="J47" s="8">
        <v>89</v>
      </c>
      <c r="K47" s="11">
        <f>VLOOKUP(J47,المرجع!$B$3:$C$12,2)</f>
        <v>4.5</v>
      </c>
      <c r="L47" s="23" t="str">
        <f>VLOOKUP(K47,المرجع!$D$3:$E$12,2)</f>
        <v>ب+</v>
      </c>
      <c r="M47" s="13">
        <f t="shared" si="15"/>
        <v>9</v>
      </c>
      <c r="N47" s="21">
        <v>2</v>
      </c>
      <c r="O47" s="8">
        <v>77</v>
      </c>
      <c r="P47" s="11">
        <f>VLOOKUP(O47,المرجع!$B$3:$C$12,2)</f>
        <v>3.5</v>
      </c>
      <c r="Q47" s="23" t="str">
        <f>VLOOKUP(P47,المرجع!$D$3:$E$12,2)</f>
        <v>ج+</v>
      </c>
      <c r="R47" s="13">
        <f t="shared" si="16"/>
        <v>7</v>
      </c>
      <c r="S47" s="21">
        <v>3</v>
      </c>
      <c r="T47" s="8">
        <v>100</v>
      </c>
      <c r="U47" s="11">
        <f>VLOOKUP(T47,المرجع!$B$3:$C$12,2)</f>
        <v>5</v>
      </c>
      <c r="V47" s="23" t="str">
        <f>VLOOKUP(U47,المرجع!$D$3:$E$12,2)</f>
        <v xml:space="preserve">أ+ </v>
      </c>
      <c r="W47" s="13">
        <f t="shared" si="17"/>
        <v>15</v>
      </c>
      <c r="X47" s="21">
        <v>2</v>
      </c>
      <c r="Y47" s="8">
        <v>76</v>
      </c>
      <c r="Z47" s="11">
        <f>VLOOKUP(Y47,المرجع!$B$3:$C$12,2)</f>
        <v>3.5</v>
      </c>
      <c r="AA47" s="23" t="str">
        <f>VLOOKUP(Z47,المرجع!$D$3:$E$12,2)</f>
        <v>ج+</v>
      </c>
      <c r="AB47" s="13">
        <f t="shared" si="18"/>
        <v>7</v>
      </c>
      <c r="AC47" s="21">
        <v>3</v>
      </c>
      <c r="AD47" s="8">
        <v>60</v>
      </c>
      <c r="AE47" s="11">
        <f>VLOOKUP(AD47,المرجع!$B$3:$C$12,2)</f>
        <v>2</v>
      </c>
      <c r="AF47" s="23" t="str">
        <f>VLOOKUP(AE47,المرجع!$D$3:$E$12,2)</f>
        <v>د</v>
      </c>
      <c r="AG47" s="13">
        <f t="shared" si="19"/>
        <v>6</v>
      </c>
      <c r="AH47" s="21">
        <v>2</v>
      </c>
      <c r="AI47" s="8">
        <v>51</v>
      </c>
      <c r="AJ47" s="11">
        <f>VLOOKUP(AI47,المرجع!$B$3:$C$12,2)</f>
        <v>2</v>
      </c>
      <c r="AK47" s="23" t="str">
        <f>VLOOKUP(AJ47,المرجع!$D$3:$E$12,2)</f>
        <v>د</v>
      </c>
      <c r="AL47" s="13">
        <f t="shared" si="20"/>
        <v>4</v>
      </c>
      <c r="AM47" s="21">
        <v>3</v>
      </c>
      <c r="AN47" s="8">
        <v>77</v>
      </c>
      <c r="AO47" s="11">
        <f>VLOOKUP(AN47,المرجع!$B$3:$C$12,2)</f>
        <v>3.5</v>
      </c>
      <c r="AP47" s="23" t="str">
        <f>VLOOKUP(AO47,المرجع!$D$3:$E$12,2)</f>
        <v>ج+</v>
      </c>
      <c r="AQ47" s="13">
        <f t="shared" si="21"/>
        <v>10.5</v>
      </c>
      <c r="AR47" s="21">
        <v>2</v>
      </c>
      <c r="AS47" s="8">
        <v>70</v>
      </c>
      <c r="AT47" s="11">
        <f>VLOOKUP(AS47,المرجع!$B$3:$C$12,2)</f>
        <v>3</v>
      </c>
      <c r="AU47" s="23" t="str">
        <f>VLOOKUP(AT47,المرجع!$D$3:$E$12,2)</f>
        <v>ج</v>
      </c>
      <c r="AV47" s="13">
        <f t="shared" si="22"/>
        <v>6</v>
      </c>
      <c r="AW47" s="21">
        <v>2</v>
      </c>
      <c r="AX47" s="8">
        <v>92</v>
      </c>
      <c r="AY47" s="11">
        <f>VLOOKUP(AX47,المرجع!$B$3:$C$12,2)</f>
        <v>4.75</v>
      </c>
      <c r="AZ47" s="23" t="str">
        <f>VLOOKUP(AY47,المرجع!$D$3:$E$12,2)</f>
        <v>أ</v>
      </c>
      <c r="BA47" s="13">
        <f t="shared" si="23"/>
        <v>9.5</v>
      </c>
      <c r="BB47" s="25">
        <f t="shared" si="24"/>
        <v>78.75</v>
      </c>
      <c r="BC47" s="26">
        <f t="shared" si="25"/>
        <v>22</v>
      </c>
      <c r="BD47" s="27">
        <f t="shared" si="26"/>
        <v>3.5795454545454546</v>
      </c>
      <c r="BE47" s="80">
        <f>('المستوى الأول 2022'!BL47+'المستوى الثاني 2023'!BB47)/('المستوى الثاني 2023'!BC47+'المستوى الأول 2022'!BM47)</f>
        <v>3.0166666666666666</v>
      </c>
      <c r="BF47" s="28" t="str">
        <f>VLOOKUP(BE47,المرجع!$D$3:$F$12,3)</f>
        <v xml:space="preserve">جيد </v>
      </c>
      <c r="BG47" s="29">
        <f t="shared" si="27"/>
        <v>43</v>
      </c>
    </row>
    <row r="48" spans="2:59" ht="22">
      <c r="B48" s="3">
        <v>2023009</v>
      </c>
      <c r="C48" s="5" t="s">
        <v>19</v>
      </c>
      <c r="D48" s="21">
        <v>1</v>
      </c>
      <c r="E48" s="15">
        <v>97</v>
      </c>
      <c r="F48" s="11">
        <f>VLOOKUP(E48,المرجع!$B$3:$C$12,2)</f>
        <v>5</v>
      </c>
      <c r="G48" s="23" t="str">
        <f>VLOOKUP(F48,المرجع!$D$3:$E$12,2)</f>
        <v xml:space="preserve">أ+ </v>
      </c>
      <c r="H48" s="13">
        <f t="shared" si="14"/>
        <v>5</v>
      </c>
      <c r="I48" s="21">
        <v>2</v>
      </c>
      <c r="J48" s="8">
        <v>97</v>
      </c>
      <c r="K48" s="11">
        <f>VLOOKUP(J48,المرجع!$B$3:$C$12,2)</f>
        <v>5</v>
      </c>
      <c r="L48" s="23" t="str">
        <f>VLOOKUP(K48,المرجع!$D$3:$E$12,2)</f>
        <v xml:space="preserve">أ+ </v>
      </c>
      <c r="M48" s="13">
        <f t="shared" si="15"/>
        <v>10</v>
      </c>
      <c r="N48" s="21">
        <v>2</v>
      </c>
      <c r="O48" s="8">
        <v>81</v>
      </c>
      <c r="P48" s="11">
        <f>VLOOKUP(O48,المرجع!$B$3:$C$12,2)</f>
        <v>4</v>
      </c>
      <c r="Q48" s="23" t="str">
        <f>VLOOKUP(P48,المرجع!$D$3:$E$12,2)</f>
        <v>ب</v>
      </c>
      <c r="R48" s="13">
        <f t="shared" si="16"/>
        <v>8</v>
      </c>
      <c r="S48" s="21">
        <v>3</v>
      </c>
      <c r="T48" s="8">
        <v>99</v>
      </c>
      <c r="U48" s="11">
        <f>VLOOKUP(T48,المرجع!$B$3:$C$12,2)</f>
        <v>5</v>
      </c>
      <c r="V48" s="23" t="str">
        <f>VLOOKUP(U48,المرجع!$D$3:$E$12,2)</f>
        <v xml:space="preserve">أ+ </v>
      </c>
      <c r="W48" s="13">
        <f t="shared" si="17"/>
        <v>15</v>
      </c>
      <c r="X48" s="21">
        <v>2</v>
      </c>
      <c r="Y48" s="8">
        <v>88</v>
      </c>
      <c r="Z48" s="11">
        <f>VLOOKUP(Y48,المرجع!$B$3:$C$12,2)</f>
        <v>4.5</v>
      </c>
      <c r="AA48" s="23" t="str">
        <f>VLOOKUP(Z48,المرجع!$D$3:$E$12,2)</f>
        <v>ب+</v>
      </c>
      <c r="AB48" s="13">
        <f t="shared" si="18"/>
        <v>9</v>
      </c>
      <c r="AC48" s="21">
        <v>3</v>
      </c>
      <c r="AD48" s="8">
        <v>62</v>
      </c>
      <c r="AE48" s="11">
        <f>VLOOKUP(AD48,المرجع!$B$3:$C$12,2)</f>
        <v>2</v>
      </c>
      <c r="AF48" s="23" t="str">
        <f>VLOOKUP(AE48,المرجع!$D$3:$E$12,2)</f>
        <v>د</v>
      </c>
      <c r="AG48" s="13">
        <f t="shared" si="19"/>
        <v>6</v>
      </c>
      <c r="AH48" s="21">
        <v>2</v>
      </c>
      <c r="AI48" s="8">
        <v>67</v>
      </c>
      <c r="AJ48" s="11">
        <f>VLOOKUP(AI48,المرجع!$B$3:$C$12,2)</f>
        <v>2.5</v>
      </c>
      <c r="AK48" s="23" t="str">
        <f>VLOOKUP(AJ48,المرجع!$D$3:$E$12,2)</f>
        <v>د+</v>
      </c>
      <c r="AL48" s="13">
        <f t="shared" si="20"/>
        <v>5</v>
      </c>
      <c r="AM48" s="21">
        <v>3</v>
      </c>
      <c r="AN48" s="8">
        <v>60</v>
      </c>
      <c r="AO48" s="11">
        <f>VLOOKUP(AN48,المرجع!$B$3:$C$12,2)</f>
        <v>2</v>
      </c>
      <c r="AP48" s="23" t="str">
        <f>VLOOKUP(AO48,المرجع!$D$3:$E$12,2)</f>
        <v>د</v>
      </c>
      <c r="AQ48" s="13">
        <f t="shared" si="21"/>
        <v>6</v>
      </c>
      <c r="AR48" s="21">
        <v>2</v>
      </c>
      <c r="AS48" s="8">
        <v>70</v>
      </c>
      <c r="AT48" s="11">
        <f>VLOOKUP(AS48,المرجع!$B$3:$C$12,2)</f>
        <v>3</v>
      </c>
      <c r="AU48" s="23" t="str">
        <f>VLOOKUP(AT48,المرجع!$D$3:$E$12,2)</f>
        <v>ج</v>
      </c>
      <c r="AV48" s="13">
        <f t="shared" si="22"/>
        <v>6</v>
      </c>
      <c r="AW48" s="21">
        <v>2</v>
      </c>
      <c r="AX48" s="8">
        <v>50</v>
      </c>
      <c r="AY48" s="11">
        <f>VLOOKUP(AX48,المرجع!$B$3:$C$12,2)</f>
        <v>2</v>
      </c>
      <c r="AZ48" s="23" t="str">
        <f>VLOOKUP(AY48,المرجع!$D$3:$E$12,2)</f>
        <v>د</v>
      </c>
      <c r="BA48" s="13">
        <f t="shared" si="23"/>
        <v>4</v>
      </c>
      <c r="BB48" s="25">
        <f t="shared" si="24"/>
        <v>74</v>
      </c>
      <c r="BC48" s="26">
        <f t="shared" si="25"/>
        <v>22</v>
      </c>
      <c r="BD48" s="27">
        <f t="shared" si="26"/>
        <v>3.3636363636363638</v>
      </c>
      <c r="BE48" s="80">
        <f>('المستوى الأول 2022'!BL48+'المستوى الثاني 2023'!BB48)/('المستوى الثاني 2023'!BC48+'المستوى الأول 2022'!BM48)</f>
        <v>2.9611111111111112</v>
      </c>
      <c r="BF48" s="28" t="str">
        <f>VLOOKUP(BE48,المرجع!$D$3:$F$12,3)</f>
        <v xml:space="preserve">جيد </v>
      </c>
      <c r="BG48" s="29">
        <f t="shared" si="27"/>
        <v>51</v>
      </c>
    </row>
    <row r="49" spans="2:59" ht="22">
      <c r="B49" s="3">
        <v>2023108</v>
      </c>
      <c r="C49" s="5" t="s">
        <v>68</v>
      </c>
      <c r="D49" s="21">
        <v>1</v>
      </c>
      <c r="E49" s="15">
        <v>92</v>
      </c>
      <c r="F49" s="11">
        <f>VLOOKUP(E49,المرجع!$B$3:$C$12,2)</f>
        <v>4.75</v>
      </c>
      <c r="G49" s="23" t="str">
        <f>VLOOKUP(F49,المرجع!$D$3:$E$12,2)</f>
        <v>أ</v>
      </c>
      <c r="H49" s="13">
        <f t="shared" si="14"/>
        <v>4.75</v>
      </c>
      <c r="I49" s="21">
        <v>2</v>
      </c>
      <c r="J49" s="8">
        <v>86</v>
      </c>
      <c r="K49" s="11">
        <f>VLOOKUP(J49,المرجع!$B$3:$C$12,2)</f>
        <v>4.5</v>
      </c>
      <c r="L49" s="23" t="str">
        <f>VLOOKUP(K49,المرجع!$D$3:$E$12,2)</f>
        <v>ب+</v>
      </c>
      <c r="M49" s="13">
        <f t="shared" si="15"/>
        <v>9</v>
      </c>
      <c r="N49" s="21">
        <v>2</v>
      </c>
      <c r="O49" s="8">
        <v>73</v>
      </c>
      <c r="P49" s="11">
        <f>VLOOKUP(O49,المرجع!$B$3:$C$12,2)</f>
        <v>3</v>
      </c>
      <c r="Q49" s="23" t="str">
        <f>VLOOKUP(P49,المرجع!$D$3:$E$12,2)</f>
        <v>ج</v>
      </c>
      <c r="R49" s="13">
        <f t="shared" si="16"/>
        <v>6</v>
      </c>
      <c r="S49" s="21">
        <v>3</v>
      </c>
      <c r="T49" s="8">
        <v>100</v>
      </c>
      <c r="U49" s="11">
        <f>VLOOKUP(T49,المرجع!$B$3:$C$12,2)</f>
        <v>5</v>
      </c>
      <c r="V49" s="23" t="str">
        <f>VLOOKUP(U49,المرجع!$D$3:$E$12,2)</f>
        <v xml:space="preserve">أ+ </v>
      </c>
      <c r="W49" s="13">
        <f t="shared" si="17"/>
        <v>15</v>
      </c>
      <c r="X49" s="21">
        <v>2</v>
      </c>
      <c r="Y49" s="8">
        <v>75</v>
      </c>
      <c r="Z49" s="11">
        <f>VLOOKUP(Y49,المرجع!$B$3:$C$12,2)</f>
        <v>3.5</v>
      </c>
      <c r="AA49" s="23" t="str">
        <f>VLOOKUP(Z49,المرجع!$D$3:$E$12,2)</f>
        <v>ج+</v>
      </c>
      <c r="AB49" s="13">
        <f t="shared" si="18"/>
        <v>7</v>
      </c>
      <c r="AC49" s="21">
        <v>3</v>
      </c>
      <c r="AD49" s="8">
        <v>51</v>
      </c>
      <c r="AE49" s="11">
        <f>VLOOKUP(AD49,المرجع!$B$3:$C$12,2)</f>
        <v>2</v>
      </c>
      <c r="AF49" s="23" t="str">
        <f>VLOOKUP(AE49,المرجع!$D$3:$E$12,2)</f>
        <v>د</v>
      </c>
      <c r="AG49" s="13">
        <f t="shared" si="19"/>
        <v>6</v>
      </c>
      <c r="AH49" s="21">
        <v>2</v>
      </c>
      <c r="AI49" s="8">
        <v>57</v>
      </c>
      <c r="AJ49" s="11">
        <f>VLOOKUP(AI49,المرجع!$B$3:$C$12,2)</f>
        <v>2</v>
      </c>
      <c r="AK49" s="23" t="str">
        <f>VLOOKUP(AJ49,المرجع!$D$3:$E$12,2)</f>
        <v>د</v>
      </c>
      <c r="AL49" s="13">
        <f t="shared" si="20"/>
        <v>4</v>
      </c>
      <c r="AM49" s="21">
        <v>3</v>
      </c>
      <c r="AN49" s="8">
        <v>80</v>
      </c>
      <c r="AO49" s="11">
        <f>VLOOKUP(AN49,المرجع!$B$3:$C$12,2)</f>
        <v>4</v>
      </c>
      <c r="AP49" s="23" t="str">
        <f>VLOOKUP(AO49,المرجع!$D$3:$E$12,2)</f>
        <v>ب</v>
      </c>
      <c r="AQ49" s="13">
        <f t="shared" si="21"/>
        <v>12</v>
      </c>
      <c r="AR49" s="21">
        <v>2</v>
      </c>
      <c r="AS49" s="8">
        <v>50</v>
      </c>
      <c r="AT49" s="11">
        <f>VLOOKUP(AS49,المرجع!$B$3:$C$12,2)</f>
        <v>2</v>
      </c>
      <c r="AU49" s="23" t="str">
        <f>VLOOKUP(AT49,المرجع!$D$3:$E$12,2)</f>
        <v>د</v>
      </c>
      <c r="AV49" s="13">
        <f t="shared" si="22"/>
        <v>4</v>
      </c>
      <c r="AW49" s="21">
        <v>2</v>
      </c>
      <c r="AX49" s="8">
        <v>94</v>
      </c>
      <c r="AY49" s="11">
        <f>VLOOKUP(AX49,المرجع!$B$3:$C$12,2)</f>
        <v>4.75</v>
      </c>
      <c r="AZ49" s="23" t="str">
        <f>VLOOKUP(AY49,المرجع!$D$3:$E$12,2)</f>
        <v>أ</v>
      </c>
      <c r="BA49" s="13">
        <f t="shared" si="23"/>
        <v>9.5</v>
      </c>
      <c r="BB49" s="25">
        <f t="shared" si="24"/>
        <v>77.25</v>
      </c>
      <c r="BC49" s="26">
        <f t="shared" si="25"/>
        <v>22</v>
      </c>
      <c r="BD49" s="27">
        <f t="shared" si="26"/>
        <v>3.5113636363636362</v>
      </c>
      <c r="BE49" s="80">
        <f>('المستوى الأول 2022'!BL49+'المستوى الثاني 2023'!BB49)/('المستوى الثاني 2023'!BC49+'المستوى الأول 2022'!BM49)</f>
        <v>3.1333333333333333</v>
      </c>
      <c r="BF49" s="28" t="str">
        <f>VLOOKUP(BE49,المرجع!$D$3:$F$12,3)</f>
        <v xml:space="preserve">جيد مرتفع </v>
      </c>
      <c r="BG49" s="29">
        <f t="shared" si="27"/>
        <v>45</v>
      </c>
    </row>
    <row r="50" spans="2:59" ht="22">
      <c r="B50" s="3">
        <v>2023025</v>
      </c>
      <c r="C50" s="5" t="s">
        <v>94</v>
      </c>
      <c r="D50" s="21">
        <v>1</v>
      </c>
      <c r="E50" s="15">
        <v>85</v>
      </c>
      <c r="F50" s="11">
        <f>VLOOKUP(E50,المرجع!$B$3:$C$12,2)</f>
        <v>4.5</v>
      </c>
      <c r="G50" s="23" t="str">
        <f>VLOOKUP(F50,المرجع!$D$3:$E$12,2)</f>
        <v>ب+</v>
      </c>
      <c r="H50" s="13">
        <f t="shared" si="14"/>
        <v>4.5</v>
      </c>
      <c r="I50" s="21">
        <v>2</v>
      </c>
      <c r="J50" s="14">
        <v>98</v>
      </c>
      <c r="K50" s="11">
        <f>VLOOKUP(J50,المرجع!$B$3:$C$12,2)</f>
        <v>5</v>
      </c>
      <c r="L50" s="23" t="str">
        <f>VLOOKUP(K50,المرجع!$D$3:$E$12,2)</f>
        <v xml:space="preserve">أ+ </v>
      </c>
      <c r="M50" s="13">
        <f t="shared" si="15"/>
        <v>10</v>
      </c>
      <c r="N50" s="21">
        <v>2</v>
      </c>
      <c r="O50" s="14">
        <v>100</v>
      </c>
      <c r="P50" s="11">
        <f>VLOOKUP(O50,المرجع!$B$3:$C$12,2)</f>
        <v>5</v>
      </c>
      <c r="Q50" s="23" t="str">
        <f>VLOOKUP(P50,المرجع!$D$3:$E$12,2)</f>
        <v xml:space="preserve">أ+ </v>
      </c>
      <c r="R50" s="13">
        <f t="shared" si="16"/>
        <v>10</v>
      </c>
      <c r="S50" s="21">
        <v>3</v>
      </c>
      <c r="T50" s="14">
        <v>80</v>
      </c>
      <c r="U50" s="11">
        <f>VLOOKUP(T50,المرجع!$B$3:$C$12,2)</f>
        <v>4</v>
      </c>
      <c r="V50" s="23" t="str">
        <f>VLOOKUP(U50,المرجع!$D$3:$E$12,2)</f>
        <v>ب</v>
      </c>
      <c r="W50" s="13">
        <f t="shared" si="17"/>
        <v>12</v>
      </c>
      <c r="X50" s="21">
        <v>2</v>
      </c>
      <c r="Y50" s="14">
        <v>60</v>
      </c>
      <c r="Z50" s="11">
        <f>VLOOKUP(Y50,المرجع!$B$3:$C$12,2)</f>
        <v>2</v>
      </c>
      <c r="AA50" s="23" t="str">
        <f>VLOOKUP(Z50,المرجع!$D$3:$E$12,2)</f>
        <v>د</v>
      </c>
      <c r="AB50" s="13">
        <f t="shared" si="18"/>
        <v>4</v>
      </c>
      <c r="AC50" s="21">
        <v>3</v>
      </c>
      <c r="AD50" s="14">
        <v>50</v>
      </c>
      <c r="AE50" s="11">
        <f>VLOOKUP(AD50,المرجع!$B$3:$C$12,2)</f>
        <v>2</v>
      </c>
      <c r="AF50" s="23" t="str">
        <f>VLOOKUP(AE50,المرجع!$D$3:$E$12,2)</f>
        <v>د</v>
      </c>
      <c r="AG50" s="13">
        <f t="shared" si="19"/>
        <v>6</v>
      </c>
      <c r="AH50" s="21">
        <v>2</v>
      </c>
      <c r="AI50" s="14">
        <v>53</v>
      </c>
      <c r="AJ50" s="11">
        <f>VLOOKUP(AI50,المرجع!$B$3:$C$12,2)</f>
        <v>2</v>
      </c>
      <c r="AK50" s="23" t="str">
        <f>VLOOKUP(AJ50,المرجع!$D$3:$E$12,2)</f>
        <v>د</v>
      </c>
      <c r="AL50" s="13">
        <f t="shared" si="20"/>
        <v>4</v>
      </c>
      <c r="AM50" s="21">
        <v>3</v>
      </c>
      <c r="AN50" s="14">
        <v>70</v>
      </c>
      <c r="AO50" s="11">
        <f>VLOOKUP(AN50,المرجع!$B$3:$C$12,2)</f>
        <v>3</v>
      </c>
      <c r="AP50" s="23" t="str">
        <f>VLOOKUP(AO50,المرجع!$D$3:$E$12,2)</f>
        <v>ج</v>
      </c>
      <c r="AQ50" s="13">
        <f t="shared" si="21"/>
        <v>9</v>
      </c>
      <c r="AR50" s="21">
        <v>2</v>
      </c>
      <c r="AS50" s="14">
        <v>70</v>
      </c>
      <c r="AT50" s="11">
        <f>VLOOKUP(AS50,المرجع!$B$3:$C$12,2)</f>
        <v>3</v>
      </c>
      <c r="AU50" s="23" t="str">
        <f>VLOOKUP(AT50,المرجع!$D$3:$E$12,2)</f>
        <v>ج</v>
      </c>
      <c r="AV50" s="13">
        <f t="shared" si="22"/>
        <v>6</v>
      </c>
      <c r="AW50" s="21">
        <v>2</v>
      </c>
      <c r="AX50" s="14">
        <v>96</v>
      </c>
      <c r="AY50" s="11">
        <f>VLOOKUP(AX50,المرجع!$B$3:$C$12,2)</f>
        <v>5</v>
      </c>
      <c r="AZ50" s="23" t="str">
        <f>VLOOKUP(AY50,المرجع!$D$3:$E$12,2)</f>
        <v xml:space="preserve">أ+ </v>
      </c>
      <c r="BA50" s="13">
        <f t="shared" si="23"/>
        <v>10</v>
      </c>
      <c r="BB50" s="25">
        <f t="shared" si="24"/>
        <v>75.5</v>
      </c>
      <c r="BC50" s="26">
        <f t="shared" si="25"/>
        <v>22</v>
      </c>
      <c r="BD50" s="27">
        <f t="shared" si="26"/>
        <v>3.4318181818181817</v>
      </c>
      <c r="BE50" s="80">
        <f>('المستوى الأول 2022'!BL50+'المستوى الثاني 2023'!BB50)/('المستوى الثاني 2023'!BC50+'المستوى الأول 2022'!BM50)</f>
        <v>3.1388888888888888</v>
      </c>
      <c r="BF50" s="28" t="str">
        <f>VLOOKUP(BE50,المرجع!$D$3:$F$12,3)</f>
        <v xml:space="preserve">جيد مرتفع </v>
      </c>
      <c r="BG50" s="29">
        <f t="shared" si="27"/>
        <v>49</v>
      </c>
    </row>
    <row r="51" spans="2:59" ht="22">
      <c r="B51" s="3">
        <v>2023101</v>
      </c>
      <c r="C51" s="5" t="s">
        <v>65</v>
      </c>
      <c r="D51" s="21">
        <v>1</v>
      </c>
      <c r="E51" s="15">
        <v>100</v>
      </c>
      <c r="F51" s="11">
        <f>VLOOKUP(E51,المرجع!$B$3:$C$12,2)</f>
        <v>5</v>
      </c>
      <c r="G51" s="23" t="str">
        <f>VLOOKUP(F51,المرجع!$D$3:$E$12,2)</f>
        <v xml:space="preserve">أ+ </v>
      </c>
      <c r="H51" s="13">
        <f t="shared" si="14"/>
        <v>5</v>
      </c>
      <c r="I51" s="21">
        <v>2</v>
      </c>
      <c r="J51" s="8">
        <v>85</v>
      </c>
      <c r="K51" s="11">
        <f>VLOOKUP(J51,المرجع!$B$3:$C$12,2)</f>
        <v>4.5</v>
      </c>
      <c r="L51" s="23" t="str">
        <f>VLOOKUP(K51,المرجع!$D$3:$E$12,2)</f>
        <v>ب+</v>
      </c>
      <c r="M51" s="13">
        <f t="shared" si="15"/>
        <v>9</v>
      </c>
      <c r="N51" s="21">
        <v>2</v>
      </c>
      <c r="O51" s="8">
        <v>82</v>
      </c>
      <c r="P51" s="11">
        <f>VLOOKUP(O51,المرجع!$B$3:$C$12,2)</f>
        <v>4</v>
      </c>
      <c r="Q51" s="23" t="str">
        <f>VLOOKUP(P51,المرجع!$D$3:$E$12,2)</f>
        <v>ب</v>
      </c>
      <c r="R51" s="13">
        <f t="shared" si="16"/>
        <v>8</v>
      </c>
      <c r="S51" s="21">
        <v>3</v>
      </c>
      <c r="T51" s="8">
        <v>95</v>
      </c>
      <c r="U51" s="11">
        <f>VLOOKUP(T51,المرجع!$B$3:$C$12,2)</f>
        <v>5</v>
      </c>
      <c r="V51" s="23" t="str">
        <f>VLOOKUP(U51,المرجع!$D$3:$E$12,2)</f>
        <v xml:space="preserve">أ+ </v>
      </c>
      <c r="W51" s="13">
        <f t="shared" si="17"/>
        <v>15</v>
      </c>
      <c r="X51" s="21">
        <v>2</v>
      </c>
      <c r="Y51" s="8">
        <v>69</v>
      </c>
      <c r="Z51" s="11">
        <f>VLOOKUP(Y51,المرجع!$B$3:$C$12,2)</f>
        <v>2.5</v>
      </c>
      <c r="AA51" s="23" t="str">
        <f>VLOOKUP(Z51,المرجع!$D$3:$E$12,2)</f>
        <v>د+</v>
      </c>
      <c r="AB51" s="13">
        <f t="shared" si="18"/>
        <v>5</v>
      </c>
      <c r="AC51" s="21">
        <v>3</v>
      </c>
      <c r="AD51" s="8">
        <v>58</v>
      </c>
      <c r="AE51" s="11">
        <f>VLOOKUP(AD51,المرجع!$B$3:$C$12,2)</f>
        <v>2</v>
      </c>
      <c r="AF51" s="23" t="str">
        <f>VLOOKUP(AE51,المرجع!$D$3:$E$12,2)</f>
        <v>د</v>
      </c>
      <c r="AG51" s="13">
        <f t="shared" si="19"/>
        <v>6</v>
      </c>
      <c r="AH51" s="21">
        <v>2</v>
      </c>
      <c r="AI51" s="8">
        <v>50</v>
      </c>
      <c r="AJ51" s="11">
        <f>VLOOKUP(AI51,المرجع!$B$3:$C$12,2)</f>
        <v>2</v>
      </c>
      <c r="AK51" s="23" t="str">
        <f>VLOOKUP(AJ51,المرجع!$D$3:$E$12,2)</f>
        <v>د</v>
      </c>
      <c r="AL51" s="13">
        <f t="shared" si="20"/>
        <v>4</v>
      </c>
      <c r="AM51" s="21">
        <v>3</v>
      </c>
      <c r="AN51" s="8">
        <v>79</v>
      </c>
      <c r="AO51" s="11">
        <f>VLOOKUP(AN51,المرجع!$B$3:$C$12,2)</f>
        <v>3.5</v>
      </c>
      <c r="AP51" s="23" t="str">
        <f>VLOOKUP(AO51,المرجع!$D$3:$E$12,2)</f>
        <v>ج+</v>
      </c>
      <c r="AQ51" s="13">
        <f t="shared" si="21"/>
        <v>10.5</v>
      </c>
      <c r="AR51" s="21">
        <v>2</v>
      </c>
      <c r="AS51" s="8">
        <v>50</v>
      </c>
      <c r="AT51" s="11">
        <f>VLOOKUP(AS51,المرجع!$B$3:$C$12,2)</f>
        <v>2</v>
      </c>
      <c r="AU51" s="23" t="str">
        <f>VLOOKUP(AT51,المرجع!$D$3:$E$12,2)</f>
        <v>د</v>
      </c>
      <c r="AV51" s="13">
        <f t="shared" si="22"/>
        <v>4</v>
      </c>
      <c r="AW51" s="21">
        <v>2</v>
      </c>
      <c r="AX51" s="8">
        <v>85</v>
      </c>
      <c r="AY51" s="11">
        <f>VLOOKUP(AX51,المرجع!$B$3:$C$12,2)</f>
        <v>4.5</v>
      </c>
      <c r="AZ51" s="23" t="str">
        <f>VLOOKUP(AY51,المرجع!$D$3:$E$12,2)</f>
        <v>ب+</v>
      </c>
      <c r="BA51" s="13">
        <f t="shared" si="23"/>
        <v>9</v>
      </c>
      <c r="BB51" s="25">
        <f t="shared" si="24"/>
        <v>75.5</v>
      </c>
      <c r="BC51" s="26">
        <f t="shared" si="25"/>
        <v>22</v>
      </c>
      <c r="BD51" s="27">
        <f t="shared" si="26"/>
        <v>3.4318181818181817</v>
      </c>
      <c r="BE51" s="80">
        <f>('المستوى الأول 2022'!BL51+'المستوى الثاني 2023'!BB51)/('المستوى الثاني 2023'!BC51+'المستوى الأول 2022'!BM51)</f>
        <v>3.0666666666666669</v>
      </c>
      <c r="BF51" s="28" t="str">
        <f>VLOOKUP(BE51,المرجع!$D$3:$F$12,3)</f>
        <v xml:space="preserve">جيد </v>
      </c>
      <c r="BG51" s="29">
        <f t="shared" si="27"/>
        <v>49</v>
      </c>
    </row>
    <row r="52" spans="2:59" ht="22">
      <c r="B52" s="3">
        <v>2023100</v>
      </c>
      <c r="C52" s="5" t="s">
        <v>72</v>
      </c>
      <c r="D52" s="21">
        <v>1</v>
      </c>
      <c r="E52" s="15">
        <v>73</v>
      </c>
      <c r="F52" s="11">
        <f>VLOOKUP(E52,المرجع!$B$3:$C$12,2)</f>
        <v>3</v>
      </c>
      <c r="G52" s="23" t="str">
        <f>VLOOKUP(F52,المرجع!$D$3:$E$12,2)</f>
        <v>ج</v>
      </c>
      <c r="H52" s="13">
        <f t="shared" si="14"/>
        <v>3</v>
      </c>
      <c r="I52" s="21">
        <v>2</v>
      </c>
      <c r="J52" s="8">
        <v>86</v>
      </c>
      <c r="K52" s="11">
        <f>VLOOKUP(J52,المرجع!$B$3:$C$12,2)</f>
        <v>4.5</v>
      </c>
      <c r="L52" s="23" t="str">
        <f>VLOOKUP(K52,المرجع!$D$3:$E$12,2)</f>
        <v>ب+</v>
      </c>
      <c r="M52" s="13">
        <f t="shared" si="15"/>
        <v>9</v>
      </c>
      <c r="N52" s="21">
        <v>2</v>
      </c>
      <c r="O52" s="8">
        <v>81</v>
      </c>
      <c r="P52" s="11">
        <f>VLOOKUP(O52,المرجع!$B$3:$C$12,2)</f>
        <v>4</v>
      </c>
      <c r="Q52" s="23" t="str">
        <f>VLOOKUP(P52,المرجع!$D$3:$E$12,2)</f>
        <v>ب</v>
      </c>
      <c r="R52" s="13">
        <f t="shared" si="16"/>
        <v>8</v>
      </c>
      <c r="S52" s="21">
        <v>3</v>
      </c>
      <c r="T52" s="8">
        <v>100</v>
      </c>
      <c r="U52" s="11">
        <f>VLOOKUP(T52,المرجع!$B$3:$C$12,2)</f>
        <v>5</v>
      </c>
      <c r="V52" s="23" t="str">
        <f>VLOOKUP(U52,المرجع!$D$3:$E$12,2)</f>
        <v xml:space="preserve">أ+ </v>
      </c>
      <c r="W52" s="13">
        <f t="shared" si="17"/>
        <v>15</v>
      </c>
      <c r="X52" s="21">
        <v>2</v>
      </c>
      <c r="Y52" s="8">
        <v>76</v>
      </c>
      <c r="Z52" s="11">
        <f>VLOOKUP(Y52,المرجع!$B$3:$C$12,2)</f>
        <v>3.5</v>
      </c>
      <c r="AA52" s="23" t="str">
        <f>VLOOKUP(Z52,المرجع!$D$3:$E$12,2)</f>
        <v>ج+</v>
      </c>
      <c r="AB52" s="13">
        <f t="shared" si="18"/>
        <v>7</v>
      </c>
      <c r="AC52" s="21">
        <v>3</v>
      </c>
      <c r="AD52" s="8">
        <v>50</v>
      </c>
      <c r="AE52" s="11">
        <f>VLOOKUP(AD52,المرجع!$B$3:$C$12,2)</f>
        <v>2</v>
      </c>
      <c r="AF52" s="23" t="str">
        <f>VLOOKUP(AE52,المرجع!$D$3:$E$12,2)</f>
        <v>د</v>
      </c>
      <c r="AG52" s="13">
        <f t="shared" si="19"/>
        <v>6</v>
      </c>
      <c r="AH52" s="21">
        <v>2</v>
      </c>
      <c r="AI52" s="8">
        <v>50</v>
      </c>
      <c r="AJ52" s="11">
        <f>VLOOKUP(AI52,المرجع!$B$3:$C$12,2)</f>
        <v>2</v>
      </c>
      <c r="AK52" s="23" t="str">
        <f>VLOOKUP(AJ52,المرجع!$D$3:$E$12,2)</f>
        <v>د</v>
      </c>
      <c r="AL52" s="13">
        <f t="shared" si="20"/>
        <v>4</v>
      </c>
      <c r="AM52" s="21">
        <v>3</v>
      </c>
      <c r="AN52" s="8">
        <v>78</v>
      </c>
      <c r="AO52" s="11">
        <f>VLOOKUP(AN52,المرجع!$B$3:$C$12,2)</f>
        <v>3.5</v>
      </c>
      <c r="AP52" s="23" t="str">
        <f>VLOOKUP(AO52,المرجع!$D$3:$E$12,2)</f>
        <v>ج+</v>
      </c>
      <c r="AQ52" s="13">
        <f t="shared" si="21"/>
        <v>10.5</v>
      </c>
      <c r="AR52" s="21">
        <v>2</v>
      </c>
      <c r="AS52" s="8">
        <v>50</v>
      </c>
      <c r="AT52" s="11">
        <f>VLOOKUP(AS52,المرجع!$B$3:$C$12,2)</f>
        <v>2</v>
      </c>
      <c r="AU52" s="23" t="str">
        <f>VLOOKUP(AT52,المرجع!$D$3:$E$12,2)</f>
        <v>د</v>
      </c>
      <c r="AV52" s="13">
        <f t="shared" si="22"/>
        <v>4</v>
      </c>
      <c r="AW52" s="21">
        <v>2</v>
      </c>
      <c r="AX52" s="8">
        <v>98</v>
      </c>
      <c r="AY52" s="11">
        <f>VLOOKUP(AX52,المرجع!$B$3:$C$12,2)</f>
        <v>5</v>
      </c>
      <c r="AZ52" s="23" t="str">
        <f>VLOOKUP(AY52,المرجع!$D$3:$E$12,2)</f>
        <v xml:space="preserve">أ+ </v>
      </c>
      <c r="BA52" s="13">
        <f t="shared" si="23"/>
        <v>10</v>
      </c>
      <c r="BB52" s="25">
        <f t="shared" si="24"/>
        <v>76.5</v>
      </c>
      <c r="BC52" s="26">
        <f t="shared" si="25"/>
        <v>22</v>
      </c>
      <c r="BD52" s="27">
        <f t="shared" si="26"/>
        <v>3.4772727272727271</v>
      </c>
      <c r="BE52" s="80">
        <f>('المستوى الأول 2022'!BL52+'المستوى الثاني 2023'!BB52)/('المستوى الثاني 2023'!BC52+'المستوى الأول 2022'!BM52)</f>
        <v>2.9722222222222223</v>
      </c>
      <c r="BF52" s="28" t="str">
        <f>VLOOKUP(BE52,المرجع!$D$3:$F$12,3)</f>
        <v xml:space="preserve">جيد </v>
      </c>
      <c r="BG52" s="29">
        <f t="shared" si="27"/>
        <v>47</v>
      </c>
    </row>
    <row r="53" spans="2:59" ht="22">
      <c r="B53" s="3">
        <v>2023047</v>
      </c>
      <c r="C53" s="5" t="s">
        <v>21</v>
      </c>
      <c r="D53" s="21">
        <v>1</v>
      </c>
      <c r="E53" s="15">
        <v>94</v>
      </c>
      <c r="F53" s="11">
        <f>VLOOKUP(E53,المرجع!$B$3:$C$12,2)</f>
        <v>4.75</v>
      </c>
      <c r="G53" s="23" t="str">
        <f>VLOOKUP(F53,المرجع!$D$3:$E$12,2)</f>
        <v>أ</v>
      </c>
      <c r="H53" s="13">
        <f t="shared" si="14"/>
        <v>4.75</v>
      </c>
      <c r="I53" s="21">
        <v>2</v>
      </c>
      <c r="J53" s="8">
        <v>80</v>
      </c>
      <c r="K53" s="11">
        <f>VLOOKUP(J53,المرجع!$B$3:$C$12,2)</f>
        <v>4</v>
      </c>
      <c r="L53" s="23" t="str">
        <f>VLOOKUP(K53,المرجع!$D$3:$E$12,2)</f>
        <v>ب</v>
      </c>
      <c r="M53" s="13">
        <f t="shared" si="15"/>
        <v>8</v>
      </c>
      <c r="N53" s="21">
        <v>2</v>
      </c>
      <c r="O53" s="8">
        <v>84</v>
      </c>
      <c r="P53" s="11">
        <f>VLOOKUP(O53,المرجع!$B$3:$C$12,2)</f>
        <v>4</v>
      </c>
      <c r="Q53" s="23" t="str">
        <f>VLOOKUP(P53,المرجع!$D$3:$E$12,2)</f>
        <v>ب</v>
      </c>
      <c r="R53" s="13">
        <f t="shared" si="16"/>
        <v>8</v>
      </c>
      <c r="S53" s="21">
        <v>3</v>
      </c>
      <c r="T53" s="8">
        <v>90</v>
      </c>
      <c r="U53" s="11">
        <f>VLOOKUP(T53,المرجع!$B$3:$C$12,2)</f>
        <v>4.75</v>
      </c>
      <c r="V53" s="23" t="str">
        <f>VLOOKUP(U53,المرجع!$D$3:$E$12,2)</f>
        <v>أ</v>
      </c>
      <c r="W53" s="13">
        <f t="shared" si="17"/>
        <v>14.25</v>
      </c>
      <c r="X53" s="21">
        <v>2</v>
      </c>
      <c r="Y53" s="8">
        <v>85</v>
      </c>
      <c r="Z53" s="11">
        <f>VLOOKUP(Y53,المرجع!$B$3:$C$12,2)</f>
        <v>4.5</v>
      </c>
      <c r="AA53" s="23" t="str">
        <f>VLOOKUP(Z53,المرجع!$D$3:$E$12,2)</f>
        <v>ب+</v>
      </c>
      <c r="AB53" s="13">
        <f t="shared" si="18"/>
        <v>9</v>
      </c>
      <c r="AC53" s="21">
        <v>3</v>
      </c>
      <c r="AD53" s="8">
        <v>58</v>
      </c>
      <c r="AE53" s="11">
        <f>VLOOKUP(AD53,المرجع!$B$3:$C$12,2)</f>
        <v>2</v>
      </c>
      <c r="AF53" s="23" t="str">
        <f>VLOOKUP(AE53,المرجع!$D$3:$E$12,2)</f>
        <v>د</v>
      </c>
      <c r="AG53" s="13">
        <f t="shared" si="19"/>
        <v>6</v>
      </c>
      <c r="AH53" s="21">
        <v>2</v>
      </c>
      <c r="AI53" s="8">
        <v>55</v>
      </c>
      <c r="AJ53" s="11">
        <f>VLOOKUP(AI53,المرجع!$B$3:$C$12,2)</f>
        <v>2</v>
      </c>
      <c r="AK53" s="23" t="str">
        <f>VLOOKUP(AJ53,المرجع!$D$3:$E$12,2)</f>
        <v>د</v>
      </c>
      <c r="AL53" s="13">
        <f t="shared" si="20"/>
        <v>4</v>
      </c>
      <c r="AM53" s="21">
        <v>3</v>
      </c>
      <c r="AN53" s="8">
        <v>70</v>
      </c>
      <c r="AO53" s="11">
        <f>VLOOKUP(AN53,المرجع!$B$3:$C$12,2)</f>
        <v>3</v>
      </c>
      <c r="AP53" s="23" t="str">
        <f>VLOOKUP(AO53,المرجع!$D$3:$E$12,2)</f>
        <v>ج</v>
      </c>
      <c r="AQ53" s="13">
        <f t="shared" si="21"/>
        <v>9</v>
      </c>
      <c r="AR53" s="21">
        <v>2</v>
      </c>
      <c r="AS53" s="8">
        <v>50</v>
      </c>
      <c r="AT53" s="11">
        <f>VLOOKUP(AS53,المرجع!$B$3:$C$12,2)</f>
        <v>2</v>
      </c>
      <c r="AU53" s="23" t="str">
        <f>VLOOKUP(AT53,المرجع!$D$3:$E$12,2)</f>
        <v>د</v>
      </c>
      <c r="AV53" s="13">
        <f t="shared" si="22"/>
        <v>4</v>
      </c>
      <c r="AW53" s="21">
        <v>2</v>
      </c>
      <c r="AX53" s="8">
        <v>76</v>
      </c>
      <c r="AY53" s="11">
        <f>VLOOKUP(AX53,المرجع!$B$3:$C$12,2)</f>
        <v>3.5</v>
      </c>
      <c r="AZ53" s="23" t="str">
        <f>VLOOKUP(AY53,المرجع!$D$3:$E$12,2)</f>
        <v>ج+</v>
      </c>
      <c r="BA53" s="13">
        <f t="shared" si="23"/>
        <v>7</v>
      </c>
      <c r="BB53" s="25">
        <f t="shared" si="24"/>
        <v>74</v>
      </c>
      <c r="BC53" s="26">
        <f t="shared" si="25"/>
        <v>22</v>
      </c>
      <c r="BD53" s="27">
        <f t="shared" si="26"/>
        <v>3.3636363636363638</v>
      </c>
      <c r="BE53" s="80">
        <f>('المستوى الأول 2022'!BL53+'المستوى الثاني 2023'!BB53)/('المستوى الثاني 2023'!BC53+'المستوى الأول 2022'!BM53)</f>
        <v>3.0555555555555554</v>
      </c>
      <c r="BF53" s="28" t="str">
        <f>VLOOKUP(BE53,المرجع!$D$3:$F$12,3)</f>
        <v xml:space="preserve">جيد </v>
      </c>
      <c r="BG53" s="29">
        <f t="shared" si="27"/>
        <v>51</v>
      </c>
    </row>
    <row r="54" spans="2:59" ht="22">
      <c r="B54" s="3">
        <v>2023091</v>
      </c>
      <c r="C54" s="5" t="s">
        <v>70</v>
      </c>
      <c r="D54" s="21">
        <v>1</v>
      </c>
      <c r="E54" s="15">
        <v>91</v>
      </c>
      <c r="F54" s="11">
        <f>VLOOKUP(E54,المرجع!$B$3:$C$12,2)</f>
        <v>4.75</v>
      </c>
      <c r="G54" s="23" t="str">
        <f>VLOOKUP(F54,المرجع!$D$3:$E$12,2)</f>
        <v>أ</v>
      </c>
      <c r="H54" s="13">
        <f t="shared" si="14"/>
        <v>4.75</v>
      </c>
      <c r="I54" s="21">
        <v>2</v>
      </c>
      <c r="J54" s="8">
        <v>85</v>
      </c>
      <c r="K54" s="11">
        <f>VLOOKUP(J54,المرجع!$B$3:$C$12,2)</f>
        <v>4.5</v>
      </c>
      <c r="L54" s="23" t="str">
        <f>VLOOKUP(K54,المرجع!$D$3:$E$12,2)</f>
        <v>ب+</v>
      </c>
      <c r="M54" s="13">
        <f t="shared" si="15"/>
        <v>9</v>
      </c>
      <c r="N54" s="21">
        <v>2</v>
      </c>
      <c r="O54" s="8">
        <v>50</v>
      </c>
      <c r="P54" s="11">
        <f>VLOOKUP(O54,المرجع!$B$3:$C$12,2)</f>
        <v>2</v>
      </c>
      <c r="Q54" s="23" t="str">
        <f>VLOOKUP(P54,المرجع!$D$3:$E$12,2)</f>
        <v>د</v>
      </c>
      <c r="R54" s="13">
        <f t="shared" si="16"/>
        <v>4</v>
      </c>
      <c r="S54" s="21">
        <v>3</v>
      </c>
      <c r="T54" s="8">
        <v>89</v>
      </c>
      <c r="U54" s="11">
        <f>VLOOKUP(T54,المرجع!$B$3:$C$12,2)</f>
        <v>4.5</v>
      </c>
      <c r="V54" s="23" t="str">
        <f>VLOOKUP(U54,المرجع!$D$3:$E$12,2)</f>
        <v>ب+</v>
      </c>
      <c r="W54" s="13">
        <f t="shared" si="17"/>
        <v>13.5</v>
      </c>
      <c r="X54" s="21">
        <v>2</v>
      </c>
      <c r="Y54" s="8">
        <v>64</v>
      </c>
      <c r="Z54" s="11">
        <f>VLOOKUP(Y54,المرجع!$B$3:$C$12,2)</f>
        <v>2</v>
      </c>
      <c r="AA54" s="23" t="str">
        <f>VLOOKUP(Z54,المرجع!$D$3:$E$12,2)</f>
        <v>د</v>
      </c>
      <c r="AB54" s="13">
        <f t="shared" si="18"/>
        <v>4</v>
      </c>
      <c r="AC54" s="21">
        <v>3</v>
      </c>
      <c r="AD54" s="8">
        <v>50</v>
      </c>
      <c r="AE54" s="11">
        <f>VLOOKUP(AD54,المرجع!$B$3:$C$12,2)</f>
        <v>2</v>
      </c>
      <c r="AF54" s="23" t="str">
        <f>VLOOKUP(AE54,المرجع!$D$3:$E$12,2)</f>
        <v>د</v>
      </c>
      <c r="AG54" s="13">
        <f t="shared" si="19"/>
        <v>6</v>
      </c>
      <c r="AH54" s="21">
        <v>2</v>
      </c>
      <c r="AI54" s="8">
        <v>81</v>
      </c>
      <c r="AJ54" s="11">
        <f>VLOOKUP(AI54,المرجع!$B$3:$C$12,2)</f>
        <v>4</v>
      </c>
      <c r="AK54" s="23" t="str">
        <f>VLOOKUP(AJ54,المرجع!$D$3:$E$12,2)</f>
        <v>ب</v>
      </c>
      <c r="AL54" s="13">
        <f t="shared" si="20"/>
        <v>8</v>
      </c>
      <c r="AM54" s="21">
        <v>3</v>
      </c>
      <c r="AN54" s="8">
        <v>85</v>
      </c>
      <c r="AO54" s="11">
        <f>VLOOKUP(AN54,المرجع!$B$3:$C$12,2)</f>
        <v>4.5</v>
      </c>
      <c r="AP54" s="23" t="str">
        <f>VLOOKUP(AO54,المرجع!$D$3:$E$12,2)</f>
        <v>ب+</v>
      </c>
      <c r="AQ54" s="13">
        <f t="shared" si="21"/>
        <v>13.5</v>
      </c>
      <c r="AR54" s="21">
        <v>2</v>
      </c>
      <c r="AS54" s="8">
        <v>50</v>
      </c>
      <c r="AT54" s="11">
        <f>VLOOKUP(AS54,المرجع!$B$3:$C$12,2)</f>
        <v>2</v>
      </c>
      <c r="AU54" s="23" t="str">
        <f>VLOOKUP(AT54,المرجع!$D$3:$E$12,2)</f>
        <v>د</v>
      </c>
      <c r="AV54" s="13">
        <f t="shared" si="22"/>
        <v>4</v>
      </c>
      <c r="AW54" s="21">
        <v>2</v>
      </c>
      <c r="AX54" s="8">
        <v>85</v>
      </c>
      <c r="AY54" s="11">
        <f>VLOOKUP(AX54,المرجع!$B$3:$C$12,2)</f>
        <v>4.5</v>
      </c>
      <c r="AZ54" s="23" t="str">
        <f>VLOOKUP(AY54,المرجع!$D$3:$E$12,2)</f>
        <v>ب+</v>
      </c>
      <c r="BA54" s="13">
        <f t="shared" si="23"/>
        <v>9</v>
      </c>
      <c r="BB54" s="25">
        <f t="shared" si="24"/>
        <v>75.75</v>
      </c>
      <c r="BC54" s="26">
        <f t="shared" si="25"/>
        <v>22</v>
      </c>
      <c r="BD54" s="27">
        <f t="shared" si="26"/>
        <v>3.4431818181818183</v>
      </c>
      <c r="BE54" s="80">
        <f>('المستوى الأول 2022'!BL54+'المستوى الثاني 2023'!BB54)/('المستوى الثاني 2023'!BC54+'المستوى الأول 2022'!BM54)</f>
        <v>2.9944444444444445</v>
      </c>
      <c r="BF54" s="28" t="str">
        <f>VLOOKUP(BE54,المرجع!$D$3:$F$12,3)</f>
        <v xml:space="preserve">جيد </v>
      </c>
      <c r="BG54" s="29">
        <f t="shared" si="27"/>
        <v>48</v>
      </c>
    </row>
    <row r="55" spans="2:59" ht="22">
      <c r="B55" s="3">
        <v>2023007</v>
      </c>
      <c r="C55" s="5" t="s">
        <v>27</v>
      </c>
      <c r="D55" s="21">
        <v>1</v>
      </c>
      <c r="E55" s="15">
        <v>95</v>
      </c>
      <c r="F55" s="11">
        <f>VLOOKUP(E55,المرجع!$B$3:$C$12,2)</f>
        <v>5</v>
      </c>
      <c r="G55" s="23" t="str">
        <f>VLOOKUP(F55,المرجع!$D$3:$E$12,2)</f>
        <v xml:space="preserve">أ+ </v>
      </c>
      <c r="H55" s="13">
        <f t="shared" si="14"/>
        <v>5</v>
      </c>
      <c r="I55" s="21">
        <v>2</v>
      </c>
      <c r="J55" s="8">
        <v>80</v>
      </c>
      <c r="K55" s="11">
        <f>VLOOKUP(J55,المرجع!$B$3:$C$12,2)</f>
        <v>4</v>
      </c>
      <c r="L55" s="23" t="str">
        <f>VLOOKUP(K55,المرجع!$D$3:$E$12,2)</f>
        <v>ب</v>
      </c>
      <c r="M55" s="13">
        <f t="shared" si="15"/>
        <v>8</v>
      </c>
      <c r="N55" s="21">
        <v>2</v>
      </c>
      <c r="O55" s="8">
        <v>81</v>
      </c>
      <c r="P55" s="11">
        <f>VLOOKUP(O55,المرجع!$B$3:$C$12,2)</f>
        <v>4</v>
      </c>
      <c r="Q55" s="23" t="str">
        <f>VLOOKUP(P55,المرجع!$D$3:$E$12,2)</f>
        <v>ب</v>
      </c>
      <c r="R55" s="13">
        <f t="shared" si="16"/>
        <v>8</v>
      </c>
      <c r="S55" s="21">
        <v>3</v>
      </c>
      <c r="T55" s="8">
        <v>90</v>
      </c>
      <c r="U55" s="11">
        <f>VLOOKUP(T55,المرجع!$B$3:$C$12,2)</f>
        <v>4.75</v>
      </c>
      <c r="V55" s="23" t="str">
        <f>VLOOKUP(U55,المرجع!$D$3:$E$12,2)</f>
        <v>أ</v>
      </c>
      <c r="W55" s="13">
        <f t="shared" si="17"/>
        <v>14.25</v>
      </c>
      <c r="X55" s="21">
        <v>2</v>
      </c>
      <c r="Y55" s="8">
        <v>88</v>
      </c>
      <c r="Z55" s="11">
        <f>VLOOKUP(Y55,المرجع!$B$3:$C$12,2)</f>
        <v>4.5</v>
      </c>
      <c r="AA55" s="23" t="str">
        <f>VLOOKUP(Z55,المرجع!$D$3:$E$12,2)</f>
        <v>ب+</v>
      </c>
      <c r="AB55" s="13">
        <f t="shared" si="18"/>
        <v>9</v>
      </c>
      <c r="AC55" s="21">
        <v>3</v>
      </c>
      <c r="AD55" s="8">
        <v>50</v>
      </c>
      <c r="AE55" s="11">
        <f>VLOOKUP(AD55,المرجع!$B$3:$C$12,2)</f>
        <v>2</v>
      </c>
      <c r="AF55" s="23" t="str">
        <f>VLOOKUP(AE55,المرجع!$D$3:$E$12,2)</f>
        <v>د</v>
      </c>
      <c r="AG55" s="13">
        <f t="shared" si="19"/>
        <v>6</v>
      </c>
      <c r="AH55" s="21">
        <v>2</v>
      </c>
      <c r="AI55" s="8">
        <v>50</v>
      </c>
      <c r="AJ55" s="11">
        <f>VLOOKUP(AI55,المرجع!$B$3:$C$12,2)</f>
        <v>2</v>
      </c>
      <c r="AK55" s="23" t="str">
        <f>VLOOKUP(AJ55,المرجع!$D$3:$E$12,2)</f>
        <v>د</v>
      </c>
      <c r="AL55" s="13">
        <f t="shared" si="20"/>
        <v>4</v>
      </c>
      <c r="AM55" s="21">
        <v>3</v>
      </c>
      <c r="AN55" s="8">
        <v>58</v>
      </c>
      <c r="AO55" s="11">
        <f>VLOOKUP(AN55,المرجع!$B$3:$C$12,2)</f>
        <v>2</v>
      </c>
      <c r="AP55" s="23" t="str">
        <f>VLOOKUP(AO55,المرجع!$D$3:$E$12,2)</f>
        <v>د</v>
      </c>
      <c r="AQ55" s="13">
        <f t="shared" si="21"/>
        <v>6</v>
      </c>
      <c r="AR55" s="21">
        <v>2</v>
      </c>
      <c r="AS55" s="8">
        <v>50</v>
      </c>
      <c r="AT55" s="11">
        <f>VLOOKUP(AS55,المرجع!$B$3:$C$12,2)</f>
        <v>2</v>
      </c>
      <c r="AU55" s="23" t="str">
        <f>VLOOKUP(AT55,المرجع!$D$3:$E$12,2)</f>
        <v>د</v>
      </c>
      <c r="AV55" s="13">
        <f t="shared" si="22"/>
        <v>4</v>
      </c>
      <c r="AW55" s="21">
        <v>2</v>
      </c>
      <c r="AX55" s="8">
        <v>86</v>
      </c>
      <c r="AY55" s="11">
        <f>VLOOKUP(AX55,المرجع!$B$3:$C$12,2)</f>
        <v>4.5</v>
      </c>
      <c r="AZ55" s="23" t="str">
        <f>VLOOKUP(AY55,المرجع!$D$3:$E$12,2)</f>
        <v>ب+</v>
      </c>
      <c r="BA55" s="13">
        <f t="shared" si="23"/>
        <v>9</v>
      </c>
      <c r="BB55" s="25">
        <f t="shared" si="24"/>
        <v>73.25</v>
      </c>
      <c r="BC55" s="26">
        <f t="shared" si="25"/>
        <v>22</v>
      </c>
      <c r="BD55" s="27">
        <f t="shared" si="26"/>
        <v>3.3295454545454546</v>
      </c>
      <c r="BE55" s="80">
        <f>('المستوى الأول 2022'!BL55+'المستوى الثاني 2023'!BB55)/('المستوى الثاني 2023'!BC55+'المستوى الأول 2022'!BM55)</f>
        <v>2.8222222222222224</v>
      </c>
      <c r="BF55" s="28" t="str">
        <f>VLOOKUP(BE55,المرجع!$D$3:$F$12,3)</f>
        <v xml:space="preserve">جيد </v>
      </c>
      <c r="BG55" s="29">
        <f t="shared" si="27"/>
        <v>57</v>
      </c>
    </row>
    <row r="56" spans="2:59" ht="22">
      <c r="B56" s="3">
        <v>2023070</v>
      </c>
      <c r="C56" s="5" t="s">
        <v>62</v>
      </c>
      <c r="D56" s="21">
        <v>1</v>
      </c>
      <c r="E56" s="15">
        <v>82</v>
      </c>
      <c r="F56" s="11">
        <f>VLOOKUP(E56,المرجع!$B$3:$C$12,2)</f>
        <v>4</v>
      </c>
      <c r="G56" s="23" t="str">
        <f>VLOOKUP(F56,المرجع!$D$3:$E$12,2)</f>
        <v>ب</v>
      </c>
      <c r="H56" s="13">
        <f t="shared" si="14"/>
        <v>4</v>
      </c>
      <c r="I56" s="21">
        <v>2</v>
      </c>
      <c r="J56" s="8">
        <v>77</v>
      </c>
      <c r="K56" s="11">
        <f>VLOOKUP(J56,المرجع!$B$3:$C$12,2)</f>
        <v>3.5</v>
      </c>
      <c r="L56" s="23" t="str">
        <f>VLOOKUP(K56,المرجع!$D$3:$E$12,2)</f>
        <v>ج+</v>
      </c>
      <c r="M56" s="13">
        <f t="shared" si="15"/>
        <v>7</v>
      </c>
      <c r="N56" s="21">
        <v>2</v>
      </c>
      <c r="O56" s="8">
        <v>74</v>
      </c>
      <c r="P56" s="11">
        <f>VLOOKUP(O56,المرجع!$B$3:$C$12,2)</f>
        <v>3</v>
      </c>
      <c r="Q56" s="23" t="str">
        <f>VLOOKUP(P56,المرجع!$D$3:$E$12,2)</f>
        <v>ج</v>
      </c>
      <c r="R56" s="13">
        <f t="shared" si="16"/>
        <v>6</v>
      </c>
      <c r="S56" s="21">
        <v>3</v>
      </c>
      <c r="T56" s="8">
        <v>96</v>
      </c>
      <c r="U56" s="11">
        <f>VLOOKUP(T56,المرجع!$B$3:$C$12,2)</f>
        <v>5</v>
      </c>
      <c r="V56" s="23" t="str">
        <f>VLOOKUP(U56,المرجع!$D$3:$E$12,2)</f>
        <v xml:space="preserve">أ+ </v>
      </c>
      <c r="W56" s="13">
        <f t="shared" si="17"/>
        <v>15</v>
      </c>
      <c r="X56" s="21">
        <v>2</v>
      </c>
      <c r="Y56" s="8">
        <v>84</v>
      </c>
      <c r="Z56" s="11">
        <f>VLOOKUP(Y56,المرجع!$B$3:$C$12,2)</f>
        <v>4</v>
      </c>
      <c r="AA56" s="23" t="str">
        <f>VLOOKUP(Z56,المرجع!$D$3:$E$12,2)</f>
        <v>ب</v>
      </c>
      <c r="AB56" s="13">
        <f t="shared" si="18"/>
        <v>8</v>
      </c>
      <c r="AC56" s="21">
        <v>3</v>
      </c>
      <c r="AD56" s="8">
        <v>50</v>
      </c>
      <c r="AE56" s="11">
        <f>VLOOKUP(AD56,المرجع!$B$3:$C$12,2)</f>
        <v>2</v>
      </c>
      <c r="AF56" s="23" t="str">
        <f>VLOOKUP(AE56,المرجع!$D$3:$E$12,2)</f>
        <v>د</v>
      </c>
      <c r="AG56" s="13">
        <f t="shared" si="19"/>
        <v>6</v>
      </c>
      <c r="AH56" s="21">
        <v>2</v>
      </c>
      <c r="AI56" s="8">
        <v>60</v>
      </c>
      <c r="AJ56" s="11">
        <f>VLOOKUP(AI56,المرجع!$B$3:$C$12,2)</f>
        <v>2</v>
      </c>
      <c r="AK56" s="23" t="str">
        <f>VLOOKUP(AJ56,المرجع!$D$3:$E$12,2)</f>
        <v>د</v>
      </c>
      <c r="AL56" s="13">
        <f t="shared" si="20"/>
        <v>4</v>
      </c>
      <c r="AM56" s="21">
        <v>3</v>
      </c>
      <c r="AN56" s="8">
        <v>60</v>
      </c>
      <c r="AO56" s="11">
        <f>VLOOKUP(AN56,المرجع!$B$3:$C$12,2)</f>
        <v>2</v>
      </c>
      <c r="AP56" s="23" t="str">
        <f>VLOOKUP(AO56,المرجع!$D$3:$E$12,2)</f>
        <v>د</v>
      </c>
      <c r="AQ56" s="13">
        <f t="shared" si="21"/>
        <v>6</v>
      </c>
      <c r="AR56" s="21">
        <v>2</v>
      </c>
      <c r="AS56" s="8">
        <v>80</v>
      </c>
      <c r="AT56" s="11">
        <f>VLOOKUP(AS56,المرجع!$B$3:$C$12,2)</f>
        <v>4</v>
      </c>
      <c r="AU56" s="23" t="str">
        <f>VLOOKUP(AT56,المرجع!$D$3:$E$12,2)</f>
        <v>ب</v>
      </c>
      <c r="AV56" s="13">
        <f t="shared" si="22"/>
        <v>8</v>
      </c>
      <c r="AW56" s="21">
        <v>2</v>
      </c>
      <c r="AX56" s="8">
        <v>100</v>
      </c>
      <c r="AY56" s="11">
        <f>VLOOKUP(AX56,المرجع!$B$3:$C$12,2)</f>
        <v>5</v>
      </c>
      <c r="AZ56" s="23" t="str">
        <f>VLOOKUP(AY56,المرجع!$D$3:$E$12,2)</f>
        <v xml:space="preserve">أ+ </v>
      </c>
      <c r="BA56" s="13">
        <f t="shared" si="23"/>
        <v>10</v>
      </c>
      <c r="BB56" s="25">
        <f t="shared" si="24"/>
        <v>74</v>
      </c>
      <c r="BC56" s="26">
        <f t="shared" si="25"/>
        <v>22</v>
      </c>
      <c r="BD56" s="27">
        <f t="shared" si="26"/>
        <v>3.3636363636363638</v>
      </c>
      <c r="BE56" s="80">
        <f>('المستوى الأول 2022'!BL56+'المستوى الثاني 2023'!BB56)/('المستوى الثاني 2023'!BC56+'المستوى الأول 2022'!BM56)</f>
        <v>2.9888888888888889</v>
      </c>
      <c r="BF56" s="28" t="str">
        <f>VLOOKUP(BE56,المرجع!$D$3:$F$12,3)</f>
        <v xml:space="preserve">جيد </v>
      </c>
      <c r="BG56" s="29">
        <f t="shared" si="27"/>
        <v>51</v>
      </c>
    </row>
    <row r="57" spans="2:59" ht="22">
      <c r="B57" s="3">
        <v>2023077</v>
      </c>
      <c r="C57" s="5" t="s">
        <v>67</v>
      </c>
      <c r="D57" s="21">
        <v>1</v>
      </c>
      <c r="E57" s="15">
        <v>98</v>
      </c>
      <c r="F57" s="11">
        <f>VLOOKUP(E57,المرجع!$B$3:$C$12,2)</f>
        <v>5</v>
      </c>
      <c r="G57" s="23" t="str">
        <f>VLOOKUP(F57,المرجع!$D$3:$E$12,2)</f>
        <v xml:space="preserve">أ+ </v>
      </c>
      <c r="H57" s="13">
        <f t="shared" si="14"/>
        <v>5</v>
      </c>
      <c r="I57" s="21">
        <v>2</v>
      </c>
      <c r="J57" s="8">
        <v>88</v>
      </c>
      <c r="K57" s="11">
        <f>VLOOKUP(J57,المرجع!$B$3:$C$12,2)</f>
        <v>4.5</v>
      </c>
      <c r="L57" s="23" t="str">
        <f>VLOOKUP(K57,المرجع!$D$3:$E$12,2)</f>
        <v>ب+</v>
      </c>
      <c r="M57" s="13">
        <f t="shared" si="15"/>
        <v>9</v>
      </c>
      <c r="N57" s="21">
        <v>2</v>
      </c>
      <c r="O57" s="8">
        <v>90</v>
      </c>
      <c r="P57" s="11">
        <f>VLOOKUP(O57,المرجع!$B$3:$C$12,2)</f>
        <v>4.75</v>
      </c>
      <c r="Q57" s="23" t="str">
        <f>VLOOKUP(P57,المرجع!$D$3:$E$12,2)</f>
        <v>أ</v>
      </c>
      <c r="R57" s="13">
        <f t="shared" si="16"/>
        <v>9.5</v>
      </c>
      <c r="S57" s="21">
        <v>3</v>
      </c>
      <c r="T57" s="8">
        <v>99</v>
      </c>
      <c r="U57" s="11">
        <f>VLOOKUP(T57,المرجع!$B$3:$C$12,2)</f>
        <v>5</v>
      </c>
      <c r="V57" s="23" t="str">
        <f>VLOOKUP(U57,المرجع!$D$3:$E$12,2)</f>
        <v xml:space="preserve">أ+ </v>
      </c>
      <c r="W57" s="13">
        <f t="shared" si="17"/>
        <v>15</v>
      </c>
      <c r="X57" s="21">
        <v>2</v>
      </c>
      <c r="Y57" s="8">
        <v>96</v>
      </c>
      <c r="Z57" s="11">
        <f>VLOOKUP(Y57,المرجع!$B$3:$C$12,2)</f>
        <v>5</v>
      </c>
      <c r="AA57" s="23" t="str">
        <f>VLOOKUP(Z57,المرجع!$D$3:$E$12,2)</f>
        <v xml:space="preserve">أ+ </v>
      </c>
      <c r="AB57" s="13">
        <f t="shared" si="18"/>
        <v>10</v>
      </c>
      <c r="AC57" s="21">
        <v>3</v>
      </c>
      <c r="AD57" s="8">
        <v>56</v>
      </c>
      <c r="AE57" s="11">
        <f>VLOOKUP(AD57,المرجع!$B$3:$C$12,2)</f>
        <v>2</v>
      </c>
      <c r="AF57" s="23" t="str">
        <f>VLOOKUP(AE57,المرجع!$D$3:$E$12,2)</f>
        <v>د</v>
      </c>
      <c r="AG57" s="13">
        <f t="shared" si="19"/>
        <v>6</v>
      </c>
      <c r="AH57" s="21">
        <v>2</v>
      </c>
      <c r="AI57" s="8">
        <v>55</v>
      </c>
      <c r="AJ57" s="11">
        <f>VLOOKUP(AI57,المرجع!$B$3:$C$12,2)</f>
        <v>2</v>
      </c>
      <c r="AK57" s="23" t="str">
        <f>VLOOKUP(AJ57,المرجع!$D$3:$E$12,2)</f>
        <v>د</v>
      </c>
      <c r="AL57" s="13">
        <f t="shared" si="20"/>
        <v>4</v>
      </c>
      <c r="AM57" s="21">
        <v>3</v>
      </c>
      <c r="AN57" s="8">
        <v>76</v>
      </c>
      <c r="AO57" s="11">
        <f>VLOOKUP(AN57,المرجع!$B$3:$C$12,2)</f>
        <v>3.5</v>
      </c>
      <c r="AP57" s="23" t="str">
        <f>VLOOKUP(AO57,المرجع!$D$3:$E$12,2)</f>
        <v>ج+</v>
      </c>
      <c r="AQ57" s="13">
        <f t="shared" si="21"/>
        <v>10.5</v>
      </c>
      <c r="AR57" s="21">
        <v>2</v>
      </c>
      <c r="AS57" s="8">
        <v>25</v>
      </c>
      <c r="AT57" s="11">
        <f>VLOOKUP(AS57,المرجع!$B$3:$C$12,2)</f>
        <v>0</v>
      </c>
      <c r="AU57" s="23" t="str">
        <f>VLOOKUP(AT57,المرجع!$D$3:$E$12,2)</f>
        <v>ه</v>
      </c>
      <c r="AV57" s="13">
        <f t="shared" si="22"/>
        <v>0</v>
      </c>
      <c r="AW57" s="21">
        <v>2</v>
      </c>
      <c r="AX57" s="8">
        <v>61</v>
      </c>
      <c r="AY57" s="11">
        <f>VLOOKUP(AX57,المرجع!$B$3:$C$12,2)</f>
        <v>2</v>
      </c>
      <c r="AZ57" s="23" t="str">
        <f>VLOOKUP(AY57,المرجع!$D$3:$E$12,2)</f>
        <v>د</v>
      </c>
      <c r="BA57" s="13">
        <f t="shared" si="23"/>
        <v>4</v>
      </c>
      <c r="BB57" s="25">
        <f t="shared" si="24"/>
        <v>73</v>
      </c>
      <c r="BC57" s="26">
        <f t="shared" si="25"/>
        <v>22</v>
      </c>
      <c r="BD57" s="27">
        <f t="shared" si="26"/>
        <v>3.3181818181818183</v>
      </c>
      <c r="BE57" s="80">
        <f>('المستوى الأول 2022'!BL57+'المستوى الثاني 2023'!BB57)/('المستوى الثاني 2023'!BC57+'المستوى الأول 2022'!BM57)</f>
        <v>2.9944444444444445</v>
      </c>
      <c r="BF57" s="28" t="str">
        <f>VLOOKUP(BE57,المرجع!$D$3:$F$12,3)</f>
        <v xml:space="preserve">جيد </v>
      </c>
      <c r="BG57" s="29">
        <f t="shared" si="27"/>
        <v>58</v>
      </c>
    </row>
    <row r="58" spans="2:59" ht="22">
      <c r="B58" s="3">
        <v>2023096</v>
      </c>
      <c r="C58" s="5" t="s">
        <v>64</v>
      </c>
      <c r="D58" s="21">
        <v>1</v>
      </c>
      <c r="E58" s="15">
        <v>97</v>
      </c>
      <c r="F58" s="11">
        <f>VLOOKUP(E58,المرجع!$B$3:$C$12,2)</f>
        <v>5</v>
      </c>
      <c r="G58" s="23" t="str">
        <f>VLOOKUP(F58,المرجع!$D$3:$E$12,2)</f>
        <v xml:space="preserve">أ+ </v>
      </c>
      <c r="H58" s="13">
        <f t="shared" si="14"/>
        <v>5</v>
      </c>
      <c r="I58" s="21">
        <v>2</v>
      </c>
      <c r="J58" s="8">
        <v>78</v>
      </c>
      <c r="K58" s="11">
        <f>VLOOKUP(J58,المرجع!$B$3:$C$12,2)</f>
        <v>3.5</v>
      </c>
      <c r="L58" s="23" t="str">
        <f>VLOOKUP(K58,المرجع!$D$3:$E$12,2)</f>
        <v>ج+</v>
      </c>
      <c r="M58" s="13">
        <f t="shared" si="15"/>
        <v>7</v>
      </c>
      <c r="N58" s="21">
        <v>2</v>
      </c>
      <c r="O58" s="8">
        <v>61</v>
      </c>
      <c r="P58" s="11">
        <f>VLOOKUP(O58,المرجع!$B$3:$C$12,2)</f>
        <v>2</v>
      </c>
      <c r="Q58" s="23" t="str">
        <f>VLOOKUP(P58,المرجع!$D$3:$E$12,2)</f>
        <v>د</v>
      </c>
      <c r="R58" s="13">
        <f t="shared" si="16"/>
        <v>4</v>
      </c>
      <c r="S58" s="21">
        <v>3</v>
      </c>
      <c r="T58" s="8">
        <v>90</v>
      </c>
      <c r="U58" s="11">
        <f>VLOOKUP(T58,المرجع!$B$3:$C$12,2)</f>
        <v>4.75</v>
      </c>
      <c r="V58" s="23" t="str">
        <f>VLOOKUP(U58,المرجع!$D$3:$E$12,2)</f>
        <v>أ</v>
      </c>
      <c r="W58" s="13">
        <f t="shared" si="17"/>
        <v>14.25</v>
      </c>
      <c r="X58" s="21">
        <v>2</v>
      </c>
      <c r="Y58" s="8">
        <v>88</v>
      </c>
      <c r="Z58" s="11">
        <f>VLOOKUP(Y58,المرجع!$B$3:$C$12,2)</f>
        <v>4.5</v>
      </c>
      <c r="AA58" s="23" t="str">
        <f>VLOOKUP(Z58,المرجع!$D$3:$E$12,2)</f>
        <v>ب+</v>
      </c>
      <c r="AB58" s="13">
        <f t="shared" si="18"/>
        <v>9</v>
      </c>
      <c r="AC58" s="21">
        <v>3</v>
      </c>
      <c r="AD58" s="8">
        <v>50</v>
      </c>
      <c r="AE58" s="11">
        <f>VLOOKUP(AD58,المرجع!$B$3:$C$12,2)</f>
        <v>2</v>
      </c>
      <c r="AF58" s="23" t="str">
        <f>VLOOKUP(AE58,المرجع!$D$3:$E$12,2)</f>
        <v>د</v>
      </c>
      <c r="AG58" s="13">
        <f t="shared" si="19"/>
        <v>6</v>
      </c>
      <c r="AH58" s="21">
        <v>2</v>
      </c>
      <c r="AI58" s="8">
        <v>57</v>
      </c>
      <c r="AJ58" s="11">
        <f>VLOOKUP(AI58,المرجع!$B$3:$C$12,2)</f>
        <v>2</v>
      </c>
      <c r="AK58" s="23" t="str">
        <f>VLOOKUP(AJ58,المرجع!$D$3:$E$12,2)</f>
        <v>د</v>
      </c>
      <c r="AL58" s="13">
        <f t="shared" si="20"/>
        <v>4</v>
      </c>
      <c r="AM58" s="21">
        <v>3</v>
      </c>
      <c r="AN58" s="8">
        <v>73</v>
      </c>
      <c r="AO58" s="11">
        <f>VLOOKUP(AN58,المرجع!$B$3:$C$12,2)</f>
        <v>3</v>
      </c>
      <c r="AP58" s="23" t="str">
        <f>VLOOKUP(AO58,المرجع!$D$3:$E$12,2)</f>
        <v>ج</v>
      </c>
      <c r="AQ58" s="13">
        <f t="shared" si="21"/>
        <v>9</v>
      </c>
      <c r="AR58" s="21">
        <v>2</v>
      </c>
      <c r="AS58" s="8">
        <v>70</v>
      </c>
      <c r="AT58" s="11">
        <f>VLOOKUP(AS58,المرجع!$B$3:$C$12,2)</f>
        <v>3</v>
      </c>
      <c r="AU58" s="23" t="str">
        <f>VLOOKUP(AT58,المرجع!$D$3:$E$12,2)</f>
        <v>ج</v>
      </c>
      <c r="AV58" s="13">
        <f t="shared" si="22"/>
        <v>6</v>
      </c>
      <c r="AW58" s="21">
        <v>2</v>
      </c>
      <c r="AX58" s="8">
        <v>90</v>
      </c>
      <c r="AY58" s="11">
        <f>VLOOKUP(AX58,المرجع!$B$3:$C$12,2)</f>
        <v>4.75</v>
      </c>
      <c r="AZ58" s="23" t="str">
        <f>VLOOKUP(AY58,المرجع!$D$3:$E$12,2)</f>
        <v>أ</v>
      </c>
      <c r="BA58" s="13">
        <f t="shared" si="23"/>
        <v>9.5</v>
      </c>
      <c r="BB58" s="25">
        <f t="shared" si="24"/>
        <v>73.75</v>
      </c>
      <c r="BC58" s="26">
        <f t="shared" si="25"/>
        <v>22</v>
      </c>
      <c r="BD58" s="27">
        <f t="shared" si="26"/>
        <v>3.3522727272727271</v>
      </c>
      <c r="BE58" s="80">
        <f>('المستوى الأول 2022'!BL58+'المستوى الثاني 2023'!BB58)/('المستوى الثاني 2023'!BC58+'المستوى الأول 2022'!BM58)</f>
        <v>2.9833333333333334</v>
      </c>
      <c r="BF58" s="28" t="str">
        <f>VLOOKUP(BE58,المرجع!$D$3:$F$12,3)</f>
        <v xml:space="preserve">جيد </v>
      </c>
      <c r="BG58" s="29">
        <f t="shared" si="27"/>
        <v>56</v>
      </c>
    </row>
    <row r="59" spans="2:59" ht="22">
      <c r="B59" s="3">
        <v>2023068</v>
      </c>
      <c r="C59" s="5" t="s">
        <v>63</v>
      </c>
      <c r="D59" s="21">
        <v>1</v>
      </c>
      <c r="E59" s="15">
        <v>89</v>
      </c>
      <c r="F59" s="11">
        <f>VLOOKUP(E59,المرجع!$B$3:$C$12,2)</f>
        <v>4.5</v>
      </c>
      <c r="G59" s="23" t="str">
        <f>VLOOKUP(F59,المرجع!$D$3:$E$12,2)</f>
        <v>ب+</v>
      </c>
      <c r="H59" s="13">
        <f t="shared" si="14"/>
        <v>4.5</v>
      </c>
      <c r="I59" s="21">
        <v>2</v>
      </c>
      <c r="J59" s="8">
        <v>87</v>
      </c>
      <c r="K59" s="11">
        <f>VLOOKUP(J59,المرجع!$B$3:$C$12,2)</f>
        <v>4.5</v>
      </c>
      <c r="L59" s="23" t="str">
        <f>VLOOKUP(K59,المرجع!$D$3:$E$12,2)</f>
        <v>ب+</v>
      </c>
      <c r="M59" s="13">
        <f t="shared" si="15"/>
        <v>9</v>
      </c>
      <c r="N59" s="21">
        <v>2</v>
      </c>
      <c r="O59" s="8">
        <v>73</v>
      </c>
      <c r="P59" s="11">
        <f>VLOOKUP(O59,المرجع!$B$3:$C$12,2)</f>
        <v>3</v>
      </c>
      <c r="Q59" s="23" t="str">
        <f>VLOOKUP(P59,المرجع!$D$3:$E$12,2)</f>
        <v>ج</v>
      </c>
      <c r="R59" s="13">
        <f t="shared" si="16"/>
        <v>6</v>
      </c>
      <c r="S59" s="21">
        <v>3</v>
      </c>
      <c r="T59" s="8">
        <v>87</v>
      </c>
      <c r="U59" s="11">
        <f>VLOOKUP(T59,المرجع!$B$3:$C$12,2)</f>
        <v>4.5</v>
      </c>
      <c r="V59" s="23" t="str">
        <f>VLOOKUP(U59,المرجع!$D$3:$E$12,2)</f>
        <v>ب+</v>
      </c>
      <c r="W59" s="13">
        <f t="shared" si="17"/>
        <v>13.5</v>
      </c>
      <c r="X59" s="21">
        <v>2</v>
      </c>
      <c r="Y59" s="8">
        <v>69</v>
      </c>
      <c r="Z59" s="11">
        <f>VLOOKUP(Y59,المرجع!$B$3:$C$12,2)</f>
        <v>2.5</v>
      </c>
      <c r="AA59" s="23" t="str">
        <f>VLOOKUP(Z59,المرجع!$D$3:$E$12,2)</f>
        <v>د+</v>
      </c>
      <c r="AB59" s="13">
        <f t="shared" si="18"/>
        <v>5</v>
      </c>
      <c r="AC59" s="21">
        <v>3</v>
      </c>
      <c r="AD59" s="8">
        <v>60</v>
      </c>
      <c r="AE59" s="11">
        <f>VLOOKUP(AD59,المرجع!$B$3:$C$12,2)</f>
        <v>2</v>
      </c>
      <c r="AF59" s="23" t="str">
        <f>VLOOKUP(AE59,المرجع!$D$3:$E$12,2)</f>
        <v>د</v>
      </c>
      <c r="AG59" s="13">
        <f t="shared" si="19"/>
        <v>6</v>
      </c>
      <c r="AH59" s="21">
        <v>2</v>
      </c>
      <c r="AI59" s="8">
        <v>50</v>
      </c>
      <c r="AJ59" s="11">
        <f>VLOOKUP(AI59,المرجع!$B$3:$C$12,2)</f>
        <v>2</v>
      </c>
      <c r="AK59" s="23" t="str">
        <f>VLOOKUP(AJ59,المرجع!$D$3:$E$12,2)</f>
        <v>د</v>
      </c>
      <c r="AL59" s="13">
        <f t="shared" si="20"/>
        <v>4</v>
      </c>
      <c r="AM59" s="21">
        <v>3</v>
      </c>
      <c r="AN59" s="8">
        <v>79</v>
      </c>
      <c r="AO59" s="11">
        <f>VLOOKUP(AN59,المرجع!$B$3:$C$12,2)</f>
        <v>3.5</v>
      </c>
      <c r="AP59" s="23" t="str">
        <f>VLOOKUP(AO59,المرجع!$D$3:$E$12,2)</f>
        <v>ج+</v>
      </c>
      <c r="AQ59" s="13">
        <f t="shared" si="21"/>
        <v>10.5</v>
      </c>
      <c r="AR59" s="21">
        <v>2</v>
      </c>
      <c r="AS59" s="8">
        <v>70</v>
      </c>
      <c r="AT59" s="11">
        <f>VLOOKUP(AS59,المرجع!$B$3:$C$12,2)</f>
        <v>3</v>
      </c>
      <c r="AU59" s="23" t="str">
        <f>VLOOKUP(AT59,المرجع!$D$3:$E$12,2)</f>
        <v>ج</v>
      </c>
      <c r="AV59" s="13">
        <f t="shared" si="22"/>
        <v>6</v>
      </c>
      <c r="AW59" s="21">
        <v>2</v>
      </c>
      <c r="AX59" s="8">
        <v>93</v>
      </c>
      <c r="AY59" s="11">
        <f>VLOOKUP(AX59,المرجع!$B$3:$C$12,2)</f>
        <v>4.75</v>
      </c>
      <c r="AZ59" s="23" t="str">
        <f>VLOOKUP(AY59,المرجع!$D$3:$E$12,2)</f>
        <v>أ</v>
      </c>
      <c r="BA59" s="13">
        <f t="shared" si="23"/>
        <v>9.5</v>
      </c>
      <c r="BB59" s="25">
        <f t="shared" si="24"/>
        <v>74</v>
      </c>
      <c r="BC59" s="26">
        <f t="shared" si="25"/>
        <v>22</v>
      </c>
      <c r="BD59" s="27">
        <f t="shared" si="26"/>
        <v>3.3636363636363638</v>
      </c>
      <c r="BE59" s="80">
        <f>('المستوى الأول 2022'!BL59+'المستوى الثاني 2023'!BB59)/('المستوى الثاني 2023'!BC59+'المستوى الأول 2022'!BM59)</f>
        <v>2.8666666666666667</v>
      </c>
      <c r="BF59" s="28" t="str">
        <f>VLOOKUP(BE59,المرجع!$D$3:$F$12,3)</f>
        <v xml:space="preserve">جيد </v>
      </c>
      <c r="BG59" s="29">
        <f t="shared" si="27"/>
        <v>51</v>
      </c>
    </row>
    <row r="60" spans="2:59" ht="22">
      <c r="B60" s="3">
        <v>2023079</v>
      </c>
      <c r="C60" s="5" t="s">
        <v>66</v>
      </c>
      <c r="D60" s="21">
        <v>1</v>
      </c>
      <c r="E60" s="15">
        <v>97</v>
      </c>
      <c r="F60" s="11">
        <f>VLOOKUP(E60,المرجع!$B$3:$C$12,2)</f>
        <v>5</v>
      </c>
      <c r="G60" s="23" t="str">
        <f>VLOOKUP(F60,المرجع!$D$3:$E$12,2)</f>
        <v xml:space="preserve">أ+ </v>
      </c>
      <c r="H60" s="13">
        <f t="shared" si="14"/>
        <v>5</v>
      </c>
      <c r="I60" s="21">
        <v>2</v>
      </c>
      <c r="J60" s="8">
        <v>90</v>
      </c>
      <c r="K60" s="11">
        <f>VLOOKUP(J60,المرجع!$B$3:$C$12,2)</f>
        <v>4.75</v>
      </c>
      <c r="L60" s="23" t="str">
        <f>VLOOKUP(K60,المرجع!$D$3:$E$12,2)</f>
        <v>أ</v>
      </c>
      <c r="M60" s="13">
        <f t="shared" si="15"/>
        <v>9.5</v>
      </c>
      <c r="N60" s="21">
        <v>2</v>
      </c>
      <c r="O60" s="8">
        <v>73</v>
      </c>
      <c r="P60" s="11">
        <f>VLOOKUP(O60,المرجع!$B$3:$C$12,2)</f>
        <v>3</v>
      </c>
      <c r="Q60" s="23" t="str">
        <f>VLOOKUP(P60,المرجع!$D$3:$E$12,2)</f>
        <v>ج</v>
      </c>
      <c r="R60" s="13">
        <f t="shared" si="16"/>
        <v>6</v>
      </c>
      <c r="S60" s="21">
        <v>3</v>
      </c>
      <c r="T60" s="8">
        <v>89</v>
      </c>
      <c r="U60" s="11">
        <f>VLOOKUP(T60,المرجع!$B$3:$C$12,2)</f>
        <v>4.5</v>
      </c>
      <c r="V60" s="23" t="str">
        <f>VLOOKUP(U60,المرجع!$D$3:$E$12,2)</f>
        <v>ب+</v>
      </c>
      <c r="W60" s="13">
        <f t="shared" si="17"/>
        <v>13.5</v>
      </c>
      <c r="X60" s="21">
        <v>2</v>
      </c>
      <c r="Y60" s="8">
        <v>88</v>
      </c>
      <c r="Z60" s="11">
        <f>VLOOKUP(Y60,المرجع!$B$3:$C$12,2)</f>
        <v>4.5</v>
      </c>
      <c r="AA60" s="23" t="str">
        <f>VLOOKUP(Z60,المرجع!$D$3:$E$12,2)</f>
        <v>ب+</v>
      </c>
      <c r="AB60" s="13">
        <f t="shared" si="18"/>
        <v>9</v>
      </c>
      <c r="AC60" s="21">
        <v>3</v>
      </c>
      <c r="AD60" s="8">
        <v>57</v>
      </c>
      <c r="AE60" s="11">
        <f>VLOOKUP(AD60,المرجع!$B$3:$C$12,2)</f>
        <v>2</v>
      </c>
      <c r="AF60" s="23" t="str">
        <f>VLOOKUP(AE60,المرجع!$D$3:$E$12,2)</f>
        <v>د</v>
      </c>
      <c r="AG60" s="13">
        <f t="shared" si="19"/>
        <v>6</v>
      </c>
      <c r="AH60" s="21">
        <v>2</v>
      </c>
      <c r="AI60" s="8">
        <v>30</v>
      </c>
      <c r="AJ60" s="11">
        <f>VLOOKUP(AI60,المرجع!$B$3:$C$12,2)</f>
        <v>0</v>
      </c>
      <c r="AK60" s="23" t="str">
        <f>VLOOKUP(AJ60,المرجع!$D$3:$E$12,2)</f>
        <v>ه</v>
      </c>
      <c r="AL60" s="13">
        <f t="shared" si="20"/>
        <v>0</v>
      </c>
      <c r="AM60" s="21">
        <v>3</v>
      </c>
      <c r="AN60" s="8">
        <v>84</v>
      </c>
      <c r="AO60" s="11">
        <f>VLOOKUP(AN60,المرجع!$B$3:$C$12,2)</f>
        <v>4</v>
      </c>
      <c r="AP60" s="23" t="str">
        <f>VLOOKUP(AO60,المرجع!$D$3:$E$12,2)</f>
        <v>ب</v>
      </c>
      <c r="AQ60" s="13">
        <f t="shared" si="21"/>
        <v>12</v>
      </c>
      <c r="AR60" s="21">
        <v>2</v>
      </c>
      <c r="AS60" s="8">
        <v>50</v>
      </c>
      <c r="AT60" s="11">
        <f>VLOOKUP(AS60,المرجع!$B$3:$C$12,2)</f>
        <v>2</v>
      </c>
      <c r="AU60" s="23" t="str">
        <f>VLOOKUP(AT60,المرجع!$D$3:$E$12,2)</f>
        <v>د</v>
      </c>
      <c r="AV60" s="13">
        <f t="shared" si="22"/>
        <v>4</v>
      </c>
      <c r="AW60" s="21">
        <v>2</v>
      </c>
      <c r="AX60" s="8">
        <v>88</v>
      </c>
      <c r="AY60" s="11">
        <f>VLOOKUP(AX60,المرجع!$B$3:$C$12,2)</f>
        <v>4.5</v>
      </c>
      <c r="AZ60" s="23" t="str">
        <f>VLOOKUP(AY60,المرجع!$D$3:$E$12,2)</f>
        <v>ب+</v>
      </c>
      <c r="BA60" s="13">
        <f t="shared" si="23"/>
        <v>9</v>
      </c>
      <c r="BB60" s="25">
        <f t="shared" si="24"/>
        <v>74</v>
      </c>
      <c r="BC60" s="26">
        <f t="shared" si="25"/>
        <v>22</v>
      </c>
      <c r="BD60" s="27">
        <f t="shared" si="26"/>
        <v>3.3636363636363638</v>
      </c>
      <c r="BE60" s="80">
        <f>('المستوى الأول 2022'!BL60+'المستوى الثاني 2023'!BB60)/('المستوى الثاني 2023'!BC60+'المستوى الأول 2022'!BM60)</f>
        <v>3.0222222222222221</v>
      </c>
      <c r="BF60" s="28" t="str">
        <f>VLOOKUP(BE60,المرجع!$D$3:$F$12,3)</f>
        <v xml:space="preserve">جيد </v>
      </c>
      <c r="BG60" s="29">
        <f t="shared" si="27"/>
        <v>51</v>
      </c>
    </row>
    <row r="61" spans="2:59" ht="22">
      <c r="B61" s="3">
        <v>2023019</v>
      </c>
      <c r="C61" s="5" t="s">
        <v>23</v>
      </c>
      <c r="D61" s="21">
        <v>1</v>
      </c>
      <c r="E61" s="15">
        <v>50</v>
      </c>
      <c r="F61" s="11">
        <f>VLOOKUP(E61,المرجع!$B$3:$C$12,2)</f>
        <v>2</v>
      </c>
      <c r="G61" s="23" t="str">
        <f>VLOOKUP(F61,المرجع!$D$3:$E$12,2)</f>
        <v>د</v>
      </c>
      <c r="H61" s="13">
        <f t="shared" si="14"/>
        <v>2</v>
      </c>
      <c r="I61" s="21">
        <v>2</v>
      </c>
      <c r="J61" s="8">
        <v>85</v>
      </c>
      <c r="K61" s="11">
        <f>VLOOKUP(J61,المرجع!$B$3:$C$12,2)</f>
        <v>4.5</v>
      </c>
      <c r="L61" s="23" t="str">
        <f>VLOOKUP(K61,المرجع!$D$3:$E$12,2)</f>
        <v>ب+</v>
      </c>
      <c r="M61" s="13">
        <f t="shared" si="15"/>
        <v>9</v>
      </c>
      <c r="N61" s="21">
        <v>2</v>
      </c>
      <c r="O61" s="8">
        <v>67</v>
      </c>
      <c r="P61" s="11">
        <f>VLOOKUP(O61,المرجع!$B$3:$C$12,2)</f>
        <v>2.5</v>
      </c>
      <c r="Q61" s="23" t="str">
        <f>VLOOKUP(P61,المرجع!$D$3:$E$12,2)</f>
        <v>د+</v>
      </c>
      <c r="R61" s="13">
        <f t="shared" si="16"/>
        <v>5</v>
      </c>
      <c r="S61" s="21">
        <v>3</v>
      </c>
      <c r="T61" s="8">
        <v>70</v>
      </c>
      <c r="U61" s="11">
        <f>VLOOKUP(T61,المرجع!$B$3:$C$12,2)</f>
        <v>3</v>
      </c>
      <c r="V61" s="23" t="str">
        <f>VLOOKUP(U61,المرجع!$D$3:$E$12,2)</f>
        <v>ج</v>
      </c>
      <c r="W61" s="13">
        <f t="shared" si="17"/>
        <v>9</v>
      </c>
      <c r="X61" s="21">
        <v>2</v>
      </c>
      <c r="Y61" s="8">
        <v>88</v>
      </c>
      <c r="Z61" s="11">
        <f>VLOOKUP(Y61,المرجع!$B$3:$C$12,2)</f>
        <v>4.5</v>
      </c>
      <c r="AA61" s="23" t="str">
        <f>VLOOKUP(Z61,المرجع!$D$3:$E$12,2)</f>
        <v>ب+</v>
      </c>
      <c r="AB61" s="13">
        <f t="shared" si="18"/>
        <v>9</v>
      </c>
      <c r="AC61" s="21">
        <v>3</v>
      </c>
      <c r="AD61" s="8">
        <v>65</v>
      </c>
      <c r="AE61" s="11">
        <f>VLOOKUP(AD61,المرجع!$B$3:$C$12,2)</f>
        <v>2.5</v>
      </c>
      <c r="AF61" s="23" t="str">
        <f>VLOOKUP(AE61,المرجع!$D$3:$E$12,2)</f>
        <v>د+</v>
      </c>
      <c r="AG61" s="13">
        <f t="shared" si="19"/>
        <v>7.5</v>
      </c>
      <c r="AH61" s="21">
        <v>2</v>
      </c>
      <c r="AI61" s="8">
        <v>57</v>
      </c>
      <c r="AJ61" s="11">
        <f>VLOOKUP(AI61,المرجع!$B$3:$C$12,2)</f>
        <v>2</v>
      </c>
      <c r="AK61" s="23" t="str">
        <f>VLOOKUP(AJ61,المرجع!$D$3:$E$12,2)</f>
        <v>د</v>
      </c>
      <c r="AL61" s="13">
        <f t="shared" si="20"/>
        <v>4</v>
      </c>
      <c r="AM61" s="21">
        <v>3</v>
      </c>
      <c r="AN61" s="8">
        <v>86</v>
      </c>
      <c r="AO61" s="11">
        <f>VLOOKUP(AN61,المرجع!$B$3:$C$12,2)</f>
        <v>4.5</v>
      </c>
      <c r="AP61" s="23" t="str">
        <f>VLOOKUP(AO61,المرجع!$D$3:$E$12,2)</f>
        <v>ب+</v>
      </c>
      <c r="AQ61" s="13">
        <f t="shared" si="21"/>
        <v>13.5</v>
      </c>
      <c r="AR61" s="21">
        <v>2</v>
      </c>
      <c r="AS61" s="8">
        <v>90</v>
      </c>
      <c r="AT61" s="11">
        <f>VLOOKUP(AS61,المرجع!$B$3:$C$12,2)</f>
        <v>4.75</v>
      </c>
      <c r="AU61" s="23" t="str">
        <f>VLOOKUP(AT61,المرجع!$D$3:$E$12,2)</f>
        <v>أ</v>
      </c>
      <c r="AV61" s="13">
        <f t="shared" si="22"/>
        <v>9.5</v>
      </c>
      <c r="AW61" s="21">
        <v>2</v>
      </c>
      <c r="AX61" s="8">
        <v>55</v>
      </c>
      <c r="AY61" s="11">
        <f>VLOOKUP(AX61,المرجع!$B$3:$C$12,2)</f>
        <v>2</v>
      </c>
      <c r="AZ61" s="23" t="str">
        <f>VLOOKUP(AY61,المرجع!$D$3:$E$12,2)</f>
        <v>د</v>
      </c>
      <c r="BA61" s="13">
        <f t="shared" si="23"/>
        <v>4</v>
      </c>
      <c r="BB61" s="25">
        <f t="shared" si="24"/>
        <v>72.5</v>
      </c>
      <c r="BC61" s="26">
        <f t="shared" si="25"/>
        <v>22</v>
      </c>
      <c r="BD61" s="27">
        <f t="shared" si="26"/>
        <v>3.2954545454545454</v>
      </c>
      <c r="BE61" s="80">
        <f>('المستوى الأول 2022'!BL61+'المستوى الثاني 2023'!BB61)/('المستوى الثاني 2023'!BC61+'المستوى الأول 2022'!BM61)</f>
        <v>2.8666666666666667</v>
      </c>
      <c r="BF61" s="28" t="str">
        <f>VLOOKUP(BE61,المرجع!$D$3:$F$12,3)</f>
        <v xml:space="preserve">جيد </v>
      </c>
      <c r="BG61" s="29">
        <f t="shared" si="27"/>
        <v>60</v>
      </c>
    </row>
    <row r="62" spans="2:59" ht="22">
      <c r="B62" s="3">
        <v>2023029</v>
      </c>
      <c r="C62" s="5" t="s">
        <v>25</v>
      </c>
      <c r="D62" s="21">
        <v>1</v>
      </c>
      <c r="E62" s="15">
        <v>26</v>
      </c>
      <c r="F62" s="11">
        <f>VLOOKUP(E62,المرجع!$B$3:$C$12,2)</f>
        <v>0</v>
      </c>
      <c r="G62" s="23" t="str">
        <f>VLOOKUP(F62,المرجع!$D$3:$E$12,2)</f>
        <v>ه</v>
      </c>
      <c r="H62" s="13">
        <f t="shared" si="14"/>
        <v>0</v>
      </c>
      <c r="I62" s="21">
        <v>2</v>
      </c>
      <c r="J62" s="8">
        <v>91</v>
      </c>
      <c r="K62" s="11">
        <f>VLOOKUP(J62,المرجع!$B$3:$C$12,2)</f>
        <v>4.75</v>
      </c>
      <c r="L62" s="23" t="str">
        <f>VLOOKUP(K62,المرجع!$D$3:$E$12,2)</f>
        <v>أ</v>
      </c>
      <c r="M62" s="13">
        <f t="shared" si="15"/>
        <v>9.5</v>
      </c>
      <c r="N62" s="21">
        <v>2</v>
      </c>
      <c r="O62" s="8">
        <v>56</v>
      </c>
      <c r="P62" s="11">
        <f>VLOOKUP(O62,المرجع!$B$3:$C$12,2)</f>
        <v>2</v>
      </c>
      <c r="Q62" s="23" t="str">
        <f>VLOOKUP(P62,المرجع!$D$3:$E$12,2)</f>
        <v>د</v>
      </c>
      <c r="R62" s="13">
        <f t="shared" si="16"/>
        <v>4</v>
      </c>
      <c r="S62" s="21">
        <v>3</v>
      </c>
      <c r="T62" s="8">
        <v>70</v>
      </c>
      <c r="U62" s="11">
        <f>VLOOKUP(T62,المرجع!$B$3:$C$12,2)</f>
        <v>3</v>
      </c>
      <c r="V62" s="23" t="str">
        <f>VLOOKUP(U62,المرجع!$D$3:$E$12,2)</f>
        <v>ج</v>
      </c>
      <c r="W62" s="13">
        <f t="shared" si="17"/>
        <v>9</v>
      </c>
      <c r="X62" s="21">
        <v>2</v>
      </c>
      <c r="Y62" s="8">
        <v>88</v>
      </c>
      <c r="Z62" s="11">
        <f>VLOOKUP(Y62,المرجع!$B$3:$C$12,2)</f>
        <v>4.5</v>
      </c>
      <c r="AA62" s="23" t="str">
        <f>VLOOKUP(Z62,المرجع!$D$3:$E$12,2)</f>
        <v>ب+</v>
      </c>
      <c r="AB62" s="13">
        <f t="shared" si="18"/>
        <v>9</v>
      </c>
      <c r="AC62" s="21">
        <v>3</v>
      </c>
      <c r="AD62" s="8">
        <v>50</v>
      </c>
      <c r="AE62" s="11">
        <f>VLOOKUP(AD62,المرجع!$B$3:$C$12,2)</f>
        <v>2</v>
      </c>
      <c r="AF62" s="23" t="str">
        <f>VLOOKUP(AE62,المرجع!$D$3:$E$12,2)</f>
        <v>د</v>
      </c>
      <c r="AG62" s="13">
        <f t="shared" si="19"/>
        <v>6</v>
      </c>
      <c r="AH62" s="21">
        <v>2</v>
      </c>
      <c r="AI62" s="8">
        <v>55</v>
      </c>
      <c r="AJ62" s="11">
        <f>VLOOKUP(AI62,المرجع!$B$3:$C$12,2)</f>
        <v>2</v>
      </c>
      <c r="AK62" s="23" t="str">
        <f>VLOOKUP(AJ62,المرجع!$D$3:$E$12,2)</f>
        <v>د</v>
      </c>
      <c r="AL62" s="13">
        <f t="shared" si="20"/>
        <v>4</v>
      </c>
      <c r="AM62" s="21">
        <v>3</v>
      </c>
      <c r="AN62" s="8">
        <v>82</v>
      </c>
      <c r="AO62" s="11">
        <f>VLOOKUP(AN62,المرجع!$B$3:$C$12,2)</f>
        <v>4</v>
      </c>
      <c r="AP62" s="23" t="str">
        <f>VLOOKUP(AO62,المرجع!$D$3:$E$12,2)</f>
        <v>ب</v>
      </c>
      <c r="AQ62" s="13">
        <f t="shared" si="21"/>
        <v>12</v>
      </c>
      <c r="AR62" s="21">
        <v>2</v>
      </c>
      <c r="AS62" s="8">
        <v>90</v>
      </c>
      <c r="AT62" s="11">
        <f>VLOOKUP(AS62,المرجع!$B$3:$C$12,2)</f>
        <v>4.75</v>
      </c>
      <c r="AU62" s="23" t="str">
        <f>VLOOKUP(AT62,المرجع!$D$3:$E$12,2)</f>
        <v>أ</v>
      </c>
      <c r="AV62" s="13">
        <f t="shared" si="22"/>
        <v>9.5</v>
      </c>
      <c r="AW62" s="21">
        <v>2</v>
      </c>
      <c r="AX62" s="8">
        <v>98</v>
      </c>
      <c r="AY62" s="11">
        <f>VLOOKUP(AX62,المرجع!$B$3:$C$12,2)</f>
        <v>5</v>
      </c>
      <c r="AZ62" s="23" t="str">
        <f>VLOOKUP(AY62,المرجع!$D$3:$E$12,2)</f>
        <v xml:space="preserve">أ+ </v>
      </c>
      <c r="BA62" s="13">
        <f t="shared" si="23"/>
        <v>10</v>
      </c>
      <c r="BB62" s="25">
        <f t="shared" si="24"/>
        <v>73</v>
      </c>
      <c r="BC62" s="26">
        <f t="shared" si="25"/>
        <v>22</v>
      </c>
      <c r="BD62" s="27">
        <f t="shared" si="26"/>
        <v>3.3181818181818183</v>
      </c>
      <c r="BE62" s="80">
        <f>('المستوى الأول 2022'!BL62+'المستوى الثاني 2023'!BB62)/('المستوى الثاني 2023'!BC62+'المستوى الأول 2022'!BM62)</f>
        <v>2.9666666666666668</v>
      </c>
      <c r="BF62" s="28" t="str">
        <f>VLOOKUP(BE62,المرجع!$D$3:$F$12,3)</f>
        <v xml:space="preserve">جيد </v>
      </c>
      <c r="BG62" s="29">
        <f t="shared" si="27"/>
        <v>58</v>
      </c>
    </row>
    <row r="63" spans="2:59" ht="22">
      <c r="B63" s="3">
        <v>2023013</v>
      </c>
      <c r="C63" s="5" t="s">
        <v>22</v>
      </c>
      <c r="D63" s="21">
        <v>1</v>
      </c>
      <c r="E63" s="15">
        <v>88</v>
      </c>
      <c r="F63" s="11">
        <f>VLOOKUP(E63,المرجع!$B$3:$C$12,2)</f>
        <v>4.5</v>
      </c>
      <c r="G63" s="23" t="str">
        <f>VLOOKUP(F63,المرجع!$D$3:$E$12,2)</f>
        <v>ب+</v>
      </c>
      <c r="H63" s="13">
        <f t="shared" si="14"/>
        <v>4.5</v>
      </c>
      <c r="I63" s="21">
        <v>2</v>
      </c>
      <c r="J63" s="8">
        <v>88</v>
      </c>
      <c r="K63" s="11">
        <f>VLOOKUP(J63,المرجع!$B$3:$C$12,2)</f>
        <v>4.5</v>
      </c>
      <c r="L63" s="23" t="str">
        <f>VLOOKUP(K63,المرجع!$D$3:$E$12,2)</f>
        <v>ب+</v>
      </c>
      <c r="M63" s="13">
        <f t="shared" si="15"/>
        <v>9</v>
      </c>
      <c r="N63" s="21">
        <v>2</v>
      </c>
      <c r="O63" s="8">
        <v>68</v>
      </c>
      <c r="P63" s="11">
        <f>VLOOKUP(O63,المرجع!$B$3:$C$12,2)</f>
        <v>2.5</v>
      </c>
      <c r="Q63" s="23" t="str">
        <f>VLOOKUP(P63,المرجع!$D$3:$E$12,2)</f>
        <v>د+</v>
      </c>
      <c r="R63" s="13">
        <f t="shared" si="16"/>
        <v>5</v>
      </c>
      <c r="S63" s="21">
        <v>3</v>
      </c>
      <c r="T63" s="8">
        <v>93</v>
      </c>
      <c r="U63" s="11">
        <f>VLOOKUP(T63,المرجع!$B$3:$C$12,2)</f>
        <v>4.75</v>
      </c>
      <c r="V63" s="23" t="str">
        <f>VLOOKUP(U63,المرجع!$D$3:$E$12,2)</f>
        <v>أ</v>
      </c>
      <c r="W63" s="13">
        <f t="shared" si="17"/>
        <v>14.25</v>
      </c>
      <c r="X63" s="21">
        <v>2</v>
      </c>
      <c r="Y63" s="8">
        <v>91</v>
      </c>
      <c r="Z63" s="11">
        <f>VLOOKUP(Y63,المرجع!$B$3:$C$12,2)</f>
        <v>4.75</v>
      </c>
      <c r="AA63" s="23" t="str">
        <f>VLOOKUP(Z63,المرجع!$D$3:$E$12,2)</f>
        <v>أ</v>
      </c>
      <c r="AB63" s="13">
        <f t="shared" si="18"/>
        <v>9.5</v>
      </c>
      <c r="AC63" s="21">
        <v>3</v>
      </c>
      <c r="AD63" s="8">
        <v>38</v>
      </c>
      <c r="AE63" s="11">
        <f>VLOOKUP(AD63,المرجع!$B$3:$C$12,2)</f>
        <v>0</v>
      </c>
      <c r="AF63" s="23" t="str">
        <f>VLOOKUP(AE63,المرجع!$D$3:$E$12,2)</f>
        <v>ه</v>
      </c>
      <c r="AG63" s="13">
        <f t="shared" si="19"/>
        <v>0</v>
      </c>
      <c r="AH63" s="21">
        <v>2</v>
      </c>
      <c r="AI63" s="8">
        <v>53</v>
      </c>
      <c r="AJ63" s="11">
        <f>VLOOKUP(AI63,المرجع!$B$3:$C$12,2)</f>
        <v>2</v>
      </c>
      <c r="AK63" s="23" t="str">
        <f>VLOOKUP(AJ63,المرجع!$D$3:$E$12,2)</f>
        <v>د</v>
      </c>
      <c r="AL63" s="13">
        <f t="shared" si="20"/>
        <v>4</v>
      </c>
      <c r="AM63" s="21">
        <v>3</v>
      </c>
      <c r="AN63" s="8">
        <v>78</v>
      </c>
      <c r="AO63" s="11">
        <f>VLOOKUP(AN63,المرجع!$B$3:$C$12,2)</f>
        <v>3.5</v>
      </c>
      <c r="AP63" s="23" t="str">
        <f>VLOOKUP(AO63,المرجع!$D$3:$E$12,2)</f>
        <v>ج+</v>
      </c>
      <c r="AQ63" s="13">
        <f t="shared" si="21"/>
        <v>10.5</v>
      </c>
      <c r="AR63" s="21">
        <v>2</v>
      </c>
      <c r="AS63" s="8">
        <v>50</v>
      </c>
      <c r="AT63" s="11">
        <f>VLOOKUP(AS63,المرجع!$B$3:$C$12,2)</f>
        <v>2</v>
      </c>
      <c r="AU63" s="23" t="str">
        <f>VLOOKUP(AT63,المرجع!$D$3:$E$12,2)</f>
        <v>د</v>
      </c>
      <c r="AV63" s="13">
        <f t="shared" si="22"/>
        <v>4</v>
      </c>
      <c r="AW63" s="21">
        <v>2</v>
      </c>
      <c r="AX63" s="8">
        <v>90</v>
      </c>
      <c r="AY63" s="11">
        <f>VLOOKUP(AX63,المرجع!$B$3:$C$12,2)</f>
        <v>4.75</v>
      </c>
      <c r="AZ63" s="23" t="str">
        <f>VLOOKUP(AY63,المرجع!$D$3:$E$12,2)</f>
        <v>أ</v>
      </c>
      <c r="BA63" s="13">
        <f t="shared" si="23"/>
        <v>9.5</v>
      </c>
      <c r="BB63" s="25">
        <f t="shared" si="24"/>
        <v>70.25</v>
      </c>
      <c r="BC63" s="26">
        <f t="shared" si="25"/>
        <v>22</v>
      </c>
      <c r="BD63" s="27">
        <f t="shared" si="26"/>
        <v>3.1931818181818183</v>
      </c>
      <c r="BE63" s="80">
        <f>('المستوى الأول 2022'!BL63+'المستوى الثاني 2023'!BB63)/('المستوى الثاني 2023'!BC63+'المستوى الأول 2022'!BM63)</f>
        <v>3.0666666666666669</v>
      </c>
      <c r="BF63" s="28" t="str">
        <f>VLOOKUP(BE63,المرجع!$D$3:$F$12,3)</f>
        <v xml:space="preserve">جيد </v>
      </c>
      <c r="BG63" s="29">
        <f t="shared" si="27"/>
        <v>63</v>
      </c>
    </row>
    <row r="64" spans="2:59" ht="22">
      <c r="B64" s="3">
        <v>2023032</v>
      </c>
      <c r="C64" s="5" t="s">
        <v>26</v>
      </c>
      <c r="D64" s="21">
        <v>1</v>
      </c>
      <c r="E64" s="15">
        <v>95</v>
      </c>
      <c r="F64" s="11">
        <f>VLOOKUP(E64,المرجع!$B$3:$C$12,2)</f>
        <v>5</v>
      </c>
      <c r="G64" s="23" t="str">
        <f>VLOOKUP(F64,المرجع!$D$3:$E$12,2)</f>
        <v xml:space="preserve">أ+ </v>
      </c>
      <c r="H64" s="13">
        <f t="shared" si="14"/>
        <v>5</v>
      </c>
      <c r="I64" s="21">
        <v>2</v>
      </c>
      <c r="J64" s="8">
        <v>92</v>
      </c>
      <c r="K64" s="11">
        <f>VLOOKUP(J64,المرجع!$B$3:$C$12,2)</f>
        <v>4.75</v>
      </c>
      <c r="L64" s="23" t="str">
        <f>VLOOKUP(K64,المرجع!$D$3:$E$12,2)</f>
        <v>أ</v>
      </c>
      <c r="M64" s="13">
        <f t="shared" si="15"/>
        <v>9.5</v>
      </c>
      <c r="N64" s="21">
        <v>2</v>
      </c>
      <c r="O64" s="8">
        <v>62</v>
      </c>
      <c r="P64" s="11">
        <f>VLOOKUP(O64,المرجع!$B$3:$C$12,2)</f>
        <v>2</v>
      </c>
      <c r="Q64" s="23" t="str">
        <f>VLOOKUP(P64,المرجع!$D$3:$E$12,2)</f>
        <v>د</v>
      </c>
      <c r="R64" s="13">
        <f t="shared" si="16"/>
        <v>4</v>
      </c>
      <c r="S64" s="21">
        <v>3</v>
      </c>
      <c r="T64" s="8">
        <v>95</v>
      </c>
      <c r="U64" s="11">
        <f>VLOOKUP(T64,المرجع!$B$3:$C$12,2)</f>
        <v>5</v>
      </c>
      <c r="V64" s="23" t="str">
        <f>VLOOKUP(U64,المرجع!$D$3:$E$12,2)</f>
        <v xml:space="preserve">أ+ </v>
      </c>
      <c r="W64" s="13">
        <f t="shared" si="17"/>
        <v>15</v>
      </c>
      <c r="X64" s="21">
        <v>2</v>
      </c>
      <c r="Y64" s="8">
        <v>79</v>
      </c>
      <c r="Z64" s="11">
        <f>VLOOKUP(Y64,المرجع!$B$3:$C$12,2)</f>
        <v>3.5</v>
      </c>
      <c r="AA64" s="23" t="str">
        <f>VLOOKUP(Z64,المرجع!$D$3:$E$12,2)</f>
        <v>ج+</v>
      </c>
      <c r="AB64" s="13">
        <f t="shared" si="18"/>
        <v>7</v>
      </c>
      <c r="AC64" s="21">
        <v>3</v>
      </c>
      <c r="AD64" s="8">
        <v>50</v>
      </c>
      <c r="AE64" s="11">
        <f>VLOOKUP(AD64,المرجع!$B$3:$C$12,2)</f>
        <v>2</v>
      </c>
      <c r="AF64" s="23" t="str">
        <f>VLOOKUP(AE64,المرجع!$D$3:$E$12,2)</f>
        <v>د</v>
      </c>
      <c r="AG64" s="13">
        <f t="shared" si="19"/>
        <v>6</v>
      </c>
      <c r="AH64" s="21">
        <v>2</v>
      </c>
      <c r="AI64" s="8">
        <v>50</v>
      </c>
      <c r="AJ64" s="11">
        <f>VLOOKUP(AI64,المرجع!$B$3:$C$12,2)</f>
        <v>2</v>
      </c>
      <c r="AK64" s="23" t="str">
        <f>VLOOKUP(AJ64,المرجع!$D$3:$E$12,2)</f>
        <v>د</v>
      </c>
      <c r="AL64" s="13">
        <f t="shared" si="20"/>
        <v>4</v>
      </c>
      <c r="AM64" s="21">
        <v>3</v>
      </c>
      <c r="AN64" s="8">
        <v>53</v>
      </c>
      <c r="AO64" s="11">
        <f>VLOOKUP(AN64,المرجع!$B$3:$C$12,2)</f>
        <v>2</v>
      </c>
      <c r="AP64" s="23" t="str">
        <f>VLOOKUP(AO64,المرجع!$D$3:$E$12,2)</f>
        <v>د</v>
      </c>
      <c r="AQ64" s="13">
        <f t="shared" si="21"/>
        <v>6</v>
      </c>
      <c r="AR64" s="21">
        <v>2</v>
      </c>
      <c r="AS64" s="8">
        <v>50</v>
      </c>
      <c r="AT64" s="11">
        <f>VLOOKUP(AS64,المرجع!$B$3:$C$12,2)</f>
        <v>2</v>
      </c>
      <c r="AU64" s="23" t="str">
        <f>VLOOKUP(AT64,المرجع!$D$3:$E$12,2)</f>
        <v>د</v>
      </c>
      <c r="AV64" s="13">
        <f t="shared" si="22"/>
        <v>4</v>
      </c>
      <c r="AW64" s="21">
        <v>2</v>
      </c>
      <c r="AX64" s="8">
        <v>100</v>
      </c>
      <c r="AY64" s="11">
        <f>VLOOKUP(AX64,المرجع!$B$3:$C$12,2)</f>
        <v>5</v>
      </c>
      <c r="AZ64" s="23" t="str">
        <f>VLOOKUP(AY64,المرجع!$D$3:$E$12,2)</f>
        <v xml:space="preserve">أ+ </v>
      </c>
      <c r="BA64" s="13">
        <f t="shared" si="23"/>
        <v>10</v>
      </c>
      <c r="BB64" s="25">
        <f t="shared" si="24"/>
        <v>70.5</v>
      </c>
      <c r="BC64" s="26">
        <f t="shared" si="25"/>
        <v>22</v>
      </c>
      <c r="BD64" s="27">
        <f t="shared" si="26"/>
        <v>3.2045454545454546</v>
      </c>
      <c r="BE64" s="80">
        <f>('المستوى الأول 2022'!BL64+'المستوى الثاني 2023'!BB64)/('المستوى الثاني 2023'!BC64+'المستوى الأول 2022'!BM64)</f>
        <v>3.0333333333333332</v>
      </c>
      <c r="BF64" s="28" t="str">
        <f>VLOOKUP(BE64,المرجع!$D$3:$F$12,3)</f>
        <v xml:space="preserve">جيد </v>
      </c>
      <c r="BG64" s="29">
        <f t="shared" si="27"/>
        <v>62</v>
      </c>
    </row>
    <row r="65" spans="2:59" ht="22">
      <c r="B65" s="3">
        <v>2023099</v>
      </c>
      <c r="C65" s="5" t="s">
        <v>69</v>
      </c>
      <c r="D65" s="21">
        <v>1</v>
      </c>
      <c r="E65" s="15">
        <v>90</v>
      </c>
      <c r="F65" s="11">
        <f>VLOOKUP(E65,المرجع!$B$3:$C$12,2)</f>
        <v>4.75</v>
      </c>
      <c r="G65" s="23" t="str">
        <f>VLOOKUP(F65,المرجع!$D$3:$E$12,2)</f>
        <v>أ</v>
      </c>
      <c r="H65" s="13">
        <f t="shared" si="14"/>
        <v>4.75</v>
      </c>
      <c r="I65" s="21">
        <v>2</v>
      </c>
      <c r="J65" s="8">
        <v>70</v>
      </c>
      <c r="K65" s="11">
        <f>VLOOKUP(J65,المرجع!$B$3:$C$12,2)</f>
        <v>3</v>
      </c>
      <c r="L65" s="23" t="str">
        <f>VLOOKUP(K65,المرجع!$D$3:$E$12,2)</f>
        <v>ج</v>
      </c>
      <c r="M65" s="13">
        <f t="shared" si="15"/>
        <v>6</v>
      </c>
      <c r="N65" s="21">
        <v>2</v>
      </c>
      <c r="O65" s="8">
        <v>55</v>
      </c>
      <c r="P65" s="11">
        <f>VLOOKUP(O65,المرجع!$B$3:$C$12,2)</f>
        <v>2</v>
      </c>
      <c r="Q65" s="23" t="str">
        <f>VLOOKUP(P65,المرجع!$D$3:$E$12,2)</f>
        <v>د</v>
      </c>
      <c r="R65" s="13">
        <f t="shared" si="16"/>
        <v>4</v>
      </c>
      <c r="S65" s="21">
        <v>3</v>
      </c>
      <c r="T65" s="8">
        <v>98</v>
      </c>
      <c r="U65" s="11">
        <f>VLOOKUP(T65,المرجع!$B$3:$C$12,2)</f>
        <v>5</v>
      </c>
      <c r="V65" s="23" t="str">
        <f>VLOOKUP(U65,المرجع!$D$3:$E$12,2)</f>
        <v xml:space="preserve">أ+ </v>
      </c>
      <c r="W65" s="13">
        <f t="shared" si="17"/>
        <v>15</v>
      </c>
      <c r="X65" s="21">
        <v>2</v>
      </c>
      <c r="Y65" s="8">
        <v>85</v>
      </c>
      <c r="Z65" s="11">
        <f>VLOOKUP(Y65,المرجع!$B$3:$C$12,2)</f>
        <v>4.5</v>
      </c>
      <c r="AA65" s="23" t="str">
        <f>VLOOKUP(Z65,المرجع!$D$3:$E$12,2)</f>
        <v>ب+</v>
      </c>
      <c r="AB65" s="13">
        <f t="shared" si="18"/>
        <v>9</v>
      </c>
      <c r="AC65" s="21">
        <v>3</v>
      </c>
      <c r="AD65" s="8">
        <v>59</v>
      </c>
      <c r="AE65" s="11">
        <f>VLOOKUP(AD65,المرجع!$B$3:$C$12,2)</f>
        <v>2</v>
      </c>
      <c r="AF65" s="23" t="str">
        <f>VLOOKUP(AE65,المرجع!$D$3:$E$12,2)</f>
        <v>د</v>
      </c>
      <c r="AG65" s="13">
        <f t="shared" si="19"/>
        <v>6</v>
      </c>
      <c r="AH65" s="21">
        <v>2</v>
      </c>
      <c r="AI65" s="8">
        <v>50</v>
      </c>
      <c r="AJ65" s="11">
        <f>VLOOKUP(AI65,المرجع!$B$3:$C$12,2)</f>
        <v>2</v>
      </c>
      <c r="AK65" s="23" t="str">
        <f>VLOOKUP(AJ65,المرجع!$D$3:$E$12,2)</f>
        <v>د</v>
      </c>
      <c r="AL65" s="13">
        <f t="shared" si="20"/>
        <v>4</v>
      </c>
      <c r="AM65" s="21">
        <v>3</v>
      </c>
      <c r="AN65" s="8">
        <v>87</v>
      </c>
      <c r="AO65" s="11">
        <f>VLOOKUP(AN65,المرجع!$B$3:$C$12,2)</f>
        <v>4.5</v>
      </c>
      <c r="AP65" s="23" t="str">
        <f>VLOOKUP(AO65,المرجع!$D$3:$E$12,2)</f>
        <v>ب+</v>
      </c>
      <c r="AQ65" s="13">
        <f t="shared" si="21"/>
        <v>13.5</v>
      </c>
      <c r="AR65" s="21">
        <v>2</v>
      </c>
      <c r="AS65" s="8">
        <v>60</v>
      </c>
      <c r="AT65" s="11">
        <f>VLOOKUP(AS65,المرجع!$B$3:$C$12,2)</f>
        <v>2</v>
      </c>
      <c r="AU65" s="23" t="str">
        <f>VLOOKUP(AT65,المرجع!$D$3:$E$12,2)</f>
        <v>د</v>
      </c>
      <c r="AV65" s="13">
        <f t="shared" si="22"/>
        <v>4</v>
      </c>
      <c r="AW65" s="21">
        <v>2</v>
      </c>
      <c r="AX65" s="8">
        <v>62</v>
      </c>
      <c r="AY65" s="11">
        <f>VLOOKUP(AX65,المرجع!$B$3:$C$12,2)</f>
        <v>2</v>
      </c>
      <c r="AZ65" s="23" t="str">
        <f>VLOOKUP(AY65,المرجع!$D$3:$E$12,2)</f>
        <v>د</v>
      </c>
      <c r="BA65" s="13">
        <f t="shared" si="23"/>
        <v>4</v>
      </c>
      <c r="BB65" s="25">
        <f t="shared" si="24"/>
        <v>70.25</v>
      </c>
      <c r="BC65" s="26">
        <f t="shared" si="25"/>
        <v>22</v>
      </c>
      <c r="BD65" s="27">
        <f t="shared" si="26"/>
        <v>3.1931818181818183</v>
      </c>
      <c r="BE65" s="80">
        <f>('المستوى الأول 2022'!BL65+'المستوى الثاني 2023'!BB65)/('المستوى الثاني 2023'!BC65+'المستوى الأول 2022'!BM65)</f>
        <v>2.588888888888889</v>
      </c>
      <c r="BF65" s="28" t="str">
        <f>VLOOKUP(BE65,المرجع!$D$3:$F$12,3)</f>
        <v xml:space="preserve">مقبول مرتفع </v>
      </c>
      <c r="BG65" s="29">
        <f t="shared" si="27"/>
        <v>63</v>
      </c>
    </row>
    <row r="66" spans="2:59" ht="22">
      <c r="B66" s="3">
        <v>2023060</v>
      </c>
      <c r="C66" s="5" t="s">
        <v>76</v>
      </c>
      <c r="D66" s="21">
        <v>1</v>
      </c>
      <c r="E66" s="15">
        <v>91</v>
      </c>
      <c r="F66" s="11">
        <f>VLOOKUP(E66,المرجع!$B$3:$C$12,2)</f>
        <v>4.75</v>
      </c>
      <c r="G66" s="23" t="str">
        <f>VLOOKUP(F66,المرجع!$D$3:$E$12,2)</f>
        <v>أ</v>
      </c>
      <c r="H66" s="13">
        <f t="shared" si="14"/>
        <v>4.75</v>
      </c>
      <c r="I66" s="21">
        <v>2</v>
      </c>
      <c r="J66" s="8">
        <v>89</v>
      </c>
      <c r="K66" s="11">
        <f>VLOOKUP(J66,المرجع!$B$3:$C$12,2)</f>
        <v>4.5</v>
      </c>
      <c r="L66" s="23" t="str">
        <f>VLOOKUP(K66,المرجع!$D$3:$E$12,2)</f>
        <v>ب+</v>
      </c>
      <c r="M66" s="13">
        <f t="shared" si="15"/>
        <v>9</v>
      </c>
      <c r="N66" s="21">
        <v>2</v>
      </c>
      <c r="O66" s="8">
        <v>75</v>
      </c>
      <c r="P66" s="11">
        <f>VLOOKUP(O66,المرجع!$B$3:$C$12,2)</f>
        <v>3.5</v>
      </c>
      <c r="Q66" s="23" t="str">
        <f>VLOOKUP(P66,المرجع!$D$3:$E$12,2)</f>
        <v>ج+</v>
      </c>
      <c r="R66" s="13">
        <f t="shared" si="16"/>
        <v>7</v>
      </c>
      <c r="S66" s="21">
        <v>3</v>
      </c>
      <c r="T66" s="8">
        <v>87</v>
      </c>
      <c r="U66" s="11">
        <f>VLOOKUP(T66,المرجع!$B$3:$C$12,2)</f>
        <v>4.5</v>
      </c>
      <c r="V66" s="23" t="str">
        <f>VLOOKUP(U66,المرجع!$D$3:$E$12,2)</f>
        <v>ب+</v>
      </c>
      <c r="W66" s="13">
        <f t="shared" si="17"/>
        <v>13.5</v>
      </c>
      <c r="X66" s="21">
        <v>2</v>
      </c>
      <c r="Y66" s="8">
        <v>88</v>
      </c>
      <c r="Z66" s="11">
        <f>VLOOKUP(Y66,المرجع!$B$3:$C$12,2)</f>
        <v>4.5</v>
      </c>
      <c r="AA66" s="23" t="str">
        <f>VLOOKUP(Z66,المرجع!$D$3:$E$12,2)</f>
        <v>ب+</v>
      </c>
      <c r="AB66" s="13">
        <f t="shared" si="18"/>
        <v>9</v>
      </c>
      <c r="AC66" s="21">
        <v>3</v>
      </c>
      <c r="AD66" s="8">
        <v>56</v>
      </c>
      <c r="AE66" s="11">
        <f>VLOOKUP(AD66,المرجع!$B$3:$C$12,2)</f>
        <v>2</v>
      </c>
      <c r="AF66" s="23" t="str">
        <f>VLOOKUP(AE66,المرجع!$D$3:$E$12,2)</f>
        <v>د</v>
      </c>
      <c r="AG66" s="13">
        <f t="shared" si="19"/>
        <v>6</v>
      </c>
      <c r="AH66" s="21">
        <v>2</v>
      </c>
      <c r="AI66" s="8">
        <v>60</v>
      </c>
      <c r="AJ66" s="11">
        <f>VLOOKUP(AI66,المرجع!$B$3:$C$12,2)</f>
        <v>2</v>
      </c>
      <c r="AK66" s="23" t="str">
        <f>VLOOKUP(AJ66,المرجع!$D$3:$E$12,2)</f>
        <v>د</v>
      </c>
      <c r="AL66" s="13">
        <f t="shared" si="20"/>
        <v>4</v>
      </c>
      <c r="AM66" s="21">
        <v>3</v>
      </c>
      <c r="AN66" s="8">
        <v>50</v>
      </c>
      <c r="AO66" s="11">
        <f>VLOOKUP(AN66,المرجع!$B$3:$C$12,2)</f>
        <v>2</v>
      </c>
      <c r="AP66" s="23" t="str">
        <f>VLOOKUP(AO66,المرجع!$D$3:$E$12,2)</f>
        <v>د</v>
      </c>
      <c r="AQ66" s="13">
        <f t="shared" si="21"/>
        <v>6</v>
      </c>
      <c r="AR66" s="21">
        <v>2</v>
      </c>
      <c r="AS66" s="8">
        <v>50</v>
      </c>
      <c r="AT66" s="11">
        <f>VLOOKUP(AS66,المرجع!$B$3:$C$12,2)</f>
        <v>2</v>
      </c>
      <c r="AU66" s="23" t="str">
        <f>VLOOKUP(AT66,المرجع!$D$3:$E$12,2)</f>
        <v>د</v>
      </c>
      <c r="AV66" s="13">
        <f t="shared" si="22"/>
        <v>4</v>
      </c>
      <c r="AW66" s="21">
        <v>2</v>
      </c>
      <c r="AX66" s="8">
        <v>50</v>
      </c>
      <c r="AY66" s="11">
        <f>VLOOKUP(AX66,المرجع!$B$3:$C$12,2)</f>
        <v>2</v>
      </c>
      <c r="AZ66" s="23" t="str">
        <f>VLOOKUP(AY66,المرجع!$D$3:$E$12,2)</f>
        <v>د</v>
      </c>
      <c r="BA66" s="13">
        <f t="shared" si="23"/>
        <v>4</v>
      </c>
      <c r="BB66" s="25">
        <f t="shared" si="24"/>
        <v>67.25</v>
      </c>
      <c r="BC66" s="26">
        <f t="shared" si="25"/>
        <v>22</v>
      </c>
      <c r="BD66" s="27">
        <f t="shared" si="26"/>
        <v>3.0568181818181817</v>
      </c>
      <c r="BE66" s="80">
        <f>('المستوى الأول 2022'!BL66+'المستوى الثاني 2023'!BB66)/('المستوى الثاني 2023'!BC66+'المستوى الأول 2022'!BM66)</f>
        <v>2.5055555555555555</v>
      </c>
      <c r="BF66" s="28" t="str">
        <f>VLOOKUP(BE66,المرجع!$D$3:$F$12,3)</f>
        <v xml:space="preserve">مقبول مرتفع </v>
      </c>
      <c r="BG66" s="29">
        <f t="shared" si="27"/>
        <v>66</v>
      </c>
    </row>
    <row r="67" spans="2:59" ht="22">
      <c r="B67" s="3">
        <v>2023003</v>
      </c>
      <c r="C67" s="5" t="s">
        <v>24</v>
      </c>
      <c r="D67" s="21">
        <v>1</v>
      </c>
      <c r="E67" s="15">
        <v>81</v>
      </c>
      <c r="F67" s="11">
        <f>VLOOKUP(E67,المرجع!$B$3:$C$12,2)</f>
        <v>4</v>
      </c>
      <c r="G67" s="23" t="str">
        <f>VLOOKUP(F67,المرجع!$D$3:$E$12,2)</f>
        <v>ب</v>
      </c>
      <c r="H67" s="13">
        <f t="shared" ref="H67:H87" si="28">F67*D67</f>
        <v>4</v>
      </c>
      <c r="I67" s="21">
        <v>2</v>
      </c>
      <c r="J67" s="8">
        <v>85</v>
      </c>
      <c r="K67" s="11">
        <f>VLOOKUP(J67,المرجع!$B$3:$C$12,2)</f>
        <v>4.5</v>
      </c>
      <c r="L67" s="23" t="str">
        <f>VLOOKUP(K67,المرجع!$D$3:$E$12,2)</f>
        <v>ب+</v>
      </c>
      <c r="M67" s="13">
        <f t="shared" ref="M67:M87" si="29">K67*I67</f>
        <v>9</v>
      </c>
      <c r="N67" s="21">
        <v>2</v>
      </c>
      <c r="O67" s="8">
        <v>60</v>
      </c>
      <c r="P67" s="11">
        <f>VLOOKUP(O67,المرجع!$B$3:$C$12,2)</f>
        <v>2</v>
      </c>
      <c r="Q67" s="23" t="str">
        <f>VLOOKUP(P67,المرجع!$D$3:$E$12,2)</f>
        <v>د</v>
      </c>
      <c r="R67" s="13">
        <f t="shared" ref="R67:R87" si="30">P67*N67</f>
        <v>4</v>
      </c>
      <c r="S67" s="21">
        <v>3</v>
      </c>
      <c r="T67" s="8">
        <v>70</v>
      </c>
      <c r="U67" s="11">
        <f>VLOOKUP(T67,المرجع!$B$3:$C$12,2)</f>
        <v>3</v>
      </c>
      <c r="V67" s="23" t="str">
        <f>VLOOKUP(U67,المرجع!$D$3:$E$12,2)</f>
        <v>ج</v>
      </c>
      <c r="W67" s="13">
        <f t="shared" ref="W67:W87" si="31">U67*S67</f>
        <v>9</v>
      </c>
      <c r="X67" s="21">
        <v>2</v>
      </c>
      <c r="Y67" s="8">
        <v>71</v>
      </c>
      <c r="Z67" s="11">
        <f>VLOOKUP(Y67,المرجع!$B$3:$C$12,2)</f>
        <v>3</v>
      </c>
      <c r="AA67" s="23" t="str">
        <f>VLOOKUP(Z67,المرجع!$D$3:$E$12,2)</f>
        <v>ج</v>
      </c>
      <c r="AB67" s="13">
        <f t="shared" ref="AB67:AB87" si="32">Z67*X67</f>
        <v>6</v>
      </c>
      <c r="AC67" s="21">
        <v>3</v>
      </c>
      <c r="AD67" s="8">
        <v>50</v>
      </c>
      <c r="AE67" s="11">
        <f>VLOOKUP(AD67,المرجع!$B$3:$C$12,2)</f>
        <v>2</v>
      </c>
      <c r="AF67" s="23" t="str">
        <f>VLOOKUP(AE67,المرجع!$D$3:$E$12,2)</f>
        <v>د</v>
      </c>
      <c r="AG67" s="13">
        <f t="shared" ref="AG67:AG87" si="33">AE67*AC67</f>
        <v>6</v>
      </c>
      <c r="AH67" s="21">
        <v>2</v>
      </c>
      <c r="AI67" s="8">
        <v>50</v>
      </c>
      <c r="AJ67" s="11">
        <f>VLOOKUP(AI67,المرجع!$B$3:$C$12,2)</f>
        <v>2</v>
      </c>
      <c r="AK67" s="23" t="str">
        <f>VLOOKUP(AJ67,المرجع!$D$3:$E$12,2)</f>
        <v>د</v>
      </c>
      <c r="AL67" s="13">
        <f t="shared" ref="AL67:AL87" si="34">AJ67*AH67</f>
        <v>4</v>
      </c>
      <c r="AM67" s="21">
        <v>3</v>
      </c>
      <c r="AN67" s="8">
        <v>98</v>
      </c>
      <c r="AO67" s="11">
        <f>VLOOKUP(AN67,المرجع!$B$3:$C$12,2)</f>
        <v>5</v>
      </c>
      <c r="AP67" s="23" t="str">
        <f>VLOOKUP(AO67,المرجع!$D$3:$E$12,2)</f>
        <v xml:space="preserve">أ+ </v>
      </c>
      <c r="AQ67" s="13">
        <f t="shared" ref="AQ67:AQ87" si="35">AO67*AM67</f>
        <v>15</v>
      </c>
      <c r="AR67" s="21">
        <v>2</v>
      </c>
      <c r="AS67" s="8">
        <v>60</v>
      </c>
      <c r="AT67" s="11">
        <f>VLOOKUP(AS67,المرجع!$B$3:$C$12,2)</f>
        <v>2</v>
      </c>
      <c r="AU67" s="23" t="str">
        <f>VLOOKUP(AT67,المرجع!$D$3:$E$12,2)</f>
        <v>د</v>
      </c>
      <c r="AV67" s="13">
        <f t="shared" ref="AV67:AV87" si="36">AT67*AR67</f>
        <v>4</v>
      </c>
      <c r="AW67" s="21">
        <v>2</v>
      </c>
      <c r="AX67" s="8">
        <v>100</v>
      </c>
      <c r="AY67" s="11">
        <f>VLOOKUP(AX67,المرجع!$B$3:$C$12,2)</f>
        <v>5</v>
      </c>
      <c r="AZ67" s="23" t="str">
        <f>VLOOKUP(AY67,المرجع!$D$3:$E$12,2)</f>
        <v xml:space="preserve">أ+ </v>
      </c>
      <c r="BA67" s="13">
        <f t="shared" ref="BA67:BA87" si="37">AY67*AW67</f>
        <v>10</v>
      </c>
      <c r="BB67" s="25">
        <f t="shared" ref="BB67:BB87" si="38">BA67+AV67+AQ67+AL67+AG67+AB67+W67+R67+M67+H67</f>
        <v>71</v>
      </c>
      <c r="BC67" s="26">
        <f t="shared" ref="BC67:BC87" si="39">AW67+AR67+AM67+AH67+AC67+X67+S67+N67+I67+D67</f>
        <v>22</v>
      </c>
      <c r="BD67" s="27">
        <f t="shared" ref="BD67:BD87" si="40">BB67/BC67</f>
        <v>3.2272727272727271</v>
      </c>
      <c r="BE67" s="80">
        <f>('المستوى الأول 2022'!BL67+'المستوى الثاني 2023'!BB67)/('المستوى الثاني 2023'!BC67+'المستوى الأول 2022'!BM67)</f>
        <v>2.5055555555555555</v>
      </c>
      <c r="BF67" s="28" t="str">
        <f>VLOOKUP(BE67,المرجع!$D$3:$F$12,3)</f>
        <v xml:space="preserve">مقبول مرتفع </v>
      </c>
      <c r="BG67" s="29">
        <f t="shared" ref="BG67:BG87" si="41">RANK(BD67,$BD$3:$BD$87)</f>
        <v>61</v>
      </c>
    </row>
    <row r="68" spans="2:59" ht="22">
      <c r="B68" s="3">
        <v>2023094</v>
      </c>
      <c r="C68" s="5" t="s">
        <v>74</v>
      </c>
      <c r="D68" s="21">
        <v>1</v>
      </c>
      <c r="E68" s="15">
        <v>86</v>
      </c>
      <c r="F68" s="11">
        <f>VLOOKUP(E68,المرجع!$B$3:$C$12,2)</f>
        <v>4.5</v>
      </c>
      <c r="G68" s="23" t="str">
        <f>VLOOKUP(F68,المرجع!$D$3:$E$12,2)</f>
        <v>ب+</v>
      </c>
      <c r="H68" s="13">
        <f t="shared" si="28"/>
        <v>4.5</v>
      </c>
      <c r="I68" s="21">
        <v>2</v>
      </c>
      <c r="J68" s="8">
        <v>85</v>
      </c>
      <c r="K68" s="11">
        <f>VLOOKUP(J68,المرجع!$B$3:$C$12,2)</f>
        <v>4.5</v>
      </c>
      <c r="L68" s="23" t="str">
        <f>VLOOKUP(K68,المرجع!$D$3:$E$12,2)</f>
        <v>ب+</v>
      </c>
      <c r="M68" s="13">
        <f t="shared" si="29"/>
        <v>9</v>
      </c>
      <c r="N68" s="21">
        <v>2</v>
      </c>
      <c r="O68" s="8">
        <v>67</v>
      </c>
      <c r="P68" s="11">
        <f>VLOOKUP(O68,المرجع!$B$3:$C$12,2)</f>
        <v>2.5</v>
      </c>
      <c r="Q68" s="23" t="str">
        <f>VLOOKUP(P68,المرجع!$D$3:$E$12,2)</f>
        <v>د+</v>
      </c>
      <c r="R68" s="13">
        <f t="shared" si="30"/>
        <v>5</v>
      </c>
      <c r="S68" s="21">
        <v>3</v>
      </c>
      <c r="T68" s="8">
        <v>70</v>
      </c>
      <c r="U68" s="11">
        <f>VLOOKUP(T68,المرجع!$B$3:$C$12,2)</f>
        <v>3</v>
      </c>
      <c r="V68" s="23" t="str">
        <f>VLOOKUP(U68,المرجع!$D$3:$E$12,2)</f>
        <v>ج</v>
      </c>
      <c r="W68" s="13">
        <f t="shared" si="31"/>
        <v>9</v>
      </c>
      <c r="X68" s="21">
        <v>2</v>
      </c>
      <c r="Y68" s="8">
        <v>85</v>
      </c>
      <c r="Z68" s="11">
        <f>VLOOKUP(Y68,المرجع!$B$3:$C$12,2)</f>
        <v>4.5</v>
      </c>
      <c r="AA68" s="23" t="str">
        <f>VLOOKUP(Z68,المرجع!$D$3:$E$12,2)</f>
        <v>ب+</v>
      </c>
      <c r="AB68" s="13">
        <f t="shared" si="32"/>
        <v>9</v>
      </c>
      <c r="AC68" s="21">
        <v>3</v>
      </c>
      <c r="AD68" s="8">
        <v>60</v>
      </c>
      <c r="AE68" s="11">
        <f>VLOOKUP(AD68,المرجع!$B$3:$C$12,2)</f>
        <v>2</v>
      </c>
      <c r="AF68" s="23" t="str">
        <f>VLOOKUP(AE68,المرجع!$D$3:$E$12,2)</f>
        <v>د</v>
      </c>
      <c r="AG68" s="13">
        <f t="shared" si="33"/>
        <v>6</v>
      </c>
      <c r="AH68" s="21">
        <v>2</v>
      </c>
      <c r="AI68" s="8">
        <v>50</v>
      </c>
      <c r="AJ68" s="11">
        <f>VLOOKUP(AI68,المرجع!$B$3:$C$12,2)</f>
        <v>2</v>
      </c>
      <c r="AK68" s="23" t="str">
        <f>VLOOKUP(AJ68,المرجع!$D$3:$E$12,2)</f>
        <v>د</v>
      </c>
      <c r="AL68" s="13">
        <f t="shared" si="34"/>
        <v>4</v>
      </c>
      <c r="AM68" s="21">
        <v>3</v>
      </c>
      <c r="AN68" s="8">
        <v>81</v>
      </c>
      <c r="AO68" s="11">
        <f>VLOOKUP(AN68,المرجع!$B$3:$C$12,2)</f>
        <v>4</v>
      </c>
      <c r="AP68" s="23" t="str">
        <f>VLOOKUP(AO68,المرجع!$D$3:$E$12,2)</f>
        <v>ب</v>
      </c>
      <c r="AQ68" s="13">
        <f t="shared" si="35"/>
        <v>12</v>
      </c>
      <c r="AR68" s="21">
        <v>2</v>
      </c>
      <c r="AS68" s="8">
        <v>50</v>
      </c>
      <c r="AT68" s="11">
        <f>VLOOKUP(AS68,المرجع!$B$3:$C$12,2)</f>
        <v>2</v>
      </c>
      <c r="AU68" s="23" t="str">
        <f>VLOOKUP(AT68,المرجع!$D$3:$E$12,2)</f>
        <v>د</v>
      </c>
      <c r="AV68" s="13">
        <f t="shared" si="36"/>
        <v>4</v>
      </c>
      <c r="AW68" s="21">
        <v>2</v>
      </c>
      <c r="AX68" s="8">
        <v>55</v>
      </c>
      <c r="AY68" s="11">
        <f>VLOOKUP(AX68,المرجع!$B$3:$C$12,2)</f>
        <v>2</v>
      </c>
      <c r="AZ68" s="23" t="str">
        <f>VLOOKUP(AY68,المرجع!$D$3:$E$12,2)</f>
        <v>د</v>
      </c>
      <c r="BA68" s="13">
        <f t="shared" si="37"/>
        <v>4</v>
      </c>
      <c r="BB68" s="25">
        <f t="shared" si="38"/>
        <v>66.5</v>
      </c>
      <c r="BC68" s="26">
        <f t="shared" si="39"/>
        <v>22</v>
      </c>
      <c r="BD68" s="27">
        <f t="shared" si="40"/>
        <v>3.0227272727272729</v>
      </c>
      <c r="BE68" s="80">
        <f>('المستوى الأول 2022'!BL68+'المستوى الثاني 2023'!BB68)/('المستوى الثاني 2023'!BC68+'المستوى الأول 2022'!BM68)</f>
        <v>2.7222222222222223</v>
      </c>
      <c r="BF68" s="28" t="str">
        <f>VLOOKUP(BE68,المرجع!$D$3:$F$12,3)</f>
        <v xml:space="preserve">جيد </v>
      </c>
      <c r="BG68" s="29">
        <f t="shared" si="41"/>
        <v>67</v>
      </c>
    </row>
    <row r="69" spans="2:59" ht="22">
      <c r="B69" s="3">
        <v>2023067</v>
      </c>
      <c r="C69" s="5" t="s">
        <v>71</v>
      </c>
      <c r="D69" s="21">
        <v>1</v>
      </c>
      <c r="E69" s="15">
        <v>65</v>
      </c>
      <c r="F69" s="11">
        <f>VLOOKUP(E69,المرجع!$B$3:$C$12,2)</f>
        <v>2.5</v>
      </c>
      <c r="G69" s="23" t="str">
        <f>VLOOKUP(F69,المرجع!$D$3:$E$12,2)</f>
        <v>د+</v>
      </c>
      <c r="H69" s="13">
        <f t="shared" si="28"/>
        <v>2.5</v>
      </c>
      <c r="I69" s="21">
        <v>2</v>
      </c>
      <c r="J69" s="8">
        <v>87</v>
      </c>
      <c r="K69" s="11">
        <f>VLOOKUP(J69,المرجع!$B$3:$C$12,2)</f>
        <v>4.5</v>
      </c>
      <c r="L69" s="23" t="str">
        <f>VLOOKUP(K69,المرجع!$D$3:$E$12,2)</f>
        <v>ب+</v>
      </c>
      <c r="M69" s="13">
        <f t="shared" si="29"/>
        <v>9</v>
      </c>
      <c r="N69" s="21">
        <v>2</v>
      </c>
      <c r="O69" s="8">
        <v>69</v>
      </c>
      <c r="P69" s="11">
        <f>VLOOKUP(O69,المرجع!$B$3:$C$12,2)</f>
        <v>2.5</v>
      </c>
      <c r="Q69" s="23" t="str">
        <f>VLOOKUP(P69,المرجع!$D$3:$E$12,2)</f>
        <v>د+</v>
      </c>
      <c r="R69" s="13">
        <f t="shared" si="30"/>
        <v>5</v>
      </c>
      <c r="S69" s="21">
        <v>3</v>
      </c>
      <c r="T69" s="8">
        <v>55</v>
      </c>
      <c r="U69" s="11">
        <f>VLOOKUP(T69,المرجع!$B$3:$C$12,2)</f>
        <v>2</v>
      </c>
      <c r="V69" s="23" t="str">
        <f>VLOOKUP(U69,المرجع!$D$3:$E$12,2)</f>
        <v>د</v>
      </c>
      <c r="W69" s="13">
        <f t="shared" si="31"/>
        <v>6</v>
      </c>
      <c r="X69" s="21">
        <v>2</v>
      </c>
      <c r="Y69" s="8">
        <v>88</v>
      </c>
      <c r="Z69" s="11">
        <f>VLOOKUP(Y69,المرجع!$B$3:$C$12,2)</f>
        <v>4.5</v>
      </c>
      <c r="AA69" s="23" t="str">
        <f>VLOOKUP(Z69,المرجع!$D$3:$E$12,2)</f>
        <v>ب+</v>
      </c>
      <c r="AB69" s="13">
        <f t="shared" si="32"/>
        <v>9</v>
      </c>
      <c r="AC69" s="21">
        <v>3</v>
      </c>
      <c r="AD69" s="8">
        <v>50</v>
      </c>
      <c r="AE69" s="11">
        <f>VLOOKUP(AD69,المرجع!$B$3:$C$12,2)</f>
        <v>2</v>
      </c>
      <c r="AF69" s="23" t="str">
        <f>VLOOKUP(AE69,المرجع!$D$3:$E$12,2)</f>
        <v>د</v>
      </c>
      <c r="AG69" s="13">
        <f t="shared" si="33"/>
        <v>6</v>
      </c>
      <c r="AH69" s="21">
        <v>2</v>
      </c>
      <c r="AI69" s="8">
        <v>62</v>
      </c>
      <c r="AJ69" s="11">
        <f>VLOOKUP(AI69,المرجع!$B$3:$C$12,2)</f>
        <v>2</v>
      </c>
      <c r="AK69" s="23" t="str">
        <f>VLOOKUP(AJ69,المرجع!$D$3:$E$12,2)</f>
        <v>د</v>
      </c>
      <c r="AL69" s="13">
        <f t="shared" si="34"/>
        <v>4</v>
      </c>
      <c r="AM69" s="21">
        <v>3</v>
      </c>
      <c r="AN69" s="8">
        <v>75</v>
      </c>
      <c r="AO69" s="11">
        <f>VLOOKUP(AN69,المرجع!$B$3:$C$12,2)</f>
        <v>3.5</v>
      </c>
      <c r="AP69" s="23" t="str">
        <f>VLOOKUP(AO69,المرجع!$D$3:$E$12,2)</f>
        <v>ج+</v>
      </c>
      <c r="AQ69" s="13">
        <f t="shared" si="35"/>
        <v>10.5</v>
      </c>
      <c r="AR69" s="21">
        <v>2</v>
      </c>
      <c r="AS69" s="8">
        <v>80</v>
      </c>
      <c r="AT69" s="11">
        <f>VLOOKUP(AS69,المرجع!$B$3:$C$12,2)</f>
        <v>4</v>
      </c>
      <c r="AU69" s="23" t="str">
        <f>VLOOKUP(AT69,المرجع!$D$3:$E$12,2)</f>
        <v>ب</v>
      </c>
      <c r="AV69" s="13">
        <f t="shared" si="36"/>
        <v>8</v>
      </c>
      <c r="AW69" s="21">
        <v>2</v>
      </c>
      <c r="AX69" s="8">
        <v>71</v>
      </c>
      <c r="AY69" s="11">
        <f>VLOOKUP(AX69,المرجع!$B$3:$C$12,2)</f>
        <v>3</v>
      </c>
      <c r="AZ69" s="23" t="str">
        <f>VLOOKUP(AY69,المرجع!$D$3:$E$12,2)</f>
        <v>ج</v>
      </c>
      <c r="BA69" s="13">
        <f t="shared" si="37"/>
        <v>6</v>
      </c>
      <c r="BB69" s="25">
        <f t="shared" si="38"/>
        <v>66</v>
      </c>
      <c r="BC69" s="26">
        <f t="shared" si="39"/>
        <v>22</v>
      </c>
      <c r="BD69" s="27">
        <f t="shared" si="40"/>
        <v>3</v>
      </c>
      <c r="BE69" s="80">
        <f>('المستوى الأول 2022'!BL69+'المستوى الثاني 2023'!BB69)/('المستوى الثاني 2023'!BC69+'المستوى الأول 2022'!BM69)</f>
        <v>2.6</v>
      </c>
      <c r="BF69" s="28" t="str">
        <f>VLOOKUP(BE69,المرجع!$D$3:$F$12,3)</f>
        <v xml:space="preserve">جيد </v>
      </c>
      <c r="BG69" s="29">
        <f t="shared" si="41"/>
        <v>68</v>
      </c>
    </row>
    <row r="70" spans="2:59" ht="22">
      <c r="B70" s="3">
        <v>2023088</v>
      </c>
      <c r="C70" s="5" t="s">
        <v>73</v>
      </c>
      <c r="D70" s="21">
        <v>1</v>
      </c>
      <c r="E70" s="15">
        <v>93</v>
      </c>
      <c r="F70" s="11">
        <f>VLOOKUP(E70,المرجع!$B$3:$C$12,2)</f>
        <v>4.75</v>
      </c>
      <c r="G70" s="23" t="str">
        <f>VLOOKUP(F70,المرجع!$D$3:$E$12,2)</f>
        <v>أ</v>
      </c>
      <c r="H70" s="13">
        <f t="shared" si="28"/>
        <v>4.75</v>
      </c>
      <c r="I70" s="21">
        <v>2</v>
      </c>
      <c r="J70" s="8">
        <v>79</v>
      </c>
      <c r="K70" s="11">
        <f>VLOOKUP(J70,المرجع!$B$3:$C$12,2)</f>
        <v>3.5</v>
      </c>
      <c r="L70" s="23" t="str">
        <f>VLOOKUP(K70,المرجع!$D$3:$E$12,2)</f>
        <v>ج+</v>
      </c>
      <c r="M70" s="13">
        <f t="shared" si="29"/>
        <v>7</v>
      </c>
      <c r="N70" s="21">
        <v>2</v>
      </c>
      <c r="O70" s="8">
        <v>62</v>
      </c>
      <c r="P70" s="11">
        <f>VLOOKUP(O70,المرجع!$B$3:$C$12,2)</f>
        <v>2</v>
      </c>
      <c r="Q70" s="23" t="str">
        <f>VLOOKUP(P70,المرجع!$D$3:$E$12,2)</f>
        <v>د</v>
      </c>
      <c r="R70" s="13">
        <f t="shared" si="30"/>
        <v>4</v>
      </c>
      <c r="S70" s="21">
        <v>3</v>
      </c>
      <c r="T70" s="8">
        <v>90</v>
      </c>
      <c r="U70" s="11">
        <f>VLOOKUP(T70,المرجع!$B$3:$C$12,2)</f>
        <v>4.75</v>
      </c>
      <c r="V70" s="23" t="str">
        <f>VLOOKUP(U70,المرجع!$D$3:$E$12,2)</f>
        <v>أ</v>
      </c>
      <c r="W70" s="13">
        <f t="shared" si="31"/>
        <v>14.25</v>
      </c>
      <c r="X70" s="21">
        <v>2</v>
      </c>
      <c r="Y70" s="8">
        <v>82</v>
      </c>
      <c r="Z70" s="11">
        <f>VLOOKUP(Y70,المرجع!$B$3:$C$12,2)</f>
        <v>4</v>
      </c>
      <c r="AA70" s="23" t="str">
        <f>VLOOKUP(Z70,المرجع!$D$3:$E$12,2)</f>
        <v>ب</v>
      </c>
      <c r="AB70" s="13">
        <f t="shared" si="32"/>
        <v>8</v>
      </c>
      <c r="AC70" s="21">
        <v>3</v>
      </c>
      <c r="AD70" s="8">
        <v>50</v>
      </c>
      <c r="AE70" s="11">
        <f>VLOOKUP(AD70,المرجع!$B$3:$C$12,2)</f>
        <v>2</v>
      </c>
      <c r="AF70" s="23" t="str">
        <f>VLOOKUP(AE70,المرجع!$D$3:$E$12,2)</f>
        <v>د</v>
      </c>
      <c r="AG70" s="13">
        <f t="shared" si="33"/>
        <v>6</v>
      </c>
      <c r="AH70" s="21">
        <v>2</v>
      </c>
      <c r="AI70" s="8">
        <v>70</v>
      </c>
      <c r="AJ70" s="11">
        <f>VLOOKUP(AI70,المرجع!$B$3:$C$12,2)</f>
        <v>3</v>
      </c>
      <c r="AK70" s="23" t="str">
        <f>VLOOKUP(AJ70,المرجع!$D$3:$E$12,2)</f>
        <v>ج</v>
      </c>
      <c r="AL70" s="13">
        <f t="shared" si="34"/>
        <v>6</v>
      </c>
      <c r="AM70" s="21">
        <v>3</v>
      </c>
      <c r="AN70" s="8">
        <v>63</v>
      </c>
      <c r="AO70" s="11">
        <f>VLOOKUP(AN70,المرجع!$B$3:$C$12,2)</f>
        <v>2</v>
      </c>
      <c r="AP70" s="23" t="str">
        <f>VLOOKUP(AO70,المرجع!$D$3:$E$12,2)</f>
        <v>د</v>
      </c>
      <c r="AQ70" s="13">
        <f t="shared" si="35"/>
        <v>6</v>
      </c>
      <c r="AR70" s="21">
        <v>2</v>
      </c>
      <c r="AS70" s="8">
        <v>50</v>
      </c>
      <c r="AT70" s="11">
        <f>VLOOKUP(AS70,المرجع!$B$3:$C$12,2)</f>
        <v>2</v>
      </c>
      <c r="AU70" s="23" t="str">
        <f>VLOOKUP(AT70,المرجع!$D$3:$E$12,2)</f>
        <v>د</v>
      </c>
      <c r="AV70" s="13">
        <f t="shared" si="36"/>
        <v>4</v>
      </c>
      <c r="AW70" s="21">
        <v>2</v>
      </c>
      <c r="AX70" s="8">
        <v>63</v>
      </c>
      <c r="AY70" s="11">
        <f>VLOOKUP(AX70,المرجع!$B$3:$C$12,2)</f>
        <v>2</v>
      </c>
      <c r="AZ70" s="23" t="str">
        <f>VLOOKUP(AY70,المرجع!$D$3:$E$12,2)</f>
        <v>د</v>
      </c>
      <c r="BA70" s="13">
        <f t="shared" si="37"/>
        <v>4</v>
      </c>
      <c r="BB70" s="25">
        <f t="shared" si="38"/>
        <v>64</v>
      </c>
      <c r="BC70" s="26">
        <f t="shared" si="39"/>
        <v>22</v>
      </c>
      <c r="BD70" s="27">
        <f t="shared" si="40"/>
        <v>2.9090909090909092</v>
      </c>
      <c r="BE70" s="80">
        <f>('المستوى الأول 2022'!BL70+'المستوى الثاني 2023'!BB70)/('المستوى الثاني 2023'!BC70+'المستوى الأول 2022'!BM70)</f>
        <v>2.4777777777777779</v>
      </c>
      <c r="BF70" s="28" t="str">
        <f>VLOOKUP(BE70,المرجع!$D$3:$F$12,3)</f>
        <v xml:space="preserve">مقبول مرتفع </v>
      </c>
      <c r="BG70" s="29">
        <f t="shared" si="41"/>
        <v>69</v>
      </c>
    </row>
    <row r="71" spans="2:59" ht="22">
      <c r="B71" s="3">
        <v>2023064</v>
      </c>
      <c r="C71" s="5" t="s">
        <v>77</v>
      </c>
      <c r="D71" s="21">
        <v>1</v>
      </c>
      <c r="E71" s="15">
        <v>64</v>
      </c>
      <c r="F71" s="11">
        <f>VLOOKUP(E71,المرجع!$B$3:$C$12,2)</f>
        <v>2</v>
      </c>
      <c r="G71" s="23" t="str">
        <f>VLOOKUP(F71,المرجع!$D$3:$E$12,2)</f>
        <v>د</v>
      </c>
      <c r="H71" s="13">
        <f t="shared" si="28"/>
        <v>2</v>
      </c>
      <c r="I71" s="21">
        <v>2</v>
      </c>
      <c r="J71" s="8">
        <v>90</v>
      </c>
      <c r="K71" s="11">
        <f>VLOOKUP(J71,المرجع!$B$3:$C$12,2)</f>
        <v>4.75</v>
      </c>
      <c r="L71" s="23" t="str">
        <f>VLOOKUP(K71,المرجع!$D$3:$E$12,2)</f>
        <v>أ</v>
      </c>
      <c r="M71" s="13">
        <f t="shared" si="29"/>
        <v>9.5</v>
      </c>
      <c r="N71" s="21">
        <v>2</v>
      </c>
      <c r="O71" s="8">
        <v>54</v>
      </c>
      <c r="P71" s="11">
        <f>VLOOKUP(O71,المرجع!$B$3:$C$12,2)</f>
        <v>2</v>
      </c>
      <c r="Q71" s="23" t="str">
        <f>VLOOKUP(P71,المرجع!$D$3:$E$12,2)</f>
        <v>د</v>
      </c>
      <c r="R71" s="13">
        <f t="shared" si="30"/>
        <v>4</v>
      </c>
      <c r="S71" s="21">
        <v>3</v>
      </c>
      <c r="T71" s="8">
        <v>85</v>
      </c>
      <c r="U71" s="11">
        <f>VLOOKUP(T71,المرجع!$B$3:$C$12,2)</f>
        <v>4.5</v>
      </c>
      <c r="V71" s="23" t="str">
        <f>VLOOKUP(U71,المرجع!$D$3:$E$12,2)</f>
        <v>ب+</v>
      </c>
      <c r="W71" s="13">
        <f t="shared" si="31"/>
        <v>13.5</v>
      </c>
      <c r="X71" s="21">
        <v>2</v>
      </c>
      <c r="Y71" s="8">
        <v>63</v>
      </c>
      <c r="Z71" s="11">
        <f>VLOOKUP(Y71,المرجع!$B$3:$C$12,2)</f>
        <v>2</v>
      </c>
      <c r="AA71" s="23" t="str">
        <f>VLOOKUP(Z71,المرجع!$D$3:$E$12,2)</f>
        <v>د</v>
      </c>
      <c r="AB71" s="13">
        <f t="shared" si="32"/>
        <v>4</v>
      </c>
      <c r="AC71" s="21">
        <v>3</v>
      </c>
      <c r="AD71" s="8">
        <v>50</v>
      </c>
      <c r="AE71" s="11">
        <f>VLOOKUP(AD71,المرجع!$B$3:$C$12,2)</f>
        <v>2</v>
      </c>
      <c r="AF71" s="23" t="str">
        <f>VLOOKUP(AE71,المرجع!$D$3:$E$12,2)</f>
        <v>د</v>
      </c>
      <c r="AG71" s="13">
        <f t="shared" si="33"/>
        <v>6</v>
      </c>
      <c r="AH71" s="21">
        <v>2</v>
      </c>
      <c r="AI71" s="8">
        <v>68</v>
      </c>
      <c r="AJ71" s="11">
        <f>VLOOKUP(AI71,المرجع!$B$3:$C$12,2)</f>
        <v>2.5</v>
      </c>
      <c r="AK71" s="23" t="str">
        <f>VLOOKUP(AJ71,المرجع!$D$3:$E$12,2)</f>
        <v>د+</v>
      </c>
      <c r="AL71" s="13">
        <f t="shared" si="34"/>
        <v>5</v>
      </c>
      <c r="AM71" s="21">
        <v>3</v>
      </c>
      <c r="AN71" s="8">
        <v>75</v>
      </c>
      <c r="AO71" s="11">
        <f>VLOOKUP(AN71,المرجع!$B$3:$C$12,2)</f>
        <v>3.5</v>
      </c>
      <c r="AP71" s="23" t="str">
        <f>VLOOKUP(AO71,المرجع!$D$3:$E$12,2)</f>
        <v>ج+</v>
      </c>
      <c r="AQ71" s="13">
        <f t="shared" si="35"/>
        <v>10.5</v>
      </c>
      <c r="AR71" s="21">
        <v>2</v>
      </c>
      <c r="AS71" s="8">
        <v>50</v>
      </c>
      <c r="AT71" s="11">
        <f>VLOOKUP(AS71,المرجع!$B$3:$C$12,2)</f>
        <v>2</v>
      </c>
      <c r="AU71" s="23" t="str">
        <f>VLOOKUP(AT71,المرجع!$D$3:$E$12,2)</f>
        <v>د</v>
      </c>
      <c r="AV71" s="13">
        <f t="shared" si="36"/>
        <v>4</v>
      </c>
      <c r="AW71" s="21">
        <v>2</v>
      </c>
      <c r="AX71" s="8">
        <v>90</v>
      </c>
      <c r="AY71" s="11">
        <f>VLOOKUP(AX71,المرجع!$B$3:$C$12,2)</f>
        <v>4.75</v>
      </c>
      <c r="AZ71" s="23" t="str">
        <f>VLOOKUP(AY71,المرجع!$D$3:$E$12,2)</f>
        <v>أ</v>
      </c>
      <c r="BA71" s="13">
        <f t="shared" si="37"/>
        <v>9.5</v>
      </c>
      <c r="BB71" s="25">
        <f t="shared" si="38"/>
        <v>68</v>
      </c>
      <c r="BC71" s="26">
        <f t="shared" si="39"/>
        <v>22</v>
      </c>
      <c r="BD71" s="27">
        <f t="shared" si="40"/>
        <v>3.0909090909090908</v>
      </c>
      <c r="BE71" s="80">
        <f>('المستوى الأول 2022'!BL71+'المستوى الثاني 2023'!BB71)/('المستوى الثاني 2023'!BC71+'المستوى الأول 2022'!BM71)</f>
        <v>2.3888888888888888</v>
      </c>
      <c r="BF71" s="28" t="str">
        <f>VLOOKUP(BE71,المرجع!$D$3:$F$12,3)</f>
        <v xml:space="preserve">مقبول مرتفع </v>
      </c>
      <c r="BG71" s="29">
        <f t="shared" si="41"/>
        <v>65</v>
      </c>
    </row>
    <row r="72" spans="2:59" ht="22">
      <c r="B72" s="3">
        <v>2023052</v>
      </c>
      <c r="C72" s="5" t="s">
        <v>28</v>
      </c>
      <c r="D72" s="21">
        <v>1</v>
      </c>
      <c r="E72" s="15">
        <v>61</v>
      </c>
      <c r="F72" s="11">
        <f>VLOOKUP(E72,المرجع!$B$3:$C$12,2)</f>
        <v>2</v>
      </c>
      <c r="G72" s="23" t="str">
        <f>VLOOKUP(F72,المرجع!$D$3:$E$12,2)</f>
        <v>د</v>
      </c>
      <c r="H72" s="13">
        <f t="shared" si="28"/>
        <v>2</v>
      </c>
      <c r="I72" s="21">
        <v>2</v>
      </c>
      <c r="J72" s="8">
        <v>75</v>
      </c>
      <c r="K72" s="11">
        <f>VLOOKUP(J72,المرجع!$B$3:$C$12,2)</f>
        <v>3.5</v>
      </c>
      <c r="L72" s="23" t="str">
        <f>VLOOKUP(K72,المرجع!$D$3:$E$12,2)</f>
        <v>ج+</v>
      </c>
      <c r="M72" s="13">
        <f t="shared" si="29"/>
        <v>7</v>
      </c>
      <c r="N72" s="21">
        <v>2</v>
      </c>
      <c r="O72" s="8">
        <v>80</v>
      </c>
      <c r="P72" s="11">
        <f>VLOOKUP(O72,المرجع!$B$3:$C$12,2)</f>
        <v>4</v>
      </c>
      <c r="Q72" s="23" t="str">
        <f>VLOOKUP(P72,المرجع!$D$3:$E$12,2)</f>
        <v>ب</v>
      </c>
      <c r="R72" s="13">
        <f t="shared" si="30"/>
        <v>8</v>
      </c>
      <c r="S72" s="21">
        <v>3</v>
      </c>
      <c r="T72" s="8">
        <v>80</v>
      </c>
      <c r="U72" s="11">
        <f>VLOOKUP(T72,المرجع!$B$3:$C$12,2)</f>
        <v>4</v>
      </c>
      <c r="V72" s="23" t="str">
        <f>VLOOKUP(U72,المرجع!$D$3:$E$12,2)</f>
        <v>ب</v>
      </c>
      <c r="W72" s="13">
        <f t="shared" si="31"/>
        <v>12</v>
      </c>
      <c r="X72" s="21">
        <v>2</v>
      </c>
      <c r="Y72" s="8">
        <v>78</v>
      </c>
      <c r="Z72" s="11">
        <f>VLOOKUP(Y72,المرجع!$B$3:$C$12,2)</f>
        <v>3.5</v>
      </c>
      <c r="AA72" s="23" t="str">
        <f>VLOOKUP(Z72,المرجع!$D$3:$E$12,2)</f>
        <v>ج+</v>
      </c>
      <c r="AB72" s="13">
        <f t="shared" si="32"/>
        <v>7</v>
      </c>
      <c r="AC72" s="21">
        <v>3</v>
      </c>
      <c r="AD72" s="8">
        <v>50</v>
      </c>
      <c r="AE72" s="11">
        <f>VLOOKUP(AD72,المرجع!$B$3:$C$12,2)</f>
        <v>2</v>
      </c>
      <c r="AF72" s="23" t="str">
        <f>VLOOKUP(AE72,المرجع!$D$3:$E$12,2)</f>
        <v>د</v>
      </c>
      <c r="AG72" s="13">
        <f t="shared" si="33"/>
        <v>6</v>
      </c>
      <c r="AH72" s="21">
        <v>2</v>
      </c>
      <c r="AI72" s="8">
        <v>58</v>
      </c>
      <c r="AJ72" s="11">
        <f>VLOOKUP(AI72,المرجع!$B$3:$C$12,2)</f>
        <v>2</v>
      </c>
      <c r="AK72" s="23" t="str">
        <f>VLOOKUP(AJ72,المرجع!$D$3:$E$12,2)</f>
        <v>د</v>
      </c>
      <c r="AL72" s="13">
        <f t="shared" si="34"/>
        <v>4</v>
      </c>
      <c r="AM72" s="21">
        <v>3</v>
      </c>
      <c r="AN72" s="8">
        <v>50</v>
      </c>
      <c r="AO72" s="11">
        <f>VLOOKUP(AN72,المرجع!$B$3:$C$12,2)</f>
        <v>2</v>
      </c>
      <c r="AP72" s="23" t="str">
        <f>VLOOKUP(AO72,المرجع!$D$3:$E$12,2)</f>
        <v>د</v>
      </c>
      <c r="AQ72" s="13">
        <f t="shared" si="35"/>
        <v>6</v>
      </c>
      <c r="AR72" s="21">
        <v>2</v>
      </c>
      <c r="AS72" s="8">
        <v>70</v>
      </c>
      <c r="AT72" s="11">
        <f>VLOOKUP(AS72,المرجع!$B$3:$C$12,2)</f>
        <v>3</v>
      </c>
      <c r="AU72" s="23" t="str">
        <f>VLOOKUP(AT72,المرجع!$D$3:$E$12,2)</f>
        <v>ج</v>
      </c>
      <c r="AV72" s="13">
        <f t="shared" si="36"/>
        <v>6</v>
      </c>
      <c r="AW72" s="21">
        <v>2</v>
      </c>
      <c r="AX72" s="8">
        <v>66</v>
      </c>
      <c r="AY72" s="11">
        <f>VLOOKUP(AX72,المرجع!$B$3:$C$12,2)</f>
        <v>2.5</v>
      </c>
      <c r="AZ72" s="23" t="str">
        <f>VLOOKUP(AY72,المرجع!$D$3:$E$12,2)</f>
        <v>د+</v>
      </c>
      <c r="BA72" s="13">
        <f t="shared" si="37"/>
        <v>5</v>
      </c>
      <c r="BB72" s="25">
        <f t="shared" si="38"/>
        <v>63</v>
      </c>
      <c r="BC72" s="26">
        <f t="shared" si="39"/>
        <v>22</v>
      </c>
      <c r="BD72" s="27">
        <f t="shared" si="40"/>
        <v>2.8636363636363638</v>
      </c>
      <c r="BE72" s="80">
        <f>('المستوى الأول 2022'!BL72+'المستوى الثاني 2023'!BB72)/('المستوى الثاني 2023'!BC72+'المستوى الأول 2022'!BM72)</f>
        <v>2.6166666666666667</v>
      </c>
      <c r="BF72" s="28" t="str">
        <f>VLOOKUP(BE72,المرجع!$D$3:$F$12,3)</f>
        <v xml:space="preserve">جيد </v>
      </c>
      <c r="BG72" s="29">
        <f t="shared" si="41"/>
        <v>70</v>
      </c>
    </row>
    <row r="73" spans="2:59" ht="22">
      <c r="B73" s="3">
        <v>2023103</v>
      </c>
      <c r="C73" s="5" t="s">
        <v>75</v>
      </c>
      <c r="D73" s="21">
        <v>1</v>
      </c>
      <c r="E73" s="15">
        <v>50</v>
      </c>
      <c r="F73" s="11">
        <f>VLOOKUP(E73,المرجع!$B$3:$C$12,2)</f>
        <v>2</v>
      </c>
      <c r="G73" s="23" t="str">
        <f>VLOOKUP(F73,المرجع!$D$3:$E$12,2)</f>
        <v>د</v>
      </c>
      <c r="H73" s="13">
        <f t="shared" si="28"/>
        <v>2</v>
      </c>
      <c r="I73" s="21">
        <v>2</v>
      </c>
      <c r="J73" s="8">
        <v>88</v>
      </c>
      <c r="K73" s="11">
        <f>VLOOKUP(J73,المرجع!$B$3:$C$12,2)</f>
        <v>4.5</v>
      </c>
      <c r="L73" s="23" t="str">
        <f>VLOOKUP(K73,المرجع!$D$3:$E$12,2)</f>
        <v>ب+</v>
      </c>
      <c r="M73" s="13">
        <f t="shared" si="29"/>
        <v>9</v>
      </c>
      <c r="N73" s="21">
        <v>2</v>
      </c>
      <c r="O73" s="8">
        <v>56</v>
      </c>
      <c r="P73" s="11">
        <f>VLOOKUP(O73,المرجع!$B$3:$C$12,2)</f>
        <v>2</v>
      </c>
      <c r="Q73" s="23" t="str">
        <f>VLOOKUP(P73,المرجع!$D$3:$E$12,2)</f>
        <v>د</v>
      </c>
      <c r="R73" s="13">
        <f t="shared" si="30"/>
        <v>4</v>
      </c>
      <c r="S73" s="21">
        <v>3</v>
      </c>
      <c r="T73" s="8">
        <v>85</v>
      </c>
      <c r="U73" s="11">
        <f>VLOOKUP(T73,المرجع!$B$3:$C$12,2)</f>
        <v>4.5</v>
      </c>
      <c r="V73" s="23" t="str">
        <f>VLOOKUP(U73,المرجع!$D$3:$E$12,2)</f>
        <v>ب+</v>
      </c>
      <c r="W73" s="13">
        <f t="shared" si="31"/>
        <v>13.5</v>
      </c>
      <c r="X73" s="21">
        <v>2</v>
      </c>
      <c r="Y73" s="8">
        <v>85</v>
      </c>
      <c r="Z73" s="11">
        <f>VLOOKUP(Y73,المرجع!$B$3:$C$12,2)</f>
        <v>4.5</v>
      </c>
      <c r="AA73" s="23" t="str">
        <f>VLOOKUP(Z73,المرجع!$D$3:$E$12,2)</f>
        <v>ب+</v>
      </c>
      <c r="AB73" s="13">
        <f t="shared" si="32"/>
        <v>9</v>
      </c>
      <c r="AC73" s="21">
        <v>3</v>
      </c>
      <c r="AD73" s="8">
        <v>39</v>
      </c>
      <c r="AE73" s="11">
        <f>VLOOKUP(AD73,المرجع!$B$3:$C$12,2)</f>
        <v>0</v>
      </c>
      <c r="AF73" s="23" t="str">
        <f>VLOOKUP(AE73,المرجع!$D$3:$E$12,2)</f>
        <v>ه</v>
      </c>
      <c r="AG73" s="13">
        <f t="shared" si="33"/>
        <v>0</v>
      </c>
      <c r="AH73" s="21">
        <v>2</v>
      </c>
      <c r="AI73" s="8">
        <v>52</v>
      </c>
      <c r="AJ73" s="11">
        <f>VLOOKUP(AI73,المرجع!$B$3:$C$12,2)</f>
        <v>2</v>
      </c>
      <c r="AK73" s="23" t="str">
        <f>VLOOKUP(AJ73,المرجع!$D$3:$E$12,2)</f>
        <v>د</v>
      </c>
      <c r="AL73" s="13">
        <f t="shared" si="34"/>
        <v>4</v>
      </c>
      <c r="AM73" s="21">
        <v>3</v>
      </c>
      <c r="AN73" s="8">
        <v>60</v>
      </c>
      <c r="AO73" s="11">
        <f>VLOOKUP(AN73,المرجع!$B$3:$C$12,2)</f>
        <v>2</v>
      </c>
      <c r="AP73" s="23" t="str">
        <f>VLOOKUP(AO73,المرجع!$D$3:$E$12,2)</f>
        <v>د</v>
      </c>
      <c r="AQ73" s="13">
        <f t="shared" si="35"/>
        <v>6</v>
      </c>
      <c r="AR73" s="21">
        <v>2</v>
      </c>
      <c r="AS73" s="8">
        <v>60</v>
      </c>
      <c r="AT73" s="11">
        <f>VLOOKUP(AS73,المرجع!$B$3:$C$12,2)</f>
        <v>2</v>
      </c>
      <c r="AU73" s="23" t="str">
        <f>VLOOKUP(AT73,المرجع!$D$3:$E$12,2)</f>
        <v>د</v>
      </c>
      <c r="AV73" s="13">
        <f t="shared" si="36"/>
        <v>4</v>
      </c>
      <c r="AW73" s="21">
        <v>2</v>
      </c>
      <c r="AX73" s="8">
        <v>92</v>
      </c>
      <c r="AY73" s="11">
        <f>VLOOKUP(AX73,المرجع!$B$3:$C$12,2)</f>
        <v>4.75</v>
      </c>
      <c r="AZ73" s="23" t="str">
        <f>VLOOKUP(AY73,المرجع!$D$3:$E$12,2)</f>
        <v>أ</v>
      </c>
      <c r="BA73" s="13">
        <f t="shared" si="37"/>
        <v>9.5</v>
      </c>
      <c r="BB73" s="25">
        <f t="shared" si="38"/>
        <v>61</v>
      </c>
      <c r="BC73" s="26">
        <f t="shared" si="39"/>
        <v>22</v>
      </c>
      <c r="BD73" s="27">
        <f t="shared" si="40"/>
        <v>2.7727272727272729</v>
      </c>
      <c r="BE73" s="80">
        <f>('المستوى الأول 2022'!BL73+'المستوى الثاني 2023'!BB73)/('المستوى الثاني 2023'!BC73+'المستوى الأول 2022'!BM73)</f>
        <v>2.7833333333333332</v>
      </c>
      <c r="BF73" s="28" t="str">
        <f>VLOOKUP(BE73,المرجع!$D$3:$F$12,3)</f>
        <v xml:space="preserve">جيد </v>
      </c>
      <c r="BG73" s="29">
        <f t="shared" si="41"/>
        <v>71</v>
      </c>
    </row>
    <row r="74" spans="2:59" ht="22">
      <c r="B74" s="3">
        <v>2023093</v>
      </c>
      <c r="C74" s="5" t="s">
        <v>78</v>
      </c>
      <c r="D74" s="21">
        <v>1</v>
      </c>
      <c r="E74" s="15">
        <v>85</v>
      </c>
      <c r="F74" s="11">
        <f>VLOOKUP(E74,المرجع!$B$3:$C$12,2)</f>
        <v>4.5</v>
      </c>
      <c r="G74" s="23" t="str">
        <f>VLOOKUP(F74,المرجع!$D$3:$E$12,2)</f>
        <v>ب+</v>
      </c>
      <c r="H74" s="13">
        <f t="shared" si="28"/>
        <v>4.5</v>
      </c>
      <c r="I74" s="21">
        <v>2</v>
      </c>
      <c r="J74" s="8">
        <v>79</v>
      </c>
      <c r="K74" s="11">
        <f>VLOOKUP(J74,المرجع!$B$3:$C$12,2)</f>
        <v>3.5</v>
      </c>
      <c r="L74" s="23" t="str">
        <f>VLOOKUP(K74,المرجع!$D$3:$E$12,2)</f>
        <v>ج+</v>
      </c>
      <c r="M74" s="13">
        <f t="shared" si="29"/>
        <v>7</v>
      </c>
      <c r="N74" s="21">
        <v>2</v>
      </c>
      <c r="O74" s="8">
        <v>69</v>
      </c>
      <c r="P74" s="11">
        <f>VLOOKUP(O74,المرجع!$B$3:$C$12,2)</f>
        <v>2.5</v>
      </c>
      <c r="Q74" s="23" t="str">
        <f>VLOOKUP(P74,المرجع!$D$3:$E$12,2)</f>
        <v>د+</v>
      </c>
      <c r="R74" s="13">
        <f t="shared" si="30"/>
        <v>5</v>
      </c>
      <c r="S74" s="21">
        <v>3</v>
      </c>
      <c r="T74" s="8">
        <v>88</v>
      </c>
      <c r="U74" s="11">
        <f>VLOOKUP(T74,المرجع!$B$3:$C$12,2)</f>
        <v>4.5</v>
      </c>
      <c r="V74" s="23" t="str">
        <f>VLOOKUP(U74,المرجع!$D$3:$E$12,2)</f>
        <v>ب+</v>
      </c>
      <c r="W74" s="13">
        <f t="shared" si="31"/>
        <v>13.5</v>
      </c>
      <c r="X74" s="21">
        <v>2</v>
      </c>
      <c r="Y74" s="8">
        <v>58</v>
      </c>
      <c r="Z74" s="11">
        <f>VLOOKUP(Y74,المرجع!$B$3:$C$12,2)</f>
        <v>2</v>
      </c>
      <c r="AA74" s="23" t="str">
        <f>VLOOKUP(Z74,المرجع!$D$3:$E$12,2)</f>
        <v>د</v>
      </c>
      <c r="AB74" s="13">
        <f t="shared" si="32"/>
        <v>4</v>
      </c>
      <c r="AC74" s="21">
        <v>3</v>
      </c>
      <c r="AD74" s="8">
        <v>50</v>
      </c>
      <c r="AE74" s="11">
        <f>VLOOKUP(AD74,المرجع!$B$3:$C$12,2)</f>
        <v>2</v>
      </c>
      <c r="AF74" s="23" t="str">
        <f>VLOOKUP(AE74,المرجع!$D$3:$E$12,2)</f>
        <v>د</v>
      </c>
      <c r="AG74" s="13">
        <f t="shared" si="33"/>
        <v>6</v>
      </c>
      <c r="AH74" s="21">
        <v>2</v>
      </c>
      <c r="AI74" s="8">
        <v>50</v>
      </c>
      <c r="AJ74" s="11">
        <f>VLOOKUP(AI74,المرجع!$B$3:$C$12,2)</f>
        <v>2</v>
      </c>
      <c r="AK74" s="23" t="str">
        <f>VLOOKUP(AJ74,المرجع!$D$3:$E$12,2)</f>
        <v>د</v>
      </c>
      <c r="AL74" s="13">
        <f t="shared" si="34"/>
        <v>4</v>
      </c>
      <c r="AM74" s="21">
        <v>3</v>
      </c>
      <c r="AN74" s="8">
        <v>60</v>
      </c>
      <c r="AO74" s="11">
        <f>VLOOKUP(AN74,المرجع!$B$3:$C$12,2)</f>
        <v>2</v>
      </c>
      <c r="AP74" s="23" t="str">
        <f>VLOOKUP(AO74,المرجع!$D$3:$E$12,2)</f>
        <v>د</v>
      </c>
      <c r="AQ74" s="13">
        <f t="shared" si="35"/>
        <v>6</v>
      </c>
      <c r="AR74" s="21">
        <v>2</v>
      </c>
      <c r="AS74" s="8">
        <v>60</v>
      </c>
      <c r="AT74" s="11">
        <f>VLOOKUP(AS74,المرجع!$B$3:$C$12,2)</f>
        <v>2</v>
      </c>
      <c r="AU74" s="23" t="str">
        <f>VLOOKUP(AT74,المرجع!$D$3:$E$12,2)</f>
        <v>د</v>
      </c>
      <c r="AV74" s="13">
        <f t="shared" si="36"/>
        <v>4</v>
      </c>
      <c r="AW74" s="21">
        <v>2</v>
      </c>
      <c r="AX74" s="8">
        <v>50</v>
      </c>
      <c r="AY74" s="11">
        <f>VLOOKUP(AX74,المرجع!$B$3:$C$12,2)</f>
        <v>2</v>
      </c>
      <c r="AZ74" s="23" t="str">
        <f>VLOOKUP(AY74,المرجع!$D$3:$E$12,2)</f>
        <v>د</v>
      </c>
      <c r="BA74" s="13">
        <f t="shared" si="37"/>
        <v>4</v>
      </c>
      <c r="BB74" s="25">
        <f t="shared" si="38"/>
        <v>58</v>
      </c>
      <c r="BC74" s="26">
        <f t="shared" si="39"/>
        <v>22</v>
      </c>
      <c r="BD74" s="27">
        <f t="shared" si="40"/>
        <v>2.6363636363636362</v>
      </c>
      <c r="BE74" s="80">
        <f>('المستوى الأول 2022'!BL74+'المستوى الثاني 2023'!BB74)/('المستوى الثاني 2023'!BC74+'المستوى الأول 2022'!BM74)</f>
        <v>2.3222222222222224</v>
      </c>
      <c r="BF74" s="28" t="str">
        <f>VLOOKUP(BE74,المرجع!$D$3:$F$12,3)</f>
        <v xml:space="preserve">مقبول مرتفع </v>
      </c>
      <c r="BG74" s="29">
        <f t="shared" si="41"/>
        <v>73</v>
      </c>
    </row>
    <row r="75" spans="2:59" ht="22">
      <c r="B75" s="3">
        <v>2023076</v>
      </c>
      <c r="C75" s="5" t="s">
        <v>82</v>
      </c>
      <c r="D75" s="21">
        <v>1</v>
      </c>
      <c r="E75" s="15">
        <v>69</v>
      </c>
      <c r="F75" s="11">
        <f>VLOOKUP(E75,المرجع!$B$3:$C$12,2)</f>
        <v>2.5</v>
      </c>
      <c r="G75" s="23" t="str">
        <f>VLOOKUP(F75,المرجع!$D$3:$E$12,2)</f>
        <v>د+</v>
      </c>
      <c r="H75" s="13">
        <f t="shared" si="28"/>
        <v>2.5</v>
      </c>
      <c r="I75" s="21">
        <v>2</v>
      </c>
      <c r="J75" s="8">
        <v>91</v>
      </c>
      <c r="K75" s="11">
        <f>VLOOKUP(J75,المرجع!$B$3:$C$12,2)</f>
        <v>4.75</v>
      </c>
      <c r="L75" s="23" t="str">
        <f>VLOOKUP(K75,المرجع!$D$3:$E$12,2)</f>
        <v>أ</v>
      </c>
      <c r="M75" s="13">
        <f t="shared" si="29"/>
        <v>9.5</v>
      </c>
      <c r="N75" s="21">
        <v>2</v>
      </c>
      <c r="O75" s="8">
        <v>50</v>
      </c>
      <c r="P75" s="11">
        <f>VLOOKUP(O75,المرجع!$B$3:$C$12,2)</f>
        <v>2</v>
      </c>
      <c r="Q75" s="23" t="str">
        <f>VLOOKUP(P75,المرجع!$D$3:$E$12,2)</f>
        <v>د</v>
      </c>
      <c r="R75" s="13">
        <f t="shared" si="30"/>
        <v>4</v>
      </c>
      <c r="S75" s="21">
        <v>3</v>
      </c>
      <c r="T75" s="8">
        <v>91</v>
      </c>
      <c r="U75" s="11">
        <f>VLOOKUP(T75,المرجع!$B$3:$C$12,2)</f>
        <v>4.75</v>
      </c>
      <c r="V75" s="23" t="str">
        <f>VLOOKUP(U75,المرجع!$D$3:$E$12,2)</f>
        <v>أ</v>
      </c>
      <c r="W75" s="13">
        <f t="shared" si="31"/>
        <v>14.25</v>
      </c>
      <c r="X75" s="21">
        <v>2</v>
      </c>
      <c r="Y75" s="8">
        <v>61</v>
      </c>
      <c r="Z75" s="11">
        <f>VLOOKUP(Y75,المرجع!$B$3:$C$12,2)</f>
        <v>2</v>
      </c>
      <c r="AA75" s="23" t="str">
        <f>VLOOKUP(Z75,المرجع!$D$3:$E$12,2)</f>
        <v>د</v>
      </c>
      <c r="AB75" s="13">
        <f t="shared" si="32"/>
        <v>4</v>
      </c>
      <c r="AC75" s="21">
        <v>3</v>
      </c>
      <c r="AD75" s="8">
        <v>50</v>
      </c>
      <c r="AE75" s="11">
        <f>VLOOKUP(AD75,المرجع!$B$3:$C$12,2)</f>
        <v>2</v>
      </c>
      <c r="AF75" s="23" t="str">
        <f>VLOOKUP(AE75,المرجع!$D$3:$E$12,2)</f>
        <v>د</v>
      </c>
      <c r="AG75" s="13">
        <f t="shared" si="33"/>
        <v>6</v>
      </c>
      <c r="AH75" s="21">
        <v>2</v>
      </c>
      <c r="AI75" s="8">
        <v>50</v>
      </c>
      <c r="AJ75" s="11">
        <f>VLOOKUP(AI75,المرجع!$B$3:$C$12,2)</f>
        <v>2</v>
      </c>
      <c r="AK75" s="23" t="str">
        <f>VLOOKUP(AJ75,المرجع!$D$3:$E$12,2)</f>
        <v>د</v>
      </c>
      <c r="AL75" s="13">
        <f t="shared" si="34"/>
        <v>4</v>
      </c>
      <c r="AM75" s="21">
        <v>3</v>
      </c>
      <c r="AN75" s="8">
        <v>58</v>
      </c>
      <c r="AO75" s="11">
        <f>VLOOKUP(AN75,المرجع!$B$3:$C$12,2)</f>
        <v>2</v>
      </c>
      <c r="AP75" s="23" t="str">
        <f>VLOOKUP(AO75,المرجع!$D$3:$E$12,2)</f>
        <v>د</v>
      </c>
      <c r="AQ75" s="13">
        <f t="shared" si="35"/>
        <v>6</v>
      </c>
      <c r="AR75" s="21">
        <v>2</v>
      </c>
      <c r="AS75" s="8">
        <v>50</v>
      </c>
      <c r="AT75" s="11">
        <f>VLOOKUP(AS75,المرجع!$B$3:$C$12,2)</f>
        <v>2</v>
      </c>
      <c r="AU75" s="23" t="str">
        <f>VLOOKUP(AT75,المرجع!$D$3:$E$12,2)</f>
        <v>د</v>
      </c>
      <c r="AV75" s="13">
        <f t="shared" si="36"/>
        <v>4</v>
      </c>
      <c r="AW75" s="21">
        <v>2</v>
      </c>
      <c r="AX75" s="8">
        <v>60</v>
      </c>
      <c r="AY75" s="11">
        <f>VLOOKUP(AX75,المرجع!$B$3:$C$12,2)</f>
        <v>2</v>
      </c>
      <c r="AZ75" s="23" t="str">
        <f>VLOOKUP(AY75,المرجع!$D$3:$E$12,2)</f>
        <v>د</v>
      </c>
      <c r="BA75" s="13">
        <f t="shared" si="37"/>
        <v>4</v>
      </c>
      <c r="BB75" s="25">
        <f t="shared" si="38"/>
        <v>58.25</v>
      </c>
      <c r="BC75" s="26">
        <f t="shared" si="39"/>
        <v>22</v>
      </c>
      <c r="BD75" s="27">
        <f t="shared" si="40"/>
        <v>2.6477272727272729</v>
      </c>
      <c r="BE75" s="80">
        <f>('المستوى الأول 2022'!BL75+'المستوى الثاني 2023'!BB75)/('المستوى الثاني 2023'!BC75+'المستوى الأول 2022'!BM75)</f>
        <v>2.4500000000000002</v>
      </c>
      <c r="BF75" s="28" t="str">
        <f>VLOOKUP(BE75,المرجع!$D$3:$F$12,3)</f>
        <v xml:space="preserve">مقبول مرتفع </v>
      </c>
      <c r="BG75" s="29">
        <f t="shared" si="41"/>
        <v>72</v>
      </c>
    </row>
    <row r="76" spans="2:59" ht="22">
      <c r="B76" s="3">
        <v>2023032</v>
      </c>
      <c r="C76" s="5" t="s">
        <v>29</v>
      </c>
      <c r="D76" s="21">
        <v>1</v>
      </c>
      <c r="E76" s="15">
        <v>90</v>
      </c>
      <c r="F76" s="11">
        <f>VLOOKUP(E76,المرجع!$B$3:$C$12,2)</f>
        <v>4.75</v>
      </c>
      <c r="G76" s="23" t="str">
        <f>VLOOKUP(F76,المرجع!$D$3:$E$12,2)</f>
        <v>أ</v>
      </c>
      <c r="H76" s="13">
        <f t="shared" si="28"/>
        <v>4.75</v>
      </c>
      <c r="I76" s="21">
        <v>2</v>
      </c>
      <c r="J76" s="8">
        <v>81</v>
      </c>
      <c r="K76" s="11">
        <f>VLOOKUP(J76,المرجع!$B$3:$C$12,2)</f>
        <v>4</v>
      </c>
      <c r="L76" s="23" t="str">
        <f>VLOOKUP(K76,المرجع!$D$3:$E$12,2)</f>
        <v>ب</v>
      </c>
      <c r="M76" s="13">
        <f t="shared" si="29"/>
        <v>8</v>
      </c>
      <c r="N76" s="21">
        <v>2</v>
      </c>
      <c r="O76" s="8">
        <v>68</v>
      </c>
      <c r="P76" s="11">
        <f>VLOOKUP(O76,المرجع!$B$3:$C$12,2)</f>
        <v>2.5</v>
      </c>
      <c r="Q76" s="23" t="str">
        <f>VLOOKUP(P76,المرجع!$D$3:$E$12,2)</f>
        <v>د+</v>
      </c>
      <c r="R76" s="13">
        <f t="shared" si="30"/>
        <v>5</v>
      </c>
      <c r="S76" s="21">
        <v>3</v>
      </c>
      <c r="T76" s="8">
        <v>70</v>
      </c>
      <c r="U76" s="11">
        <f>VLOOKUP(T76,المرجع!$B$3:$C$12,2)</f>
        <v>3</v>
      </c>
      <c r="V76" s="23" t="str">
        <f>VLOOKUP(U76,المرجع!$D$3:$E$12,2)</f>
        <v>ج</v>
      </c>
      <c r="W76" s="13">
        <f t="shared" si="31"/>
        <v>9</v>
      </c>
      <c r="X76" s="21">
        <v>2</v>
      </c>
      <c r="Y76" s="8">
        <v>73</v>
      </c>
      <c r="Z76" s="11">
        <f>VLOOKUP(Y76,المرجع!$B$3:$C$12,2)</f>
        <v>3</v>
      </c>
      <c r="AA76" s="23" t="str">
        <f>VLOOKUP(Z76,المرجع!$D$3:$E$12,2)</f>
        <v>ج</v>
      </c>
      <c r="AB76" s="13">
        <f t="shared" si="32"/>
        <v>6</v>
      </c>
      <c r="AC76" s="21">
        <v>3</v>
      </c>
      <c r="AD76" s="8">
        <v>26</v>
      </c>
      <c r="AE76" s="11">
        <f>VLOOKUP(AD76,المرجع!$B$3:$C$12,2)</f>
        <v>0</v>
      </c>
      <c r="AF76" s="23" t="str">
        <f>VLOOKUP(AE76,المرجع!$D$3:$E$12,2)</f>
        <v>ه</v>
      </c>
      <c r="AG76" s="13">
        <f t="shared" si="33"/>
        <v>0</v>
      </c>
      <c r="AH76" s="21">
        <v>2</v>
      </c>
      <c r="AI76" s="8">
        <v>50</v>
      </c>
      <c r="AJ76" s="11">
        <f>VLOOKUP(AI76,المرجع!$B$3:$C$12,2)</f>
        <v>2</v>
      </c>
      <c r="AK76" s="23" t="str">
        <f>VLOOKUP(AJ76,المرجع!$D$3:$E$12,2)</f>
        <v>د</v>
      </c>
      <c r="AL76" s="13">
        <f t="shared" si="34"/>
        <v>4</v>
      </c>
      <c r="AM76" s="21">
        <v>3</v>
      </c>
      <c r="AN76" s="8">
        <v>75</v>
      </c>
      <c r="AO76" s="11">
        <f>VLOOKUP(AN76,المرجع!$B$3:$C$12,2)</f>
        <v>3.5</v>
      </c>
      <c r="AP76" s="23" t="str">
        <f>VLOOKUP(AO76,المرجع!$D$3:$E$12,2)</f>
        <v>ج+</v>
      </c>
      <c r="AQ76" s="13">
        <f t="shared" si="35"/>
        <v>10.5</v>
      </c>
      <c r="AR76" s="21">
        <v>2</v>
      </c>
      <c r="AS76" s="8">
        <v>60</v>
      </c>
      <c r="AT76" s="11">
        <f>VLOOKUP(AS76,المرجع!$B$3:$C$12,2)</f>
        <v>2</v>
      </c>
      <c r="AU76" s="23" t="str">
        <f>VLOOKUP(AT76,المرجع!$D$3:$E$12,2)</f>
        <v>د</v>
      </c>
      <c r="AV76" s="13">
        <f t="shared" si="36"/>
        <v>4</v>
      </c>
      <c r="AW76" s="21">
        <v>2</v>
      </c>
      <c r="AX76" s="8">
        <v>50</v>
      </c>
      <c r="AY76" s="11">
        <f>VLOOKUP(AX76,المرجع!$B$3:$C$12,2)</f>
        <v>2</v>
      </c>
      <c r="AZ76" s="23" t="str">
        <f>VLOOKUP(AY76,المرجع!$D$3:$E$12,2)</f>
        <v>د</v>
      </c>
      <c r="BA76" s="13">
        <f t="shared" si="37"/>
        <v>4</v>
      </c>
      <c r="BB76" s="25">
        <f t="shared" si="38"/>
        <v>55.25</v>
      </c>
      <c r="BC76" s="26">
        <f t="shared" si="39"/>
        <v>22</v>
      </c>
      <c r="BD76" s="27">
        <f t="shared" si="40"/>
        <v>2.5113636363636362</v>
      </c>
      <c r="BE76" s="80">
        <f>('المستوى الأول 2022'!BL76+'المستوى الثاني 2023'!BB76)/('المستوى الثاني 2023'!BC76+'المستوى الأول 2022'!BM76)</f>
        <v>2.1888888888888891</v>
      </c>
      <c r="BF76" s="28" t="str">
        <f>VLOOKUP(BE76,المرجع!$D$3:$F$12,3)</f>
        <v xml:space="preserve">مقبول مرتفع </v>
      </c>
      <c r="BG76" s="29">
        <f t="shared" si="41"/>
        <v>76</v>
      </c>
    </row>
    <row r="77" spans="2:59" ht="22">
      <c r="B77" s="3">
        <v>2023149</v>
      </c>
      <c r="C77" s="5" t="s">
        <v>95</v>
      </c>
      <c r="D77" s="21">
        <v>1</v>
      </c>
      <c r="E77" s="15">
        <v>85</v>
      </c>
      <c r="F77" s="11">
        <f>VLOOKUP(E77,المرجع!$B$3:$C$12,2)</f>
        <v>4.5</v>
      </c>
      <c r="G77" s="23" t="str">
        <f>VLOOKUP(F77,المرجع!$D$3:$E$12,2)</f>
        <v>ب+</v>
      </c>
      <c r="H77" s="13">
        <f t="shared" si="28"/>
        <v>4.5</v>
      </c>
      <c r="I77" s="21">
        <v>2</v>
      </c>
      <c r="J77" s="14">
        <v>93</v>
      </c>
      <c r="K77" s="11">
        <f>VLOOKUP(J77,المرجع!$B$3:$C$12,2)</f>
        <v>4.75</v>
      </c>
      <c r="L77" s="23" t="str">
        <f>VLOOKUP(K77,المرجع!$D$3:$E$12,2)</f>
        <v>أ</v>
      </c>
      <c r="M77" s="13">
        <f t="shared" si="29"/>
        <v>9.5</v>
      </c>
      <c r="N77" s="21">
        <v>2</v>
      </c>
      <c r="O77" s="14">
        <v>84</v>
      </c>
      <c r="P77" s="11">
        <f>VLOOKUP(O77,المرجع!$B$3:$C$12,2)</f>
        <v>4</v>
      </c>
      <c r="Q77" s="23" t="str">
        <f>VLOOKUP(P77,المرجع!$D$3:$E$12,2)</f>
        <v>ب</v>
      </c>
      <c r="R77" s="13">
        <f t="shared" si="30"/>
        <v>8</v>
      </c>
      <c r="S77" s="21">
        <v>3</v>
      </c>
      <c r="T77" s="14">
        <v>65</v>
      </c>
      <c r="U77" s="11">
        <f>VLOOKUP(T77,المرجع!$B$3:$C$12,2)</f>
        <v>2.5</v>
      </c>
      <c r="V77" s="23" t="str">
        <f>VLOOKUP(U77,المرجع!$D$3:$E$12,2)</f>
        <v>د+</v>
      </c>
      <c r="W77" s="13">
        <f t="shared" si="31"/>
        <v>7.5</v>
      </c>
      <c r="X77" s="21">
        <v>2</v>
      </c>
      <c r="Y77" s="14">
        <v>58</v>
      </c>
      <c r="Z77" s="11">
        <f>VLOOKUP(Y77,المرجع!$B$3:$C$12,2)</f>
        <v>2</v>
      </c>
      <c r="AA77" s="23" t="str">
        <f>VLOOKUP(Z77,المرجع!$D$3:$E$12,2)</f>
        <v>د</v>
      </c>
      <c r="AB77" s="13">
        <f t="shared" si="32"/>
        <v>4</v>
      </c>
      <c r="AC77" s="21">
        <v>3</v>
      </c>
      <c r="AD77" s="14">
        <v>22</v>
      </c>
      <c r="AE77" s="11">
        <f>VLOOKUP(AD77,المرجع!$B$3:$C$12,2)</f>
        <v>0</v>
      </c>
      <c r="AF77" s="23" t="str">
        <f>VLOOKUP(AE77,المرجع!$D$3:$E$12,2)</f>
        <v>ه</v>
      </c>
      <c r="AG77" s="13">
        <f t="shared" si="33"/>
        <v>0</v>
      </c>
      <c r="AH77" s="21">
        <v>2</v>
      </c>
      <c r="AI77" s="14">
        <v>51</v>
      </c>
      <c r="AJ77" s="11">
        <f>VLOOKUP(AI77,المرجع!$B$3:$C$12,2)</f>
        <v>2</v>
      </c>
      <c r="AK77" s="23" t="str">
        <f>VLOOKUP(AJ77,المرجع!$D$3:$E$12,2)</f>
        <v>د</v>
      </c>
      <c r="AL77" s="13">
        <f t="shared" si="34"/>
        <v>4</v>
      </c>
      <c r="AM77" s="21">
        <v>3</v>
      </c>
      <c r="AN77" s="14">
        <v>65</v>
      </c>
      <c r="AO77" s="11">
        <f>VLOOKUP(AN77,المرجع!$B$3:$C$12,2)</f>
        <v>2.5</v>
      </c>
      <c r="AP77" s="23" t="str">
        <f>VLOOKUP(AO77,المرجع!$D$3:$E$12,2)</f>
        <v>د+</v>
      </c>
      <c r="AQ77" s="13">
        <f t="shared" si="35"/>
        <v>7.5</v>
      </c>
      <c r="AR77" s="21">
        <v>2</v>
      </c>
      <c r="AS77" s="14">
        <v>50</v>
      </c>
      <c r="AT77" s="11">
        <f>VLOOKUP(AS77,المرجع!$B$3:$C$12,2)</f>
        <v>2</v>
      </c>
      <c r="AU77" s="23" t="str">
        <f>VLOOKUP(AT77,المرجع!$D$3:$E$12,2)</f>
        <v>د</v>
      </c>
      <c r="AV77" s="13">
        <f t="shared" si="36"/>
        <v>4</v>
      </c>
      <c r="AW77" s="21">
        <v>2</v>
      </c>
      <c r="AX77" s="14">
        <v>50</v>
      </c>
      <c r="AY77" s="11">
        <f>VLOOKUP(AX77,المرجع!$B$3:$C$12,2)</f>
        <v>2</v>
      </c>
      <c r="AZ77" s="23" t="str">
        <f>VLOOKUP(AY77,المرجع!$D$3:$E$12,2)</f>
        <v>د</v>
      </c>
      <c r="BA77" s="13">
        <f t="shared" si="37"/>
        <v>4</v>
      </c>
      <c r="BB77" s="25">
        <f t="shared" si="38"/>
        <v>53</v>
      </c>
      <c r="BC77" s="26">
        <f t="shared" si="39"/>
        <v>22</v>
      </c>
      <c r="BD77" s="27">
        <f t="shared" si="40"/>
        <v>2.4090909090909092</v>
      </c>
      <c r="BE77" s="80">
        <f>('المستوى الأول 2022'!BL77+'المستوى الثاني 2023'!BB77)/('المستوى الثاني 2023'!BC77+'المستوى الأول 2022'!BM77)</f>
        <v>2.1333333333333333</v>
      </c>
      <c r="BF77" s="28" t="str">
        <f>VLOOKUP(BE77,المرجع!$D$3:$F$12,3)</f>
        <v xml:space="preserve">مقبول مرتفع </v>
      </c>
      <c r="BG77" s="29">
        <f t="shared" si="41"/>
        <v>77</v>
      </c>
    </row>
    <row r="78" spans="2:59" ht="22">
      <c r="B78" s="3">
        <v>2023106</v>
      </c>
      <c r="C78" s="5" t="s">
        <v>80</v>
      </c>
      <c r="D78" s="21">
        <v>1</v>
      </c>
      <c r="E78" s="15">
        <v>79</v>
      </c>
      <c r="F78" s="11">
        <f>VLOOKUP(E78,المرجع!$B$3:$C$12,2)</f>
        <v>3.5</v>
      </c>
      <c r="G78" s="23" t="str">
        <f>VLOOKUP(F78,المرجع!$D$3:$E$12,2)</f>
        <v>ج+</v>
      </c>
      <c r="H78" s="13">
        <f t="shared" si="28"/>
        <v>3.5</v>
      </c>
      <c r="I78" s="21">
        <v>2</v>
      </c>
      <c r="J78" s="8">
        <v>86</v>
      </c>
      <c r="K78" s="11">
        <f>VLOOKUP(J78,المرجع!$B$3:$C$12,2)</f>
        <v>4.5</v>
      </c>
      <c r="L78" s="23" t="str">
        <f>VLOOKUP(K78,المرجع!$D$3:$E$12,2)</f>
        <v>ب+</v>
      </c>
      <c r="M78" s="13">
        <f t="shared" si="29"/>
        <v>9</v>
      </c>
      <c r="N78" s="21">
        <v>2</v>
      </c>
      <c r="O78" s="8">
        <v>56</v>
      </c>
      <c r="P78" s="11">
        <f>VLOOKUP(O78,المرجع!$B$3:$C$12,2)</f>
        <v>2</v>
      </c>
      <c r="Q78" s="23" t="str">
        <f>VLOOKUP(P78,المرجع!$D$3:$E$12,2)</f>
        <v>د</v>
      </c>
      <c r="R78" s="13">
        <f t="shared" si="30"/>
        <v>4</v>
      </c>
      <c r="S78" s="21">
        <v>3</v>
      </c>
      <c r="T78" s="8">
        <v>60</v>
      </c>
      <c r="U78" s="11">
        <f>VLOOKUP(T78,المرجع!$B$3:$C$12,2)</f>
        <v>2</v>
      </c>
      <c r="V78" s="23" t="str">
        <f>VLOOKUP(U78,المرجع!$D$3:$E$12,2)</f>
        <v>د</v>
      </c>
      <c r="W78" s="13">
        <f t="shared" si="31"/>
        <v>6</v>
      </c>
      <c r="X78" s="21">
        <v>2</v>
      </c>
      <c r="Y78" s="8">
        <v>64</v>
      </c>
      <c r="Z78" s="11">
        <f>VLOOKUP(Y78,المرجع!$B$3:$C$12,2)</f>
        <v>2</v>
      </c>
      <c r="AA78" s="23" t="str">
        <f>VLOOKUP(Z78,المرجع!$D$3:$E$12,2)</f>
        <v>د</v>
      </c>
      <c r="AB78" s="13">
        <f t="shared" si="32"/>
        <v>4</v>
      </c>
      <c r="AC78" s="21">
        <v>3</v>
      </c>
      <c r="AD78" s="8">
        <v>73</v>
      </c>
      <c r="AE78" s="11">
        <f>VLOOKUP(AD78,المرجع!$B$3:$C$12,2)</f>
        <v>3</v>
      </c>
      <c r="AF78" s="23" t="str">
        <f>VLOOKUP(AE78,المرجع!$D$3:$E$12,2)</f>
        <v>ج</v>
      </c>
      <c r="AG78" s="13">
        <f t="shared" si="33"/>
        <v>9</v>
      </c>
      <c r="AH78" s="21">
        <v>2</v>
      </c>
      <c r="AI78" s="8">
        <v>50</v>
      </c>
      <c r="AJ78" s="11">
        <f>VLOOKUP(AI78,المرجع!$B$3:$C$12,2)</f>
        <v>2</v>
      </c>
      <c r="AK78" s="23" t="str">
        <f>VLOOKUP(AJ78,المرجع!$D$3:$E$12,2)</f>
        <v>د</v>
      </c>
      <c r="AL78" s="13">
        <f t="shared" si="34"/>
        <v>4</v>
      </c>
      <c r="AM78" s="21">
        <v>3</v>
      </c>
      <c r="AN78" s="8">
        <v>66</v>
      </c>
      <c r="AO78" s="11">
        <f>VLOOKUP(AN78,المرجع!$B$3:$C$12,2)</f>
        <v>2.5</v>
      </c>
      <c r="AP78" s="23" t="str">
        <f>VLOOKUP(AO78,المرجع!$D$3:$E$12,2)</f>
        <v>د+</v>
      </c>
      <c r="AQ78" s="13">
        <f t="shared" si="35"/>
        <v>7.5</v>
      </c>
      <c r="AR78" s="21">
        <v>2</v>
      </c>
      <c r="AS78" s="8">
        <v>50</v>
      </c>
      <c r="AT78" s="11">
        <f>VLOOKUP(AS78,المرجع!$B$3:$C$12,2)</f>
        <v>2</v>
      </c>
      <c r="AU78" s="23" t="str">
        <f>VLOOKUP(AT78,المرجع!$D$3:$E$12,2)</f>
        <v>د</v>
      </c>
      <c r="AV78" s="13">
        <f t="shared" si="36"/>
        <v>4</v>
      </c>
      <c r="AW78" s="21">
        <v>2</v>
      </c>
      <c r="AX78" s="8">
        <v>66</v>
      </c>
      <c r="AY78" s="11">
        <f>VLOOKUP(AX78,المرجع!$B$3:$C$12,2)</f>
        <v>2.5</v>
      </c>
      <c r="AZ78" s="23" t="str">
        <f>VLOOKUP(AY78,المرجع!$D$3:$E$12,2)</f>
        <v>د+</v>
      </c>
      <c r="BA78" s="13">
        <f t="shared" si="37"/>
        <v>5</v>
      </c>
      <c r="BB78" s="25">
        <f t="shared" si="38"/>
        <v>56</v>
      </c>
      <c r="BC78" s="26">
        <f t="shared" si="39"/>
        <v>22</v>
      </c>
      <c r="BD78" s="27">
        <f t="shared" si="40"/>
        <v>2.5454545454545454</v>
      </c>
      <c r="BE78" s="80">
        <f>('المستوى الأول 2022'!BL78+'المستوى الثاني 2023'!BB78)/('المستوى الثاني 2023'!BC78+'المستوى الأول 2022'!BM78)</f>
        <v>2.2888888888888888</v>
      </c>
      <c r="BF78" s="28" t="str">
        <f>VLOOKUP(BE78,المرجع!$D$3:$F$12,3)</f>
        <v xml:space="preserve">مقبول مرتفع </v>
      </c>
      <c r="BG78" s="29">
        <f t="shared" si="41"/>
        <v>75</v>
      </c>
    </row>
    <row r="79" spans="2:59" ht="22">
      <c r="B79" s="3">
        <v>2023133</v>
      </c>
      <c r="C79" s="5" t="s">
        <v>31</v>
      </c>
      <c r="D79" s="21">
        <v>1</v>
      </c>
      <c r="E79" s="15">
        <v>68</v>
      </c>
      <c r="F79" s="11">
        <f>VLOOKUP(E79,المرجع!$B$3:$C$12,2)</f>
        <v>2.5</v>
      </c>
      <c r="G79" s="23" t="str">
        <f>VLOOKUP(F79,المرجع!$D$3:$E$12,2)</f>
        <v>د+</v>
      </c>
      <c r="H79" s="13">
        <f t="shared" si="28"/>
        <v>2.5</v>
      </c>
      <c r="I79" s="21">
        <v>2</v>
      </c>
      <c r="J79" s="8">
        <v>70</v>
      </c>
      <c r="K79" s="11">
        <f>VLOOKUP(J79,المرجع!$B$3:$C$12,2)</f>
        <v>3</v>
      </c>
      <c r="L79" s="23" t="str">
        <f>VLOOKUP(K79,المرجع!$D$3:$E$12,2)</f>
        <v>ج</v>
      </c>
      <c r="M79" s="13">
        <f t="shared" si="29"/>
        <v>6</v>
      </c>
      <c r="N79" s="21">
        <v>2</v>
      </c>
      <c r="O79" s="8">
        <v>67</v>
      </c>
      <c r="P79" s="11">
        <f>VLOOKUP(O79,المرجع!$B$3:$C$12,2)</f>
        <v>2.5</v>
      </c>
      <c r="Q79" s="23" t="str">
        <f>VLOOKUP(P79,المرجع!$D$3:$E$12,2)</f>
        <v>د+</v>
      </c>
      <c r="R79" s="13">
        <f t="shared" si="30"/>
        <v>5</v>
      </c>
      <c r="S79" s="21">
        <v>3</v>
      </c>
      <c r="T79" s="8">
        <v>80</v>
      </c>
      <c r="U79" s="11">
        <f>VLOOKUP(T79,المرجع!$B$3:$C$12,2)</f>
        <v>4</v>
      </c>
      <c r="V79" s="23" t="str">
        <f>VLOOKUP(U79,المرجع!$D$3:$E$12,2)</f>
        <v>ب</v>
      </c>
      <c r="W79" s="13">
        <f t="shared" si="31"/>
        <v>12</v>
      </c>
      <c r="X79" s="21">
        <v>2</v>
      </c>
      <c r="Y79" s="8">
        <v>67</v>
      </c>
      <c r="Z79" s="11">
        <f>VLOOKUP(Y79,المرجع!$B$3:$C$12,2)</f>
        <v>2.5</v>
      </c>
      <c r="AA79" s="23" t="str">
        <f>VLOOKUP(Z79,المرجع!$D$3:$E$12,2)</f>
        <v>د+</v>
      </c>
      <c r="AB79" s="13">
        <f t="shared" si="32"/>
        <v>5</v>
      </c>
      <c r="AC79" s="21">
        <v>3</v>
      </c>
      <c r="AD79" s="8">
        <v>50</v>
      </c>
      <c r="AE79" s="11">
        <f>VLOOKUP(AD79,المرجع!$B$3:$C$12,2)</f>
        <v>2</v>
      </c>
      <c r="AF79" s="23" t="str">
        <f>VLOOKUP(AE79,المرجع!$D$3:$E$12,2)</f>
        <v>د</v>
      </c>
      <c r="AG79" s="13">
        <f t="shared" si="33"/>
        <v>6</v>
      </c>
      <c r="AH79" s="21">
        <v>2</v>
      </c>
      <c r="AI79" s="8">
        <v>50</v>
      </c>
      <c r="AJ79" s="11">
        <f>VLOOKUP(AI79,المرجع!$B$3:$C$12,2)</f>
        <v>2</v>
      </c>
      <c r="AK79" s="23" t="str">
        <f>VLOOKUP(AJ79,المرجع!$D$3:$E$12,2)</f>
        <v>د</v>
      </c>
      <c r="AL79" s="13">
        <f t="shared" si="34"/>
        <v>4</v>
      </c>
      <c r="AM79" s="21">
        <v>3</v>
      </c>
      <c r="AN79" s="8">
        <v>60</v>
      </c>
      <c r="AO79" s="11">
        <f>VLOOKUP(AN79,المرجع!$B$3:$C$12,2)</f>
        <v>2</v>
      </c>
      <c r="AP79" s="23" t="str">
        <f>VLOOKUP(AO79,المرجع!$D$3:$E$12,2)</f>
        <v>د</v>
      </c>
      <c r="AQ79" s="13">
        <f t="shared" si="35"/>
        <v>6</v>
      </c>
      <c r="AR79" s="21">
        <v>2</v>
      </c>
      <c r="AS79" s="8">
        <v>50</v>
      </c>
      <c r="AT79" s="11">
        <f>VLOOKUP(AS79,المرجع!$B$3:$C$12,2)</f>
        <v>2</v>
      </c>
      <c r="AU79" s="23" t="str">
        <f>VLOOKUP(AT79,المرجع!$D$3:$E$12,2)</f>
        <v>د</v>
      </c>
      <c r="AV79" s="13">
        <f t="shared" si="36"/>
        <v>4</v>
      </c>
      <c r="AW79" s="21">
        <v>2</v>
      </c>
      <c r="AX79" s="8">
        <v>72</v>
      </c>
      <c r="AY79" s="11">
        <f>VLOOKUP(AX79,المرجع!$B$3:$C$12,2)</f>
        <v>3</v>
      </c>
      <c r="AZ79" s="23" t="str">
        <f>VLOOKUP(AY79,المرجع!$D$3:$E$12,2)</f>
        <v>ج</v>
      </c>
      <c r="BA79" s="13">
        <f t="shared" si="37"/>
        <v>6</v>
      </c>
      <c r="BB79" s="25">
        <f t="shared" si="38"/>
        <v>56.5</v>
      </c>
      <c r="BC79" s="26">
        <f t="shared" si="39"/>
        <v>22</v>
      </c>
      <c r="BD79" s="27">
        <f t="shared" si="40"/>
        <v>2.5681818181818183</v>
      </c>
      <c r="BE79" s="80">
        <f>('المستوى الأول 2022'!BL79+'المستوى الثاني 2023'!BB79)/('المستوى الثاني 2023'!BC79+'المستوى الأول 2022'!BM79)</f>
        <v>2.4444444444444446</v>
      </c>
      <c r="BF79" s="28" t="str">
        <f>VLOOKUP(BE79,المرجع!$D$3:$F$12,3)</f>
        <v xml:space="preserve">مقبول مرتفع </v>
      </c>
      <c r="BG79" s="29">
        <f t="shared" si="41"/>
        <v>74</v>
      </c>
    </row>
    <row r="80" spans="2:59" ht="22">
      <c r="B80" s="3">
        <v>2023111</v>
      </c>
      <c r="C80" s="5" t="s">
        <v>79</v>
      </c>
      <c r="D80" s="21">
        <v>1</v>
      </c>
      <c r="E80" s="15">
        <v>70</v>
      </c>
      <c r="F80" s="11">
        <f>VLOOKUP(E80,المرجع!$B$3:$C$12,2)</f>
        <v>3</v>
      </c>
      <c r="G80" s="23" t="str">
        <f>VLOOKUP(F80,المرجع!$D$3:$E$12,2)</f>
        <v>ج</v>
      </c>
      <c r="H80" s="13">
        <f t="shared" si="28"/>
        <v>3</v>
      </c>
      <c r="I80" s="21">
        <v>2</v>
      </c>
      <c r="J80" s="8">
        <v>77</v>
      </c>
      <c r="K80" s="11">
        <f>VLOOKUP(J80,المرجع!$B$3:$C$12,2)</f>
        <v>3.5</v>
      </c>
      <c r="L80" s="23" t="str">
        <f>VLOOKUP(K80,المرجع!$D$3:$E$12,2)</f>
        <v>ج+</v>
      </c>
      <c r="M80" s="13">
        <f t="shared" si="29"/>
        <v>7</v>
      </c>
      <c r="N80" s="21">
        <v>2</v>
      </c>
      <c r="O80" s="8">
        <v>70</v>
      </c>
      <c r="P80" s="11">
        <f>VLOOKUP(O80,المرجع!$B$3:$C$12,2)</f>
        <v>3</v>
      </c>
      <c r="Q80" s="23" t="str">
        <f>VLOOKUP(P80,المرجع!$D$3:$E$12,2)</f>
        <v>ج</v>
      </c>
      <c r="R80" s="13">
        <f t="shared" si="30"/>
        <v>6</v>
      </c>
      <c r="S80" s="21">
        <v>3</v>
      </c>
      <c r="T80" s="8">
        <v>68</v>
      </c>
      <c r="U80" s="11">
        <f>VLOOKUP(T80,المرجع!$B$3:$C$12,2)</f>
        <v>2.5</v>
      </c>
      <c r="V80" s="23" t="str">
        <f>VLOOKUP(U80,المرجع!$D$3:$E$12,2)</f>
        <v>د+</v>
      </c>
      <c r="W80" s="13">
        <f t="shared" si="31"/>
        <v>7.5</v>
      </c>
      <c r="X80" s="21">
        <v>2</v>
      </c>
      <c r="Y80" s="8">
        <v>66</v>
      </c>
      <c r="Z80" s="11">
        <f>VLOOKUP(Y80,المرجع!$B$3:$C$12,2)</f>
        <v>2.5</v>
      </c>
      <c r="AA80" s="23" t="str">
        <f>VLOOKUP(Z80,المرجع!$D$3:$E$12,2)</f>
        <v>د+</v>
      </c>
      <c r="AB80" s="13">
        <f t="shared" si="32"/>
        <v>5</v>
      </c>
      <c r="AC80" s="21">
        <v>3</v>
      </c>
      <c r="AD80" s="8">
        <v>50</v>
      </c>
      <c r="AE80" s="11">
        <f>VLOOKUP(AD80,المرجع!$B$3:$C$12,2)</f>
        <v>2</v>
      </c>
      <c r="AF80" s="23" t="str">
        <f>VLOOKUP(AE80,المرجع!$D$3:$E$12,2)</f>
        <v>د</v>
      </c>
      <c r="AG80" s="13">
        <f t="shared" si="33"/>
        <v>6</v>
      </c>
      <c r="AH80" s="21">
        <v>2</v>
      </c>
      <c r="AI80" s="8">
        <v>50</v>
      </c>
      <c r="AJ80" s="11">
        <f>VLOOKUP(AI80,المرجع!$B$3:$C$12,2)</f>
        <v>2</v>
      </c>
      <c r="AK80" s="23" t="str">
        <f>VLOOKUP(AJ80,المرجع!$D$3:$E$12,2)</f>
        <v>د</v>
      </c>
      <c r="AL80" s="13">
        <f t="shared" si="34"/>
        <v>4</v>
      </c>
      <c r="AM80" s="21">
        <v>3</v>
      </c>
      <c r="AN80" s="8">
        <v>60</v>
      </c>
      <c r="AO80" s="11">
        <f>VLOOKUP(AN80,المرجع!$B$3:$C$12,2)</f>
        <v>2</v>
      </c>
      <c r="AP80" s="23" t="str">
        <f>VLOOKUP(AO80,المرجع!$D$3:$E$12,2)</f>
        <v>د</v>
      </c>
      <c r="AQ80" s="13">
        <f t="shared" si="35"/>
        <v>6</v>
      </c>
      <c r="AR80" s="21">
        <v>2</v>
      </c>
      <c r="AS80" s="8">
        <v>50</v>
      </c>
      <c r="AT80" s="11">
        <f>VLOOKUP(AS80,المرجع!$B$3:$C$12,2)</f>
        <v>2</v>
      </c>
      <c r="AU80" s="23" t="str">
        <f>VLOOKUP(AT80,المرجع!$D$3:$E$12,2)</f>
        <v>د</v>
      </c>
      <c r="AV80" s="13">
        <f t="shared" si="36"/>
        <v>4</v>
      </c>
      <c r="AW80" s="21">
        <v>2</v>
      </c>
      <c r="AX80" s="8">
        <v>50</v>
      </c>
      <c r="AY80" s="11">
        <f>VLOOKUP(AX80,المرجع!$B$3:$C$12,2)</f>
        <v>2</v>
      </c>
      <c r="AZ80" s="23" t="str">
        <f>VLOOKUP(AY80,المرجع!$D$3:$E$12,2)</f>
        <v>د</v>
      </c>
      <c r="BA80" s="13">
        <f t="shared" si="37"/>
        <v>4</v>
      </c>
      <c r="BB80" s="25">
        <f t="shared" si="38"/>
        <v>52.5</v>
      </c>
      <c r="BC80" s="26">
        <f t="shared" si="39"/>
        <v>22</v>
      </c>
      <c r="BD80" s="27">
        <f t="shared" si="40"/>
        <v>2.3863636363636362</v>
      </c>
      <c r="BE80" s="80">
        <f>('المستوى الأول 2022'!BL80+'المستوى الثاني 2023'!BB80)/('المستوى الثاني 2023'!BC80+'المستوى الأول 2022'!BM80)</f>
        <v>2.2999999999999998</v>
      </c>
      <c r="BF80" s="28" t="str">
        <f>VLOOKUP(BE80,المرجع!$D$3:$F$12,3)</f>
        <v xml:space="preserve">مقبول مرتفع </v>
      </c>
      <c r="BG80" s="29">
        <f t="shared" si="41"/>
        <v>79</v>
      </c>
    </row>
    <row r="81" spans="2:59" ht="22">
      <c r="B81" s="3">
        <v>2023024</v>
      </c>
      <c r="C81" s="5" t="s">
        <v>30</v>
      </c>
      <c r="D81" s="21">
        <v>1</v>
      </c>
      <c r="E81" s="15">
        <v>64</v>
      </c>
      <c r="F81" s="11">
        <f>VLOOKUP(E81,المرجع!$B$3:$C$12,2)</f>
        <v>2</v>
      </c>
      <c r="G81" s="23" t="str">
        <f>VLOOKUP(F81,المرجع!$D$3:$E$12,2)</f>
        <v>د</v>
      </c>
      <c r="H81" s="13">
        <f t="shared" si="28"/>
        <v>2</v>
      </c>
      <c r="I81" s="21">
        <v>2</v>
      </c>
      <c r="J81" s="8">
        <v>75</v>
      </c>
      <c r="K81" s="11">
        <f>VLOOKUP(J81,المرجع!$B$3:$C$12,2)</f>
        <v>3.5</v>
      </c>
      <c r="L81" s="23" t="str">
        <f>VLOOKUP(K81,المرجع!$D$3:$E$12,2)</f>
        <v>ج+</v>
      </c>
      <c r="M81" s="13">
        <f t="shared" si="29"/>
        <v>7</v>
      </c>
      <c r="N81" s="21">
        <v>2</v>
      </c>
      <c r="O81" s="8">
        <v>59</v>
      </c>
      <c r="P81" s="11">
        <f>VLOOKUP(O81,المرجع!$B$3:$C$12,2)</f>
        <v>2</v>
      </c>
      <c r="Q81" s="23" t="str">
        <f>VLOOKUP(P81,المرجع!$D$3:$E$12,2)</f>
        <v>د</v>
      </c>
      <c r="R81" s="13">
        <f t="shared" si="30"/>
        <v>4</v>
      </c>
      <c r="S81" s="21">
        <v>3</v>
      </c>
      <c r="T81" s="8">
        <v>60</v>
      </c>
      <c r="U81" s="11">
        <f>VLOOKUP(T81,المرجع!$B$3:$C$12,2)</f>
        <v>2</v>
      </c>
      <c r="V81" s="23" t="str">
        <f>VLOOKUP(U81,المرجع!$D$3:$E$12,2)</f>
        <v>د</v>
      </c>
      <c r="W81" s="13">
        <f t="shared" si="31"/>
        <v>6</v>
      </c>
      <c r="X81" s="21">
        <v>2</v>
      </c>
      <c r="Y81" s="8">
        <v>88</v>
      </c>
      <c r="Z81" s="11">
        <f>VLOOKUP(Y81,المرجع!$B$3:$C$12,2)</f>
        <v>4.5</v>
      </c>
      <c r="AA81" s="23" t="str">
        <f>VLOOKUP(Z81,المرجع!$D$3:$E$12,2)</f>
        <v>ب+</v>
      </c>
      <c r="AB81" s="13">
        <f t="shared" si="32"/>
        <v>9</v>
      </c>
      <c r="AC81" s="21">
        <v>3</v>
      </c>
      <c r="AD81" s="8">
        <v>39</v>
      </c>
      <c r="AE81" s="11">
        <f>VLOOKUP(AD81,المرجع!$B$3:$C$12,2)</f>
        <v>0</v>
      </c>
      <c r="AF81" s="23" t="str">
        <f>VLOOKUP(AE81,المرجع!$D$3:$E$12,2)</f>
        <v>ه</v>
      </c>
      <c r="AG81" s="13">
        <f t="shared" si="33"/>
        <v>0</v>
      </c>
      <c r="AH81" s="21">
        <v>2</v>
      </c>
      <c r="AI81" s="8">
        <v>35</v>
      </c>
      <c r="AJ81" s="11">
        <f>VLOOKUP(AI81,المرجع!$B$3:$C$12,2)</f>
        <v>0</v>
      </c>
      <c r="AK81" s="23" t="str">
        <f>VLOOKUP(AJ81,المرجع!$D$3:$E$12,2)</f>
        <v>ه</v>
      </c>
      <c r="AL81" s="13">
        <f t="shared" si="34"/>
        <v>0</v>
      </c>
      <c r="AM81" s="21">
        <v>3</v>
      </c>
      <c r="AN81" s="8">
        <v>83</v>
      </c>
      <c r="AO81" s="11">
        <f>VLOOKUP(AN81,المرجع!$B$3:$C$12,2)</f>
        <v>4</v>
      </c>
      <c r="AP81" s="23" t="str">
        <f>VLOOKUP(AO81,المرجع!$D$3:$E$12,2)</f>
        <v>ب</v>
      </c>
      <c r="AQ81" s="13">
        <f t="shared" si="35"/>
        <v>12</v>
      </c>
      <c r="AR81" s="21">
        <v>2</v>
      </c>
      <c r="AS81" s="8">
        <v>50</v>
      </c>
      <c r="AT81" s="11">
        <f>VLOOKUP(AS81,المرجع!$B$3:$C$12,2)</f>
        <v>2</v>
      </c>
      <c r="AU81" s="23" t="str">
        <f>VLOOKUP(AT81,المرجع!$D$3:$E$12,2)</f>
        <v>د</v>
      </c>
      <c r="AV81" s="13">
        <f t="shared" si="36"/>
        <v>4</v>
      </c>
      <c r="AW81" s="21">
        <v>2</v>
      </c>
      <c r="AX81" s="8">
        <v>85</v>
      </c>
      <c r="AY81" s="11">
        <f>VLOOKUP(AX81,المرجع!$B$3:$C$12,2)</f>
        <v>4.5</v>
      </c>
      <c r="AZ81" s="23" t="str">
        <f>VLOOKUP(AY81,المرجع!$D$3:$E$12,2)</f>
        <v>ب+</v>
      </c>
      <c r="BA81" s="13">
        <f t="shared" si="37"/>
        <v>9</v>
      </c>
      <c r="BB81" s="25">
        <f t="shared" si="38"/>
        <v>53</v>
      </c>
      <c r="BC81" s="26">
        <f t="shared" si="39"/>
        <v>22</v>
      </c>
      <c r="BD81" s="27">
        <f t="shared" si="40"/>
        <v>2.4090909090909092</v>
      </c>
      <c r="BE81" s="80">
        <f>('المستوى الأول 2022'!BL81+'المستوى الثاني 2023'!BB81)/('المستوى الثاني 2023'!BC81+'المستوى الأول 2022'!BM81)</f>
        <v>2.2222222222222223</v>
      </c>
      <c r="BF81" s="28" t="str">
        <f>VLOOKUP(BE81,المرجع!$D$3:$F$12,3)</f>
        <v xml:space="preserve">مقبول مرتفع </v>
      </c>
      <c r="BG81" s="29">
        <f t="shared" si="41"/>
        <v>77</v>
      </c>
    </row>
    <row r="82" spans="2:59" ht="22">
      <c r="B82" s="3">
        <v>2023043</v>
      </c>
      <c r="C82" s="5" t="s">
        <v>32</v>
      </c>
      <c r="D82" s="21">
        <v>1</v>
      </c>
      <c r="E82" s="15">
        <v>82</v>
      </c>
      <c r="F82" s="11">
        <f>VLOOKUP(E82,المرجع!$B$3:$C$12,2)</f>
        <v>4</v>
      </c>
      <c r="G82" s="23" t="str">
        <f>VLOOKUP(F82,المرجع!$D$3:$E$12,2)</f>
        <v>ب</v>
      </c>
      <c r="H82" s="13">
        <f t="shared" si="28"/>
        <v>4</v>
      </c>
      <c r="I82" s="21">
        <v>2</v>
      </c>
      <c r="J82" s="8">
        <v>80</v>
      </c>
      <c r="K82" s="11">
        <f>VLOOKUP(J82,المرجع!$B$3:$C$12,2)</f>
        <v>4</v>
      </c>
      <c r="L82" s="23" t="str">
        <f>VLOOKUP(K82,المرجع!$D$3:$E$12,2)</f>
        <v>ب</v>
      </c>
      <c r="M82" s="13">
        <f t="shared" si="29"/>
        <v>8</v>
      </c>
      <c r="N82" s="21">
        <v>2</v>
      </c>
      <c r="O82" s="8">
        <v>50</v>
      </c>
      <c r="P82" s="11">
        <f>VLOOKUP(O82,المرجع!$B$3:$C$12,2)</f>
        <v>2</v>
      </c>
      <c r="Q82" s="23" t="str">
        <f>VLOOKUP(P82,المرجع!$D$3:$E$12,2)</f>
        <v>د</v>
      </c>
      <c r="R82" s="13">
        <f t="shared" si="30"/>
        <v>4</v>
      </c>
      <c r="S82" s="21">
        <v>3</v>
      </c>
      <c r="T82" s="8">
        <v>65</v>
      </c>
      <c r="U82" s="11">
        <f>VLOOKUP(T82,المرجع!$B$3:$C$12,2)</f>
        <v>2.5</v>
      </c>
      <c r="V82" s="23" t="str">
        <f>VLOOKUP(U82,المرجع!$D$3:$E$12,2)</f>
        <v>د+</v>
      </c>
      <c r="W82" s="13">
        <f t="shared" si="31"/>
        <v>7.5</v>
      </c>
      <c r="X82" s="21">
        <v>2</v>
      </c>
      <c r="Y82" s="8">
        <v>90</v>
      </c>
      <c r="Z82" s="11">
        <f>VLOOKUP(Y82,المرجع!$B$3:$C$12,2)</f>
        <v>4.75</v>
      </c>
      <c r="AA82" s="23" t="str">
        <f>VLOOKUP(Z82,المرجع!$D$3:$E$12,2)</f>
        <v>أ</v>
      </c>
      <c r="AB82" s="13">
        <f t="shared" si="32"/>
        <v>9.5</v>
      </c>
      <c r="AC82" s="21">
        <v>3</v>
      </c>
      <c r="AD82" s="8">
        <v>23</v>
      </c>
      <c r="AE82" s="11">
        <f>VLOOKUP(AD82,المرجع!$B$3:$C$12,2)</f>
        <v>0</v>
      </c>
      <c r="AF82" s="23" t="str">
        <f>VLOOKUP(AE82,المرجع!$D$3:$E$12,2)</f>
        <v>ه</v>
      </c>
      <c r="AG82" s="13">
        <f t="shared" si="33"/>
        <v>0</v>
      </c>
      <c r="AH82" s="21">
        <v>2</v>
      </c>
      <c r="AI82" s="8">
        <v>38</v>
      </c>
      <c r="AJ82" s="11">
        <f>VLOOKUP(AI82,المرجع!$B$3:$C$12,2)</f>
        <v>0</v>
      </c>
      <c r="AK82" s="23" t="str">
        <f>VLOOKUP(AJ82,المرجع!$D$3:$E$12,2)</f>
        <v>ه</v>
      </c>
      <c r="AL82" s="13">
        <f t="shared" si="34"/>
        <v>0</v>
      </c>
      <c r="AM82" s="21">
        <v>3</v>
      </c>
      <c r="AN82" s="8">
        <v>72</v>
      </c>
      <c r="AO82" s="11">
        <f>VLOOKUP(AN82,المرجع!$B$3:$C$12,2)</f>
        <v>3</v>
      </c>
      <c r="AP82" s="23" t="str">
        <f>VLOOKUP(AO82,المرجع!$D$3:$E$12,2)</f>
        <v>ج</v>
      </c>
      <c r="AQ82" s="13">
        <f t="shared" si="35"/>
        <v>9</v>
      </c>
      <c r="AR82" s="21">
        <v>2</v>
      </c>
      <c r="AS82" s="8">
        <v>50</v>
      </c>
      <c r="AT82" s="11">
        <f>VLOOKUP(AS82,المرجع!$B$3:$C$12,2)</f>
        <v>2</v>
      </c>
      <c r="AU82" s="23" t="str">
        <f>VLOOKUP(AT82,المرجع!$D$3:$E$12,2)</f>
        <v>د</v>
      </c>
      <c r="AV82" s="13">
        <f t="shared" si="36"/>
        <v>4</v>
      </c>
      <c r="AW82" s="21">
        <v>2</v>
      </c>
      <c r="AX82" s="8">
        <v>62</v>
      </c>
      <c r="AY82" s="11">
        <f>VLOOKUP(AX82,المرجع!$B$3:$C$12,2)</f>
        <v>2</v>
      </c>
      <c r="AZ82" s="23" t="str">
        <f>VLOOKUP(AY82,المرجع!$D$3:$E$12,2)</f>
        <v>د</v>
      </c>
      <c r="BA82" s="13">
        <f t="shared" si="37"/>
        <v>4</v>
      </c>
      <c r="BB82" s="25">
        <f t="shared" si="38"/>
        <v>50</v>
      </c>
      <c r="BC82" s="26">
        <f t="shared" si="39"/>
        <v>22</v>
      </c>
      <c r="BD82" s="27">
        <f t="shared" si="40"/>
        <v>2.2727272727272729</v>
      </c>
      <c r="BE82" s="80">
        <f>('المستوى الأول 2022'!BL82+'المستوى الثاني 2023'!BB82)/('المستوى الثاني 2023'!BC82+'المستوى الأول 2022'!BM82)</f>
        <v>2.2333333333333334</v>
      </c>
      <c r="BF82" s="28" t="str">
        <f>VLOOKUP(BE82,المرجع!$D$3:$F$12,3)</f>
        <v xml:space="preserve">مقبول مرتفع </v>
      </c>
      <c r="BG82" s="29">
        <f t="shared" si="41"/>
        <v>81</v>
      </c>
    </row>
    <row r="83" spans="2:59" ht="22">
      <c r="B83" s="3">
        <v>2023095</v>
      </c>
      <c r="C83" s="5" t="s">
        <v>81</v>
      </c>
      <c r="D83" s="21">
        <v>1</v>
      </c>
      <c r="E83" s="15">
        <v>50</v>
      </c>
      <c r="F83" s="11">
        <f>VLOOKUP(E83,المرجع!$B$3:$C$12,2)</f>
        <v>2</v>
      </c>
      <c r="G83" s="23" t="str">
        <f>VLOOKUP(F83,المرجع!$D$3:$E$12,2)</f>
        <v>د</v>
      </c>
      <c r="H83" s="13">
        <f t="shared" si="28"/>
        <v>2</v>
      </c>
      <c r="I83" s="21">
        <v>2</v>
      </c>
      <c r="J83" s="8">
        <v>72</v>
      </c>
      <c r="K83" s="11">
        <f>VLOOKUP(J83,المرجع!$B$3:$C$12,2)</f>
        <v>3</v>
      </c>
      <c r="L83" s="23" t="str">
        <f>VLOOKUP(K83,المرجع!$D$3:$E$12,2)</f>
        <v>ج</v>
      </c>
      <c r="M83" s="13">
        <f t="shared" si="29"/>
        <v>6</v>
      </c>
      <c r="N83" s="21">
        <v>2</v>
      </c>
      <c r="O83" s="8">
        <v>51</v>
      </c>
      <c r="P83" s="11">
        <f>VLOOKUP(O83,المرجع!$B$3:$C$12,2)</f>
        <v>2</v>
      </c>
      <c r="Q83" s="23" t="str">
        <f>VLOOKUP(P83,المرجع!$D$3:$E$12,2)</f>
        <v>د</v>
      </c>
      <c r="R83" s="13">
        <f t="shared" si="30"/>
        <v>4</v>
      </c>
      <c r="S83" s="21">
        <v>3</v>
      </c>
      <c r="T83" s="8">
        <v>75</v>
      </c>
      <c r="U83" s="11">
        <f>VLOOKUP(T83,المرجع!$B$3:$C$12,2)</f>
        <v>3.5</v>
      </c>
      <c r="V83" s="23" t="str">
        <f>VLOOKUP(U83,المرجع!$D$3:$E$12,2)</f>
        <v>ج+</v>
      </c>
      <c r="W83" s="13">
        <f t="shared" si="31"/>
        <v>10.5</v>
      </c>
      <c r="X83" s="21">
        <v>2</v>
      </c>
      <c r="Y83" s="8">
        <v>58</v>
      </c>
      <c r="Z83" s="11">
        <f>VLOOKUP(Y83,المرجع!$B$3:$C$12,2)</f>
        <v>2</v>
      </c>
      <c r="AA83" s="23" t="str">
        <f>VLOOKUP(Z83,المرجع!$D$3:$E$12,2)</f>
        <v>د</v>
      </c>
      <c r="AB83" s="13">
        <f t="shared" si="32"/>
        <v>4</v>
      </c>
      <c r="AC83" s="21">
        <v>3</v>
      </c>
      <c r="AD83" s="8">
        <v>50</v>
      </c>
      <c r="AE83" s="11">
        <f>VLOOKUP(AD83,المرجع!$B$3:$C$12,2)</f>
        <v>2</v>
      </c>
      <c r="AF83" s="23" t="str">
        <f>VLOOKUP(AE83,المرجع!$D$3:$E$12,2)</f>
        <v>د</v>
      </c>
      <c r="AG83" s="13">
        <f t="shared" si="33"/>
        <v>6</v>
      </c>
      <c r="AH83" s="21">
        <v>2</v>
      </c>
      <c r="AI83" s="8">
        <v>50</v>
      </c>
      <c r="AJ83" s="11">
        <f>VLOOKUP(AI83,المرجع!$B$3:$C$12,2)</f>
        <v>2</v>
      </c>
      <c r="AK83" s="23" t="str">
        <f>VLOOKUP(AJ83,المرجع!$D$3:$E$12,2)</f>
        <v>د</v>
      </c>
      <c r="AL83" s="13">
        <f t="shared" si="34"/>
        <v>4</v>
      </c>
      <c r="AM83" s="21">
        <v>3</v>
      </c>
      <c r="AN83" s="8">
        <v>66</v>
      </c>
      <c r="AO83" s="11">
        <f>VLOOKUP(AN83,المرجع!$B$3:$C$12,2)</f>
        <v>2.5</v>
      </c>
      <c r="AP83" s="23" t="str">
        <f>VLOOKUP(AO83,المرجع!$D$3:$E$12,2)</f>
        <v>د+</v>
      </c>
      <c r="AQ83" s="13">
        <f t="shared" si="35"/>
        <v>7.5</v>
      </c>
      <c r="AR83" s="21">
        <v>2</v>
      </c>
      <c r="AS83" s="8">
        <v>50</v>
      </c>
      <c r="AT83" s="11">
        <f>VLOOKUP(AS83,المرجع!$B$3:$C$12,2)</f>
        <v>2</v>
      </c>
      <c r="AU83" s="23" t="str">
        <f>VLOOKUP(AT83,المرجع!$D$3:$E$12,2)</f>
        <v>د</v>
      </c>
      <c r="AV83" s="13">
        <f t="shared" si="36"/>
        <v>4</v>
      </c>
      <c r="AW83" s="21">
        <v>2</v>
      </c>
      <c r="AX83" s="8">
        <v>50</v>
      </c>
      <c r="AY83" s="11">
        <f>VLOOKUP(AX83,المرجع!$B$3:$C$12,2)</f>
        <v>2</v>
      </c>
      <c r="AZ83" s="23" t="str">
        <f>VLOOKUP(AY83,المرجع!$D$3:$E$12,2)</f>
        <v>د</v>
      </c>
      <c r="BA83" s="13">
        <f t="shared" si="37"/>
        <v>4</v>
      </c>
      <c r="BB83" s="25">
        <f t="shared" si="38"/>
        <v>52</v>
      </c>
      <c r="BC83" s="26">
        <f t="shared" si="39"/>
        <v>22</v>
      </c>
      <c r="BD83" s="27">
        <f t="shared" si="40"/>
        <v>2.3636363636363638</v>
      </c>
      <c r="BE83" s="80">
        <f>('المستوى الأول 2022'!BL83+'المستوى الثاني 2023'!BB83)/('المستوى الثاني 2023'!BC83+'المستوى الأول 2022'!BM83)</f>
        <v>1.9777777777777779</v>
      </c>
      <c r="BF83" s="28" t="str">
        <f>VLOOKUP(BE83,المرجع!$D$3:$F$12,3)</f>
        <v>راسب</v>
      </c>
      <c r="BG83" s="29">
        <f t="shared" si="41"/>
        <v>80</v>
      </c>
    </row>
    <row r="84" spans="2:59" ht="22">
      <c r="B84" s="3">
        <v>2023073</v>
      </c>
      <c r="C84" s="5" t="s">
        <v>83</v>
      </c>
      <c r="D84" s="21">
        <v>1</v>
      </c>
      <c r="E84" s="15">
        <v>23</v>
      </c>
      <c r="F84" s="11">
        <f>VLOOKUP(E84,المرجع!$B$3:$C$12,2)</f>
        <v>0</v>
      </c>
      <c r="G84" s="23" t="str">
        <f>VLOOKUP(F84,المرجع!$D$3:$E$12,2)</f>
        <v>ه</v>
      </c>
      <c r="H84" s="13">
        <f t="shared" si="28"/>
        <v>0</v>
      </c>
      <c r="I84" s="21">
        <v>2</v>
      </c>
      <c r="J84" s="8">
        <v>90</v>
      </c>
      <c r="K84" s="11">
        <f>VLOOKUP(J84,المرجع!$B$3:$C$12,2)</f>
        <v>4.75</v>
      </c>
      <c r="L84" s="23" t="str">
        <f>VLOOKUP(K84,المرجع!$D$3:$E$12,2)</f>
        <v>أ</v>
      </c>
      <c r="M84" s="13">
        <f t="shared" si="29"/>
        <v>9.5</v>
      </c>
      <c r="N84" s="21">
        <v>2</v>
      </c>
      <c r="O84" s="8">
        <v>66</v>
      </c>
      <c r="P84" s="11">
        <f>VLOOKUP(O84,المرجع!$B$3:$C$12,2)</f>
        <v>2.5</v>
      </c>
      <c r="Q84" s="23" t="str">
        <f>VLOOKUP(P84,المرجع!$D$3:$E$12,2)</f>
        <v>د+</v>
      </c>
      <c r="R84" s="13">
        <f t="shared" si="30"/>
        <v>5</v>
      </c>
      <c r="S84" s="21">
        <v>3</v>
      </c>
      <c r="T84" s="8">
        <v>88</v>
      </c>
      <c r="U84" s="11">
        <f>VLOOKUP(T84,المرجع!$B$3:$C$12,2)</f>
        <v>4.5</v>
      </c>
      <c r="V84" s="23" t="str">
        <f>VLOOKUP(U84,المرجع!$D$3:$E$12,2)</f>
        <v>ب+</v>
      </c>
      <c r="W84" s="13">
        <f t="shared" si="31"/>
        <v>13.5</v>
      </c>
      <c r="X84" s="21">
        <v>2</v>
      </c>
      <c r="Y84" s="8">
        <v>81</v>
      </c>
      <c r="Z84" s="11">
        <f>VLOOKUP(Y84,المرجع!$B$3:$C$12,2)</f>
        <v>4</v>
      </c>
      <c r="AA84" s="23" t="str">
        <f>VLOOKUP(Z84,المرجع!$D$3:$E$12,2)</f>
        <v>ب</v>
      </c>
      <c r="AB84" s="13">
        <f t="shared" si="32"/>
        <v>8</v>
      </c>
      <c r="AC84" s="21">
        <v>3</v>
      </c>
      <c r="AD84" s="8">
        <v>10</v>
      </c>
      <c r="AE84" s="11">
        <f>VLOOKUP(AD84,المرجع!$B$3:$C$12,2)</f>
        <v>0</v>
      </c>
      <c r="AF84" s="23" t="str">
        <f>VLOOKUP(AE84,المرجع!$D$3:$E$12,2)</f>
        <v>ه</v>
      </c>
      <c r="AG84" s="13">
        <f t="shared" si="33"/>
        <v>0</v>
      </c>
      <c r="AH84" s="21">
        <v>2</v>
      </c>
      <c r="AI84" s="8">
        <v>0</v>
      </c>
      <c r="AJ84" s="11">
        <f>VLOOKUP(AI84,المرجع!$B$3:$C$12,2)</f>
        <v>0</v>
      </c>
      <c r="AK84" s="23" t="str">
        <f>VLOOKUP(AJ84,المرجع!$D$3:$E$12,2)</f>
        <v>ه</v>
      </c>
      <c r="AL84" s="13">
        <f t="shared" si="34"/>
        <v>0</v>
      </c>
      <c r="AM84" s="21">
        <v>3</v>
      </c>
      <c r="AN84" s="8">
        <v>0</v>
      </c>
      <c r="AO84" s="11">
        <f>VLOOKUP(AN84,المرجع!$B$3:$C$12,2)</f>
        <v>0</v>
      </c>
      <c r="AP84" s="23" t="str">
        <f>VLOOKUP(AO84,المرجع!$D$3:$E$12,2)</f>
        <v>ه</v>
      </c>
      <c r="AQ84" s="13">
        <f t="shared" si="35"/>
        <v>0</v>
      </c>
      <c r="AR84" s="21">
        <v>2</v>
      </c>
      <c r="AS84" s="8">
        <v>50</v>
      </c>
      <c r="AT84" s="11">
        <f>VLOOKUP(AS84,المرجع!$B$3:$C$12,2)</f>
        <v>2</v>
      </c>
      <c r="AU84" s="23" t="str">
        <f>VLOOKUP(AT84,المرجع!$D$3:$E$12,2)</f>
        <v>د</v>
      </c>
      <c r="AV84" s="13">
        <f t="shared" si="36"/>
        <v>4</v>
      </c>
      <c r="AW84" s="21">
        <v>2</v>
      </c>
      <c r="AX84" s="8">
        <v>100</v>
      </c>
      <c r="AY84" s="11">
        <f>VLOOKUP(AX84,المرجع!$B$3:$C$12,2)</f>
        <v>5</v>
      </c>
      <c r="AZ84" s="23" t="str">
        <f>VLOOKUP(AY84,المرجع!$D$3:$E$12,2)</f>
        <v xml:space="preserve">أ+ </v>
      </c>
      <c r="BA84" s="13">
        <f t="shared" si="37"/>
        <v>10</v>
      </c>
      <c r="BB84" s="25">
        <f t="shared" si="38"/>
        <v>50</v>
      </c>
      <c r="BC84" s="26">
        <f t="shared" si="39"/>
        <v>22</v>
      </c>
      <c r="BD84" s="27">
        <f t="shared" si="40"/>
        <v>2.2727272727272729</v>
      </c>
      <c r="BE84" s="80">
        <f>('المستوى الأول 2022'!BL84+'المستوى الثاني 2023'!BB84)/('المستوى الثاني 2023'!BC84+'المستوى الأول 2022'!BM84)</f>
        <v>2.2444444444444445</v>
      </c>
      <c r="BF84" s="28" t="str">
        <f>VLOOKUP(BE84,المرجع!$D$3:$F$12,3)</f>
        <v xml:space="preserve">مقبول مرتفع </v>
      </c>
      <c r="BG84" s="29">
        <f t="shared" si="41"/>
        <v>81</v>
      </c>
    </row>
    <row r="85" spans="2:59" ht="22">
      <c r="B85" s="3">
        <v>2023006</v>
      </c>
      <c r="C85" s="5" t="s">
        <v>33</v>
      </c>
      <c r="D85" s="21">
        <v>1</v>
      </c>
      <c r="E85" s="15">
        <v>86</v>
      </c>
      <c r="F85" s="11">
        <f>VLOOKUP(E85,المرجع!$B$3:$C$12,2)</f>
        <v>4.5</v>
      </c>
      <c r="G85" s="23" t="str">
        <f>VLOOKUP(F85,المرجع!$D$3:$E$12,2)</f>
        <v>ب+</v>
      </c>
      <c r="H85" s="13">
        <f t="shared" si="28"/>
        <v>4.5</v>
      </c>
      <c r="I85" s="21">
        <v>2</v>
      </c>
      <c r="J85" s="8">
        <v>75</v>
      </c>
      <c r="K85" s="11">
        <f>VLOOKUP(J85,المرجع!$B$3:$C$12,2)</f>
        <v>3.5</v>
      </c>
      <c r="L85" s="23" t="str">
        <f>VLOOKUP(K85,المرجع!$D$3:$E$12,2)</f>
        <v>ج+</v>
      </c>
      <c r="M85" s="13">
        <f t="shared" si="29"/>
        <v>7</v>
      </c>
      <c r="N85" s="21">
        <v>2</v>
      </c>
      <c r="O85" s="8">
        <v>65</v>
      </c>
      <c r="P85" s="11">
        <f>VLOOKUP(O85,المرجع!$B$3:$C$12,2)</f>
        <v>2.5</v>
      </c>
      <c r="Q85" s="23" t="str">
        <f>VLOOKUP(P85,المرجع!$D$3:$E$12,2)</f>
        <v>د+</v>
      </c>
      <c r="R85" s="13">
        <f t="shared" si="30"/>
        <v>5</v>
      </c>
      <c r="S85" s="21">
        <v>3</v>
      </c>
      <c r="T85" s="8">
        <v>85</v>
      </c>
      <c r="U85" s="11">
        <f>VLOOKUP(T85,المرجع!$B$3:$C$12,2)</f>
        <v>4.5</v>
      </c>
      <c r="V85" s="23" t="str">
        <f>VLOOKUP(U85,المرجع!$D$3:$E$12,2)</f>
        <v>ب+</v>
      </c>
      <c r="W85" s="13">
        <f t="shared" si="31"/>
        <v>13.5</v>
      </c>
      <c r="X85" s="21">
        <v>2</v>
      </c>
      <c r="Y85" s="8">
        <v>55</v>
      </c>
      <c r="Z85" s="11">
        <f>VLOOKUP(Y85,المرجع!$B$3:$C$12,2)</f>
        <v>2</v>
      </c>
      <c r="AA85" s="23" t="str">
        <f>VLOOKUP(Z85,المرجع!$D$3:$E$12,2)</f>
        <v>د</v>
      </c>
      <c r="AB85" s="13">
        <f t="shared" si="32"/>
        <v>4</v>
      </c>
      <c r="AC85" s="21">
        <v>3</v>
      </c>
      <c r="AD85" s="8">
        <v>23</v>
      </c>
      <c r="AE85" s="11">
        <f>VLOOKUP(AD85,المرجع!$B$3:$C$12,2)</f>
        <v>0</v>
      </c>
      <c r="AF85" s="23" t="str">
        <f>VLOOKUP(AE85,المرجع!$D$3:$E$12,2)</f>
        <v>ه</v>
      </c>
      <c r="AG85" s="13">
        <f t="shared" si="33"/>
        <v>0</v>
      </c>
      <c r="AH85" s="21">
        <v>2</v>
      </c>
      <c r="AI85" s="8">
        <v>50</v>
      </c>
      <c r="AJ85" s="11">
        <f>VLOOKUP(AI85,المرجع!$B$3:$C$12,2)</f>
        <v>2</v>
      </c>
      <c r="AK85" s="23" t="str">
        <f>VLOOKUP(AJ85,المرجع!$D$3:$E$12,2)</f>
        <v>د</v>
      </c>
      <c r="AL85" s="13">
        <f t="shared" si="34"/>
        <v>4</v>
      </c>
      <c r="AM85" s="21">
        <v>3</v>
      </c>
      <c r="AN85" s="8">
        <v>58</v>
      </c>
      <c r="AO85" s="11">
        <f>VLOOKUP(AN85,المرجع!$B$3:$C$12,2)</f>
        <v>2</v>
      </c>
      <c r="AP85" s="23" t="str">
        <f>VLOOKUP(AO85,المرجع!$D$3:$E$12,2)</f>
        <v>د</v>
      </c>
      <c r="AQ85" s="13">
        <f t="shared" si="35"/>
        <v>6</v>
      </c>
      <c r="AR85" s="21">
        <v>2</v>
      </c>
      <c r="AS85" s="8">
        <v>25</v>
      </c>
      <c r="AT85" s="11">
        <f>VLOOKUP(AS85,المرجع!$B$3:$C$12,2)</f>
        <v>0</v>
      </c>
      <c r="AU85" s="23" t="str">
        <f>VLOOKUP(AT85,المرجع!$D$3:$E$12,2)</f>
        <v>ه</v>
      </c>
      <c r="AV85" s="13">
        <f t="shared" si="36"/>
        <v>0</v>
      </c>
      <c r="AW85" s="21">
        <v>2</v>
      </c>
      <c r="AX85" s="8">
        <v>50</v>
      </c>
      <c r="AY85" s="11">
        <f>VLOOKUP(AX85,المرجع!$B$3:$C$12,2)</f>
        <v>2</v>
      </c>
      <c r="AZ85" s="23" t="str">
        <f>VLOOKUP(AY85,المرجع!$D$3:$E$12,2)</f>
        <v>د</v>
      </c>
      <c r="BA85" s="13">
        <f t="shared" si="37"/>
        <v>4</v>
      </c>
      <c r="BB85" s="25">
        <f t="shared" si="38"/>
        <v>48</v>
      </c>
      <c r="BC85" s="26">
        <f t="shared" si="39"/>
        <v>22</v>
      </c>
      <c r="BD85" s="27">
        <f t="shared" si="40"/>
        <v>2.1818181818181817</v>
      </c>
      <c r="BE85" s="80">
        <f>('المستوى الأول 2022'!BL85+'المستوى الثاني 2023'!BB85)/('المستوى الثاني 2023'!BC85+'المستوى الأول 2022'!BM85)</f>
        <v>2.2000000000000002</v>
      </c>
      <c r="BF85" s="28" t="str">
        <f>VLOOKUP(BE85,المرجع!$D$3:$F$12,3)</f>
        <v xml:space="preserve">مقبول مرتفع </v>
      </c>
      <c r="BG85" s="29">
        <f t="shared" si="41"/>
        <v>84</v>
      </c>
    </row>
    <row r="86" spans="2:59" ht="22">
      <c r="B86" s="3">
        <v>2023037</v>
      </c>
      <c r="C86" s="5" t="s">
        <v>34</v>
      </c>
      <c r="D86" s="21">
        <v>1</v>
      </c>
      <c r="E86" s="15">
        <v>61</v>
      </c>
      <c r="F86" s="11">
        <f>VLOOKUP(E86,المرجع!$B$3:$C$12,2)</f>
        <v>2</v>
      </c>
      <c r="G86" s="23" t="str">
        <f>VLOOKUP(F86,المرجع!$D$3:$E$12,2)</f>
        <v>د</v>
      </c>
      <c r="H86" s="13">
        <f t="shared" si="28"/>
        <v>2</v>
      </c>
      <c r="I86" s="21">
        <v>2</v>
      </c>
      <c r="J86" s="8">
        <v>70</v>
      </c>
      <c r="K86" s="11">
        <f>VLOOKUP(J86,المرجع!$B$3:$C$12,2)</f>
        <v>3</v>
      </c>
      <c r="L86" s="23" t="str">
        <f>VLOOKUP(K86,المرجع!$D$3:$E$12,2)</f>
        <v>ج</v>
      </c>
      <c r="M86" s="13">
        <f t="shared" si="29"/>
        <v>6</v>
      </c>
      <c r="N86" s="21">
        <v>2</v>
      </c>
      <c r="O86" s="8">
        <v>50</v>
      </c>
      <c r="P86" s="11">
        <f>VLOOKUP(O86,المرجع!$B$3:$C$12,2)</f>
        <v>2</v>
      </c>
      <c r="Q86" s="23" t="str">
        <f>VLOOKUP(P86,المرجع!$D$3:$E$12,2)</f>
        <v>د</v>
      </c>
      <c r="R86" s="13">
        <f t="shared" si="30"/>
        <v>4</v>
      </c>
      <c r="S86" s="21">
        <v>3</v>
      </c>
      <c r="T86" s="8">
        <v>66</v>
      </c>
      <c r="U86" s="11">
        <f>VLOOKUP(T86,المرجع!$B$3:$C$12,2)</f>
        <v>2.5</v>
      </c>
      <c r="V86" s="23" t="str">
        <f>VLOOKUP(U86,المرجع!$D$3:$E$12,2)</f>
        <v>د+</v>
      </c>
      <c r="W86" s="13">
        <f t="shared" si="31"/>
        <v>7.5</v>
      </c>
      <c r="X86" s="21">
        <v>2</v>
      </c>
      <c r="Y86" s="8">
        <v>55</v>
      </c>
      <c r="Z86" s="11">
        <f>VLOOKUP(Y86,المرجع!$B$3:$C$12,2)</f>
        <v>2</v>
      </c>
      <c r="AA86" s="23" t="str">
        <f>VLOOKUP(Z86,المرجع!$D$3:$E$12,2)</f>
        <v>د</v>
      </c>
      <c r="AB86" s="13">
        <f t="shared" si="32"/>
        <v>4</v>
      </c>
      <c r="AC86" s="21">
        <v>3</v>
      </c>
      <c r="AD86" s="8">
        <v>50</v>
      </c>
      <c r="AE86" s="11">
        <f>VLOOKUP(AD86,المرجع!$B$3:$C$12,2)</f>
        <v>2</v>
      </c>
      <c r="AF86" s="23" t="str">
        <f>VLOOKUP(AE86,المرجع!$D$3:$E$12,2)</f>
        <v>د</v>
      </c>
      <c r="AG86" s="13">
        <f t="shared" si="33"/>
        <v>6</v>
      </c>
      <c r="AH86" s="21">
        <v>2</v>
      </c>
      <c r="AI86" s="8">
        <v>55</v>
      </c>
      <c r="AJ86" s="11">
        <f>VLOOKUP(AI86,المرجع!$B$3:$C$12,2)</f>
        <v>2</v>
      </c>
      <c r="AK86" s="23" t="str">
        <f>VLOOKUP(AJ86,المرجع!$D$3:$E$12,2)</f>
        <v>د</v>
      </c>
      <c r="AL86" s="13">
        <f t="shared" si="34"/>
        <v>4</v>
      </c>
      <c r="AM86" s="21">
        <v>3</v>
      </c>
      <c r="AN86" s="8">
        <v>66</v>
      </c>
      <c r="AO86" s="11">
        <f>VLOOKUP(AN86,المرجع!$B$3:$C$12,2)</f>
        <v>2.5</v>
      </c>
      <c r="AP86" s="23" t="str">
        <f>VLOOKUP(AO86,المرجع!$D$3:$E$12,2)</f>
        <v>د+</v>
      </c>
      <c r="AQ86" s="13">
        <f t="shared" si="35"/>
        <v>7.5</v>
      </c>
      <c r="AR86" s="21">
        <v>2</v>
      </c>
      <c r="AS86" s="8">
        <v>50</v>
      </c>
      <c r="AT86" s="11">
        <f>VLOOKUP(AS86,المرجع!$B$3:$C$12,2)</f>
        <v>2</v>
      </c>
      <c r="AU86" s="23" t="str">
        <f>VLOOKUP(AT86,المرجع!$D$3:$E$12,2)</f>
        <v>د</v>
      </c>
      <c r="AV86" s="13">
        <f t="shared" si="36"/>
        <v>4</v>
      </c>
      <c r="AW86" s="21">
        <v>2</v>
      </c>
      <c r="AX86" s="8">
        <v>50</v>
      </c>
      <c r="AY86" s="11">
        <f>VLOOKUP(AX86,المرجع!$B$3:$C$12,2)</f>
        <v>2</v>
      </c>
      <c r="AZ86" s="23" t="str">
        <f>VLOOKUP(AY86,المرجع!$D$3:$E$12,2)</f>
        <v>د</v>
      </c>
      <c r="BA86" s="13">
        <f t="shared" si="37"/>
        <v>4</v>
      </c>
      <c r="BB86" s="25">
        <f t="shared" si="38"/>
        <v>49</v>
      </c>
      <c r="BC86" s="26">
        <f t="shared" si="39"/>
        <v>22</v>
      </c>
      <c r="BD86" s="27">
        <f t="shared" si="40"/>
        <v>2.2272727272727271</v>
      </c>
      <c r="BE86" s="80">
        <f>('المستوى الأول 2022'!BL86+'المستوى الثاني 2023'!BB86)/('المستوى الثاني 2023'!BC86+'المستوى الأول 2022'!BM86)</f>
        <v>2.0166666666666666</v>
      </c>
      <c r="BF86" s="28" t="str">
        <f>VLOOKUP(BE86,المرجع!$D$3:$F$12,3)</f>
        <v>مقبول</v>
      </c>
      <c r="BG86" s="29">
        <f t="shared" si="41"/>
        <v>83</v>
      </c>
    </row>
    <row r="87" spans="2:59" ht="22">
      <c r="B87" s="3">
        <v>2023048</v>
      </c>
      <c r="C87" s="5" t="s">
        <v>35</v>
      </c>
      <c r="D87" s="21">
        <v>1</v>
      </c>
      <c r="E87" s="15">
        <v>71</v>
      </c>
      <c r="F87" s="11">
        <f>VLOOKUP(E87,المرجع!$B$3:$C$12,2)</f>
        <v>3</v>
      </c>
      <c r="G87" s="23" t="str">
        <f>VLOOKUP(F87,المرجع!$D$3:$E$12,2)</f>
        <v>ج</v>
      </c>
      <c r="H87" s="13">
        <f t="shared" si="28"/>
        <v>3</v>
      </c>
      <c r="I87" s="21">
        <v>2</v>
      </c>
      <c r="J87" s="8">
        <v>68</v>
      </c>
      <c r="K87" s="11">
        <f>VLOOKUP(J87,المرجع!$B$3:$C$12,2)</f>
        <v>2.5</v>
      </c>
      <c r="L87" s="23" t="str">
        <f>VLOOKUP(K87,المرجع!$D$3:$E$12,2)</f>
        <v>د+</v>
      </c>
      <c r="M87" s="13">
        <f t="shared" si="29"/>
        <v>5</v>
      </c>
      <c r="N87" s="21">
        <v>2</v>
      </c>
      <c r="O87" s="8">
        <v>50</v>
      </c>
      <c r="P87" s="11">
        <f>VLOOKUP(O87,المرجع!$B$3:$C$12,2)</f>
        <v>2</v>
      </c>
      <c r="Q87" s="23" t="str">
        <f>VLOOKUP(P87,المرجع!$D$3:$E$12,2)</f>
        <v>د</v>
      </c>
      <c r="R87" s="13">
        <f t="shared" si="30"/>
        <v>4</v>
      </c>
      <c r="S87" s="21">
        <v>3</v>
      </c>
      <c r="T87" s="8">
        <v>60</v>
      </c>
      <c r="U87" s="11">
        <f>VLOOKUP(T87,المرجع!$B$3:$C$12,2)</f>
        <v>2</v>
      </c>
      <c r="V87" s="23" t="str">
        <f>VLOOKUP(U87,المرجع!$D$3:$E$12,2)</f>
        <v>د</v>
      </c>
      <c r="W87" s="13">
        <f t="shared" si="31"/>
        <v>6</v>
      </c>
      <c r="X87" s="21">
        <v>2</v>
      </c>
      <c r="Y87" s="8">
        <v>69</v>
      </c>
      <c r="Z87" s="11">
        <f>VLOOKUP(Y87,المرجع!$B$3:$C$12,2)</f>
        <v>2.5</v>
      </c>
      <c r="AA87" s="23" t="str">
        <f>VLOOKUP(Z87,المرجع!$D$3:$E$12,2)</f>
        <v>د+</v>
      </c>
      <c r="AB87" s="13">
        <f t="shared" si="32"/>
        <v>5</v>
      </c>
      <c r="AC87" s="21">
        <v>3</v>
      </c>
      <c r="AD87" s="8">
        <v>50</v>
      </c>
      <c r="AE87" s="11">
        <f>VLOOKUP(AD87,المرجع!$B$3:$C$12,2)</f>
        <v>2</v>
      </c>
      <c r="AF87" s="23" t="str">
        <f>VLOOKUP(AE87,المرجع!$D$3:$E$12,2)</f>
        <v>د</v>
      </c>
      <c r="AG87" s="13">
        <f t="shared" si="33"/>
        <v>6</v>
      </c>
      <c r="AH87" s="21">
        <v>2</v>
      </c>
      <c r="AI87" s="8">
        <v>50</v>
      </c>
      <c r="AJ87" s="11">
        <f>VLOOKUP(AI87,المرجع!$B$3:$C$12,2)</f>
        <v>2</v>
      </c>
      <c r="AK87" s="23" t="str">
        <f>VLOOKUP(AJ87,المرجع!$D$3:$E$12,2)</f>
        <v>د</v>
      </c>
      <c r="AL87" s="13">
        <f t="shared" si="34"/>
        <v>4</v>
      </c>
      <c r="AM87" s="21">
        <v>3</v>
      </c>
      <c r="AN87" s="8">
        <v>54</v>
      </c>
      <c r="AO87" s="11">
        <f>VLOOKUP(AN87,المرجع!$B$3:$C$12,2)</f>
        <v>2</v>
      </c>
      <c r="AP87" s="23" t="str">
        <f>VLOOKUP(AO87,المرجع!$D$3:$E$12,2)</f>
        <v>د</v>
      </c>
      <c r="AQ87" s="13">
        <f t="shared" si="35"/>
        <v>6</v>
      </c>
      <c r="AR87" s="21">
        <v>2</v>
      </c>
      <c r="AS87" s="8">
        <v>50</v>
      </c>
      <c r="AT87" s="11">
        <f>VLOOKUP(AS87,المرجع!$B$3:$C$12,2)</f>
        <v>2</v>
      </c>
      <c r="AU87" s="23" t="str">
        <f>VLOOKUP(AT87,المرجع!$D$3:$E$12,2)</f>
        <v>د</v>
      </c>
      <c r="AV87" s="13">
        <f t="shared" si="36"/>
        <v>4</v>
      </c>
      <c r="AW87" s="21">
        <v>2</v>
      </c>
      <c r="AX87" s="8">
        <v>50</v>
      </c>
      <c r="AY87" s="11">
        <f>VLOOKUP(AX87,المرجع!$B$3:$C$12,2)</f>
        <v>2</v>
      </c>
      <c r="AZ87" s="23" t="str">
        <f>VLOOKUP(AY87,المرجع!$D$3:$E$12,2)</f>
        <v>د</v>
      </c>
      <c r="BA87" s="13">
        <f t="shared" si="37"/>
        <v>4</v>
      </c>
      <c r="BB87" s="25">
        <f t="shared" si="38"/>
        <v>47</v>
      </c>
      <c r="BC87" s="26">
        <f t="shared" si="39"/>
        <v>22</v>
      </c>
      <c r="BD87" s="27">
        <f t="shared" si="40"/>
        <v>2.1363636363636362</v>
      </c>
      <c r="BE87" s="80">
        <f>('المستوى الأول 2022'!BL87+'المستوى الثاني 2023'!BB87)/('المستوى الثاني 2023'!BC87+'المستوى الأول 2022'!BM87)</f>
        <v>1.9777777777777779</v>
      </c>
      <c r="BF87" s="28" t="str">
        <f>VLOOKUP(BE87,المرجع!$D$3:$F$12,3)</f>
        <v>راسب</v>
      </c>
      <c r="BG87" s="29">
        <f t="shared" si="41"/>
        <v>85</v>
      </c>
    </row>
  </sheetData>
  <sortState xmlns:xlrd2="http://schemas.microsoft.com/office/spreadsheetml/2017/richdata2" ref="B3:BG87">
    <sortCondition ref="BG3:BG8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4D1E-72DC-4342-8143-15BCECA8C4AC}">
  <dimension ref="B2:BG77"/>
  <sheetViews>
    <sheetView rightToLeft="1" topLeftCell="H1" workbookViewId="0">
      <selection activeCell="BC6" sqref="BC6"/>
    </sheetView>
  </sheetViews>
  <sheetFormatPr defaultRowHeight="14.5"/>
  <cols>
    <col min="1" max="1" width="3.08984375" customWidth="1"/>
    <col min="2" max="2" width="11.36328125" style="35" customWidth="1"/>
    <col min="3" max="3" width="22.36328125" style="35" bestFit="1" customWidth="1"/>
    <col min="4" max="4" width="5.36328125" style="35" customWidth="1"/>
    <col min="5" max="12" width="5.36328125" customWidth="1"/>
    <col min="13" max="13" width="7.08984375" customWidth="1"/>
    <col min="14" max="17" width="5.36328125" customWidth="1"/>
    <col min="18" max="18" width="5.6328125" customWidth="1"/>
    <col min="19" max="55" width="5.36328125" customWidth="1"/>
    <col min="56" max="57" width="5.81640625" customWidth="1"/>
    <col min="58" max="58" width="11.36328125" customWidth="1"/>
    <col min="59" max="59" width="5.90625" customWidth="1"/>
  </cols>
  <sheetData>
    <row r="2" spans="2:59" ht="152">
      <c r="B2" s="32" t="s">
        <v>127</v>
      </c>
      <c r="C2" s="33" t="s">
        <v>128</v>
      </c>
      <c r="D2" s="36" t="s">
        <v>141</v>
      </c>
      <c r="E2" s="32" t="s">
        <v>129</v>
      </c>
      <c r="F2" s="37" t="s">
        <v>97</v>
      </c>
      <c r="G2" s="38" t="s">
        <v>98</v>
      </c>
      <c r="H2" s="39" t="s">
        <v>99</v>
      </c>
      <c r="I2" s="36" t="s">
        <v>141</v>
      </c>
      <c r="J2" s="32" t="s">
        <v>130</v>
      </c>
      <c r="K2" s="37" t="s">
        <v>97</v>
      </c>
      <c r="L2" s="38" t="s">
        <v>98</v>
      </c>
      <c r="M2" s="39" t="s">
        <v>99</v>
      </c>
      <c r="N2" s="36" t="s">
        <v>141</v>
      </c>
      <c r="O2" s="32" t="s">
        <v>131</v>
      </c>
      <c r="P2" s="37" t="s">
        <v>97</v>
      </c>
      <c r="Q2" s="38" t="s">
        <v>98</v>
      </c>
      <c r="R2" s="39" t="s">
        <v>99</v>
      </c>
      <c r="S2" s="36" t="s">
        <v>141</v>
      </c>
      <c r="T2" s="32" t="s">
        <v>132</v>
      </c>
      <c r="U2" s="37" t="s">
        <v>97</v>
      </c>
      <c r="V2" s="38" t="s">
        <v>98</v>
      </c>
      <c r="W2" s="39" t="s">
        <v>99</v>
      </c>
      <c r="X2" s="36" t="s">
        <v>141</v>
      </c>
      <c r="Y2" s="32" t="s">
        <v>133</v>
      </c>
      <c r="Z2" s="37" t="s">
        <v>97</v>
      </c>
      <c r="AA2" s="38" t="s">
        <v>98</v>
      </c>
      <c r="AB2" s="39" t="s">
        <v>99</v>
      </c>
      <c r="AC2" s="36" t="s">
        <v>141</v>
      </c>
      <c r="AD2" s="32" t="s">
        <v>134</v>
      </c>
      <c r="AE2" s="37" t="s">
        <v>97</v>
      </c>
      <c r="AF2" s="38" t="s">
        <v>98</v>
      </c>
      <c r="AG2" s="39" t="s">
        <v>99</v>
      </c>
      <c r="AH2" s="36" t="s">
        <v>141</v>
      </c>
      <c r="AI2" s="32" t="s">
        <v>135</v>
      </c>
      <c r="AJ2" s="37" t="s">
        <v>97</v>
      </c>
      <c r="AK2" s="38" t="s">
        <v>98</v>
      </c>
      <c r="AL2" s="39" t="s">
        <v>99</v>
      </c>
      <c r="AM2" s="36" t="s">
        <v>141</v>
      </c>
      <c r="AN2" s="32" t="s">
        <v>136</v>
      </c>
      <c r="AO2" s="37" t="s">
        <v>97</v>
      </c>
      <c r="AP2" s="38" t="s">
        <v>98</v>
      </c>
      <c r="AQ2" s="39" t="s">
        <v>99</v>
      </c>
      <c r="AR2" s="36" t="s">
        <v>141</v>
      </c>
      <c r="AS2" s="32" t="s">
        <v>137</v>
      </c>
      <c r="AT2" s="37" t="s">
        <v>97</v>
      </c>
      <c r="AU2" s="38" t="s">
        <v>98</v>
      </c>
      <c r="AV2" s="39" t="s">
        <v>99</v>
      </c>
      <c r="AW2" s="36" t="s">
        <v>141</v>
      </c>
      <c r="AX2" s="32" t="s">
        <v>138</v>
      </c>
      <c r="AY2" s="37" t="s">
        <v>97</v>
      </c>
      <c r="AZ2" s="38" t="s">
        <v>98</v>
      </c>
      <c r="BA2" s="39" t="s">
        <v>99</v>
      </c>
      <c r="BB2" s="41" t="s">
        <v>100</v>
      </c>
      <c r="BC2" s="41" t="s">
        <v>101</v>
      </c>
      <c r="BD2" s="41" t="s">
        <v>102</v>
      </c>
      <c r="BE2" s="45" t="s">
        <v>103</v>
      </c>
      <c r="BF2" s="46" t="s">
        <v>104</v>
      </c>
      <c r="BG2" s="41" t="s">
        <v>105</v>
      </c>
    </row>
    <row r="3" spans="2:59" ht="22.75" customHeight="1">
      <c r="B3" s="20">
        <v>2023035</v>
      </c>
      <c r="C3" s="34" t="s">
        <v>84</v>
      </c>
      <c r="D3" s="43">
        <v>1</v>
      </c>
      <c r="E3" s="20">
        <v>95</v>
      </c>
      <c r="F3" s="65">
        <f>VLOOKUP(E3,المرجع!$B$3:$C$12,2)</f>
        <v>5</v>
      </c>
      <c r="G3" s="44" t="str">
        <f>VLOOKUP(F3,المرجع!$D$3:$E$12,2)</f>
        <v xml:space="preserve">أ+ </v>
      </c>
      <c r="H3" s="40">
        <f t="shared" ref="H3:H34" si="0">F3*D3</f>
        <v>5</v>
      </c>
      <c r="I3" s="43">
        <v>3</v>
      </c>
      <c r="J3" s="20">
        <v>90</v>
      </c>
      <c r="K3" s="65">
        <f>VLOOKUP(J3,المرجع!$B$3:$C$12,2)</f>
        <v>4.75</v>
      </c>
      <c r="L3" s="44" t="str">
        <f>VLOOKUP(K3,المرجع!$D$3:$E$12,2)</f>
        <v>أ</v>
      </c>
      <c r="M3" s="40">
        <f t="shared" ref="M3:M34" si="1">K3*I3</f>
        <v>14.25</v>
      </c>
      <c r="N3" s="43">
        <v>2</v>
      </c>
      <c r="O3" s="20">
        <v>94</v>
      </c>
      <c r="P3" s="65">
        <f>VLOOKUP(O3,المرجع!$B$3:$C$12,2)</f>
        <v>4.75</v>
      </c>
      <c r="Q3" s="44" t="str">
        <f>VLOOKUP(P3,المرجع!$D$3:$E$12,2)</f>
        <v>أ</v>
      </c>
      <c r="R3" s="40">
        <f t="shared" ref="R3:R34" si="2">P3*N3</f>
        <v>9.5</v>
      </c>
      <c r="S3" s="43">
        <v>2</v>
      </c>
      <c r="T3" s="20">
        <v>90</v>
      </c>
      <c r="U3" s="65">
        <f>VLOOKUP(T3,المرجع!$B$3:$C$12,2)</f>
        <v>4.75</v>
      </c>
      <c r="V3" s="44" t="str">
        <f>VLOOKUP(U3,المرجع!$D$3:$E$12,2)</f>
        <v>أ</v>
      </c>
      <c r="W3" s="40">
        <f t="shared" ref="W3:W34" si="3">U3*S3</f>
        <v>9.5</v>
      </c>
      <c r="X3" s="43">
        <v>3</v>
      </c>
      <c r="Y3" s="20">
        <v>92</v>
      </c>
      <c r="Z3" s="65">
        <f>VLOOKUP(Y3,المرجع!$B$3:$C$12,2)</f>
        <v>4.75</v>
      </c>
      <c r="AA3" s="44" t="str">
        <f>VLOOKUP(Z3,المرجع!$D$3:$E$12,2)</f>
        <v>أ</v>
      </c>
      <c r="AB3" s="40">
        <f t="shared" ref="AB3:AB34" si="4">Z3*X3</f>
        <v>14.25</v>
      </c>
      <c r="AC3" s="43">
        <v>3</v>
      </c>
      <c r="AD3" s="20">
        <v>94</v>
      </c>
      <c r="AE3" s="65">
        <f>VLOOKUP(AD3,المرجع!$B$3:$C$12,2)</f>
        <v>4.75</v>
      </c>
      <c r="AF3" s="44" t="str">
        <f>VLOOKUP(AE3,المرجع!$D$3:$E$12,2)</f>
        <v>أ</v>
      </c>
      <c r="AG3" s="40">
        <f t="shared" ref="AG3:AG34" si="5">AE3*AC3</f>
        <v>14.25</v>
      </c>
      <c r="AH3" s="43">
        <v>3</v>
      </c>
      <c r="AI3" s="20">
        <v>97</v>
      </c>
      <c r="AJ3" s="65">
        <f>VLOOKUP(AI3,المرجع!$B$3:$C$12,2)</f>
        <v>5</v>
      </c>
      <c r="AK3" s="44" t="str">
        <f>VLOOKUP(AJ3,المرجع!$D$3:$E$12,2)</f>
        <v xml:space="preserve">أ+ </v>
      </c>
      <c r="AL3" s="40">
        <f t="shared" ref="AL3:AL34" si="6">AJ3*AH3</f>
        <v>15</v>
      </c>
      <c r="AM3" s="43">
        <v>2</v>
      </c>
      <c r="AN3" s="20">
        <v>100</v>
      </c>
      <c r="AO3" s="65">
        <f>VLOOKUP(AN3,المرجع!$B$3:$C$12,2)</f>
        <v>5</v>
      </c>
      <c r="AP3" s="44" t="str">
        <f>VLOOKUP(AO3,المرجع!$D$3:$E$12,2)</f>
        <v xml:space="preserve">أ+ </v>
      </c>
      <c r="AQ3" s="40">
        <f t="shared" ref="AQ3:AQ34" si="7">AO3*AM3</f>
        <v>10</v>
      </c>
      <c r="AR3" s="43">
        <v>2</v>
      </c>
      <c r="AS3" s="20">
        <v>94</v>
      </c>
      <c r="AT3" s="65">
        <f>VLOOKUP(AS3,المرجع!$B$3:$C$12,2)</f>
        <v>4.75</v>
      </c>
      <c r="AU3" s="44" t="str">
        <f>VLOOKUP(AT3,المرجع!$D$3:$E$12,2)</f>
        <v>أ</v>
      </c>
      <c r="AV3" s="40">
        <f t="shared" ref="AV3:AV34" si="8">AT3*AR3</f>
        <v>9.5</v>
      </c>
      <c r="AW3" s="43">
        <v>2</v>
      </c>
      <c r="AX3" s="20">
        <v>90</v>
      </c>
      <c r="AY3" s="65">
        <f>VLOOKUP(AX3,المرجع!$B$3:$C$12,2)</f>
        <v>4.75</v>
      </c>
      <c r="AZ3" s="44" t="str">
        <f>VLOOKUP(AY3,المرجع!$D$3:$E$12,2)</f>
        <v>أ</v>
      </c>
      <c r="BA3" s="40">
        <f t="shared" ref="BA3:BA34" si="9">AY3*AW3</f>
        <v>9.5</v>
      </c>
      <c r="BB3" s="48">
        <f t="shared" ref="BB3:BB34" si="10">BA3+AV3+AQ3+AL3+AG3+AB3+W3+R3+M3+H3</f>
        <v>110.75</v>
      </c>
      <c r="BC3" s="49">
        <f t="shared" ref="BC3:BC34" si="11">AW3+AR3+AM3+AH3+AC3+X3+S3+N3+I3+D3</f>
        <v>23</v>
      </c>
      <c r="BD3" s="78">
        <f>BB3/BC3</f>
        <v>4.8152173913043477</v>
      </c>
      <c r="BE3" s="87">
        <f>(BB3+'المستوى الثاني 2023'!BB3+'المستوى الأول 2022'!BL3)/('المستوى الأول 2022'!BM3+'المستوى الثاني 2023'!BC3+'المستوى الثالث ح'!BC3)</f>
        <v>4.5257352941176467</v>
      </c>
      <c r="BF3" s="47" t="str">
        <f>VLOOKUP(BD3,المرجع!$D$3:$F$12,3)</f>
        <v xml:space="preserve">ممتاز مرتفع </v>
      </c>
      <c r="BG3" s="42">
        <f t="shared" ref="BG3:BG34" si="12">RANK(BD3,$BD$3:$BD$77)</f>
        <v>1</v>
      </c>
    </row>
    <row r="4" spans="2:59" ht="22.75" customHeight="1">
      <c r="B4" s="20">
        <v>2023085</v>
      </c>
      <c r="C4" s="34" t="s">
        <v>85</v>
      </c>
      <c r="D4" s="43">
        <v>1</v>
      </c>
      <c r="E4" s="20">
        <v>99</v>
      </c>
      <c r="F4" s="65">
        <f>VLOOKUP(E4,المرجع!$B$3:$C$12,2)</f>
        <v>5</v>
      </c>
      <c r="G4" s="44" t="str">
        <f>VLOOKUP(F4,المرجع!$D$3:$E$12,2)</f>
        <v xml:space="preserve">أ+ </v>
      </c>
      <c r="H4" s="40">
        <f t="shared" si="0"/>
        <v>5</v>
      </c>
      <c r="I4" s="43">
        <v>3</v>
      </c>
      <c r="J4" s="20">
        <v>90</v>
      </c>
      <c r="K4" s="65">
        <f>VLOOKUP(J4,المرجع!$B$3:$C$12,2)</f>
        <v>4.75</v>
      </c>
      <c r="L4" s="44" t="str">
        <f>VLOOKUP(K4,المرجع!$D$3:$E$12,2)</f>
        <v>أ</v>
      </c>
      <c r="M4" s="40">
        <f t="shared" si="1"/>
        <v>14.25</v>
      </c>
      <c r="N4" s="43">
        <v>2</v>
      </c>
      <c r="O4" s="20">
        <v>100</v>
      </c>
      <c r="P4" s="65">
        <f>VLOOKUP(O4,المرجع!$B$3:$C$12,2)</f>
        <v>5</v>
      </c>
      <c r="Q4" s="44" t="str">
        <f>VLOOKUP(P4,المرجع!$D$3:$E$12,2)</f>
        <v xml:space="preserve">أ+ </v>
      </c>
      <c r="R4" s="40">
        <f t="shared" si="2"/>
        <v>10</v>
      </c>
      <c r="S4" s="43">
        <v>2</v>
      </c>
      <c r="T4" s="20">
        <v>90</v>
      </c>
      <c r="U4" s="65">
        <f>VLOOKUP(T4,المرجع!$B$3:$C$12,2)</f>
        <v>4.75</v>
      </c>
      <c r="V4" s="44" t="str">
        <f>VLOOKUP(U4,المرجع!$D$3:$E$12,2)</f>
        <v>أ</v>
      </c>
      <c r="W4" s="40">
        <f t="shared" si="3"/>
        <v>9.5</v>
      </c>
      <c r="X4" s="43">
        <v>3</v>
      </c>
      <c r="Y4" s="20">
        <v>100</v>
      </c>
      <c r="Z4" s="65">
        <f>VLOOKUP(Y4,المرجع!$B$3:$C$12,2)</f>
        <v>5</v>
      </c>
      <c r="AA4" s="44" t="str">
        <f>VLOOKUP(Z4,المرجع!$D$3:$E$12,2)</f>
        <v xml:space="preserve">أ+ </v>
      </c>
      <c r="AB4" s="40">
        <f t="shared" si="4"/>
        <v>15</v>
      </c>
      <c r="AC4" s="43">
        <v>3</v>
      </c>
      <c r="AD4" s="20">
        <v>85</v>
      </c>
      <c r="AE4" s="65">
        <f>VLOOKUP(AD4,المرجع!$B$3:$C$12,2)</f>
        <v>4.5</v>
      </c>
      <c r="AF4" s="44" t="str">
        <f>VLOOKUP(AE4,المرجع!$D$3:$E$12,2)</f>
        <v>ب+</v>
      </c>
      <c r="AG4" s="40">
        <f t="shared" si="5"/>
        <v>13.5</v>
      </c>
      <c r="AH4" s="43">
        <v>3</v>
      </c>
      <c r="AI4" s="20">
        <v>92</v>
      </c>
      <c r="AJ4" s="65">
        <f>VLOOKUP(AI4,المرجع!$B$3:$C$12,2)</f>
        <v>4.75</v>
      </c>
      <c r="AK4" s="44" t="str">
        <f>VLOOKUP(AJ4,المرجع!$D$3:$E$12,2)</f>
        <v>أ</v>
      </c>
      <c r="AL4" s="40">
        <f t="shared" si="6"/>
        <v>14.25</v>
      </c>
      <c r="AM4" s="43">
        <v>2</v>
      </c>
      <c r="AN4" s="20">
        <v>82</v>
      </c>
      <c r="AO4" s="65">
        <f>VLOOKUP(AN4,المرجع!$B$3:$C$12,2)</f>
        <v>4</v>
      </c>
      <c r="AP4" s="44" t="str">
        <f>VLOOKUP(AO4,المرجع!$D$3:$E$12,2)</f>
        <v>ب</v>
      </c>
      <c r="AQ4" s="40">
        <f t="shared" si="7"/>
        <v>8</v>
      </c>
      <c r="AR4" s="43">
        <v>2</v>
      </c>
      <c r="AS4" s="20">
        <v>89</v>
      </c>
      <c r="AT4" s="65">
        <f>VLOOKUP(AS4,المرجع!$B$3:$C$12,2)</f>
        <v>4.5</v>
      </c>
      <c r="AU4" s="44" t="str">
        <f>VLOOKUP(AT4,المرجع!$D$3:$E$12,2)</f>
        <v>ب+</v>
      </c>
      <c r="AV4" s="40">
        <f t="shared" si="8"/>
        <v>9</v>
      </c>
      <c r="AW4" s="43">
        <v>2</v>
      </c>
      <c r="AX4" s="20">
        <v>90</v>
      </c>
      <c r="AY4" s="65">
        <f>VLOOKUP(AX4,المرجع!$B$3:$C$12,2)</f>
        <v>4.75</v>
      </c>
      <c r="AZ4" s="44" t="str">
        <f>VLOOKUP(AY4,المرجع!$D$3:$E$12,2)</f>
        <v>أ</v>
      </c>
      <c r="BA4" s="40">
        <f t="shared" si="9"/>
        <v>9.5</v>
      </c>
      <c r="BB4" s="48">
        <f t="shared" si="10"/>
        <v>108</v>
      </c>
      <c r="BC4" s="49">
        <f t="shared" si="11"/>
        <v>23</v>
      </c>
      <c r="BD4" s="78">
        <f t="shared" ref="BD4:BD67" si="13">BB4/BC4</f>
        <v>4.6956521739130439</v>
      </c>
      <c r="BE4" s="87">
        <f>(BB4+'المستوى الثاني 2023'!BB4+'المستوى الأول 2022'!BL4)/('المستوى الأول 2022'!BM4+'المستوى الثاني 2023'!BC4+'المستوى الثالث ح'!BC4)</f>
        <v>4.4705882352941178</v>
      </c>
      <c r="BF4" s="47" t="str">
        <f>VLOOKUP(BD4,المرجع!$D$3:$F$12,3)</f>
        <v xml:space="preserve">ممتاز </v>
      </c>
      <c r="BG4" s="42">
        <f t="shared" si="12"/>
        <v>2</v>
      </c>
    </row>
    <row r="5" spans="2:59" ht="22.75" customHeight="1">
      <c r="B5" s="20">
        <v>2023027</v>
      </c>
      <c r="C5" s="34" t="s">
        <v>2</v>
      </c>
      <c r="D5" s="43">
        <v>1</v>
      </c>
      <c r="E5" s="20">
        <v>98</v>
      </c>
      <c r="F5" s="65">
        <f>VLOOKUP(E5,المرجع!$B$3:$C$12,2)</f>
        <v>5</v>
      </c>
      <c r="G5" s="44" t="str">
        <f>VLOOKUP(F5,المرجع!$D$3:$E$12,2)</f>
        <v xml:space="preserve">أ+ </v>
      </c>
      <c r="H5" s="40">
        <f t="shared" si="0"/>
        <v>5</v>
      </c>
      <c r="I5" s="43">
        <v>3</v>
      </c>
      <c r="J5" s="20">
        <v>83</v>
      </c>
      <c r="K5" s="65">
        <f>VLOOKUP(J5,المرجع!$B$3:$C$12,2)</f>
        <v>4</v>
      </c>
      <c r="L5" s="44" t="str">
        <f>VLOOKUP(K5,المرجع!$D$3:$E$12,2)</f>
        <v>ب</v>
      </c>
      <c r="M5" s="40">
        <f t="shared" si="1"/>
        <v>12</v>
      </c>
      <c r="N5" s="43">
        <v>2</v>
      </c>
      <c r="O5" s="20">
        <v>93</v>
      </c>
      <c r="P5" s="65">
        <f>VLOOKUP(O5,المرجع!$B$3:$C$12,2)</f>
        <v>4.75</v>
      </c>
      <c r="Q5" s="44" t="str">
        <f>VLOOKUP(P5,المرجع!$D$3:$E$12,2)</f>
        <v>أ</v>
      </c>
      <c r="R5" s="40">
        <f t="shared" si="2"/>
        <v>9.5</v>
      </c>
      <c r="S5" s="43">
        <v>2</v>
      </c>
      <c r="T5" s="20">
        <v>98</v>
      </c>
      <c r="U5" s="65">
        <f>VLOOKUP(T5,المرجع!$B$3:$C$12,2)</f>
        <v>5</v>
      </c>
      <c r="V5" s="44" t="str">
        <f>VLOOKUP(U5,المرجع!$D$3:$E$12,2)</f>
        <v xml:space="preserve">أ+ </v>
      </c>
      <c r="W5" s="40">
        <f t="shared" si="3"/>
        <v>10</v>
      </c>
      <c r="X5" s="43">
        <v>3</v>
      </c>
      <c r="Y5" s="20">
        <v>89</v>
      </c>
      <c r="Z5" s="65">
        <f>VLOOKUP(Y5,المرجع!$B$3:$C$12,2)</f>
        <v>4.5</v>
      </c>
      <c r="AA5" s="44" t="str">
        <f>VLOOKUP(Z5,المرجع!$D$3:$E$12,2)</f>
        <v>ب+</v>
      </c>
      <c r="AB5" s="40">
        <f t="shared" si="4"/>
        <v>13.5</v>
      </c>
      <c r="AC5" s="43">
        <v>3</v>
      </c>
      <c r="AD5" s="20">
        <v>95</v>
      </c>
      <c r="AE5" s="65">
        <f>VLOOKUP(AD5,المرجع!$B$3:$C$12,2)</f>
        <v>5</v>
      </c>
      <c r="AF5" s="44" t="str">
        <f>VLOOKUP(AE5,المرجع!$D$3:$E$12,2)</f>
        <v xml:space="preserve">أ+ </v>
      </c>
      <c r="AG5" s="40">
        <f t="shared" si="5"/>
        <v>15</v>
      </c>
      <c r="AH5" s="43">
        <v>3</v>
      </c>
      <c r="AI5" s="20">
        <v>100</v>
      </c>
      <c r="AJ5" s="65">
        <f>VLOOKUP(AI5,المرجع!$B$3:$C$12,2)</f>
        <v>5</v>
      </c>
      <c r="AK5" s="44" t="str">
        <f>VLOOKUP(AJ5,المرجع!$D$3:$E$12,2)</f>
        <v xml:space="preserve">أ+ </v>
      </c>
      <c r="AL5" s="40">
        <f t="shared" si="6"/>
        <v>15</v>
      </c>
      <c r="AM5" s="43">
        <v>2</v>
      </c>
      <c r="AN5" s="20">
        <v>85</v>
      </c>
      <c r="AO5" s="65">
        <f>VLOOKUP(AN5,المرجع!$B$3:$C$12,2)</f>
        <v>4.5</v>
      </c>
      <c r="AP5" s="44" t="str">
        <f>VLOOKUP(AO5,المرجع!$D$3:$E$12,2)</f>
        <v>ب+</v>
      </c>
      <c r="AQ5" s="40">
        <f t="shared" si="7"/>
        <v>9</v>
      </c>
      <c r="AR5" s="43">
        <v>2</v>
      </c>
      <c r="AS5" s="20">
        <v>89</v>
      </c>
      <c r="AT5" s="65">
        <f>VLOOKUP(AS5,المرجع!$B$3:$C$12,2)</f>
        <v>4.5</v>
      </c>
      <c r="AU5" s="44" t="str">
        <f>VLOOKUP(AT5,المرجع!$D$3:$E$12,2)</f>
        <v>ب+</v>
      </c>
      <c r="AV5" s="40">
        <f t="shared" si="8"/>
        <v>9</v>
      </c>
      <c r="AW5" s="43">
        <v>2</v>
      </c>
      <c r="AX5" s="20">
        <v>70</v>
      </c>
      <c r="AY5" s="65">
        <f>VLOOKUP(AX5,المرجع!$B$3:$C$12,2)</f>
        <v>3</v>
      </c>
      <c r="AZ5" s="44" t="str">
        <f>VLOOKUP(AY5,المرجع!$D$3:$E$12,2)</f>
        <v>ج</v>
      </c>
      <c r="BA5" s="40">
        <f t="shared" si="9"/>
        <v>6</v>
      </c>
      <c r="BB5" s="48">
        <f t="shared" si="10"/>
        <v>104</v>
      </c>
      <c r="BC5" s="49">
        <f t="shared" si="11"/>
        <v>23</v>
      </c>
      <c r="BD5" s="78">
        <f t="shared" si="13"/>
        <v>4.5217391304347823</v>
      </c>
      <c r="BE5" s="87">
        <f>(BB5+'المستوى الثاني 2023'!BB5+'المستوى الأول 2022'!BL5)/('المستوى الأول 2022'!BM5+'المستوى الثاني 2023'!BC5+'المستوى الثالث ح'!BC5)</f>
        <v>4.3897058823529411</v>
      </c>
      <c r="BF5" s="47" t="str">
        <f>VLOOKUP(BD5,المرجع!$D$3:$F$12,3)</f>
        <v>جيد جد مرتفع</v>
      </c>
      <c r="BG5" s="42">
        <f t="shared" si="12"/>
        <v>3</v>
      </c>
    </row>
    <row r="6" spans="2:59" ht="22.75" customHeight="1">
      <c r="B6" s="20">
        <v>2023002</v>
      </c>
      <c r="C6" s="34" t="s">
        <v>0</v>
      </c>
      <c r="D6" s="43">
        <v>1</v>
      </c>
      <c r="E6" s="20">
        <v>97</v>
      </c>
      <c r="F6" s="65">
        <f>VLOOKUP(E6,المرجع!$B$3:$C$12,2)</f>
        <v>5</v>
      </c>
      <c r="G6" s="44" t="str">
        <f>VLOOKUP(F6,المرجع!$D$3:$E$12,2)</f>
        <v xml:space="preserve">أ+ </v>
      </c>
      <c r="H6" s="40">
        <f t="shared" si="0"/>
        <v>5</v>
      </c>
      <c r="I6" s="43">
        <v>3</v>
      </c>
      <c r="J6" s="20">
        <v>90</v>
      </c>
      <c r="K6" s="65">
        <f>VLOOKUP(J6,المرجع!$B$3:$C$12,2)</f>
        <v>4.75</v>
      </c>
      <c r="L6" s="44" t="str">
        <f>VLOOKUP(K6,المرجع!$D$3:$E$12,2)</f>
        <v>أ</v>
      </c>
      <c r="M6" s="40">
        <f t="shared" si="1"/>
        <v>14.25</v>
      </c>
      <c r="N6" s="43">
        <v>2</v>
      </c>
      <c r="O6" s="20">
        <v>93</v>
      </c>
      <c r="P6" s="65">
        <f>VLOOKUP(O6,المرجع!$B$3:$C$12,2)</f>
        <v>4.75</v>
      </c>
      <c r="Q6" s="44" t="str">
        <f>VLOOKUP(P6,المرجع!$D$3:$E$12,2)</f>
        <v>أ</v>
      </c>
      <c r="R6" s="40">
        <f t="shared" si="2"/>
        <v>9.5</v>
      </c>
      <c r="S6" s="43">
        <v>2</v>
      </c>
      <c r="T6" s="20">
        <v>98</v>
      </c>
      <c r="U6" s="65">
        <f>VLOOKUP(T6,المرجع!$B$3:$C$12,2)</f>
        <v>5</v>
      </c>
      <c r="V6" s="44" t="str">
        <f>VLOOKUP(U6,المرجع!$D$3:$E$12,2)</f>
        <v xml:space="preserve">أ+ </v>
      </c>
      <c r="W6" s="40">
        <f t="shared" si="3"/>
        <v>10</v>
      </c>
      <c r="X6" s="43">
        <v>3</v>
      </c>
      <c r="Y6" s="20">
        <v>100</v>
      </c>
      <c r="Z6" s="65">
        <f>VLOOKUP(Y6,المرجع!$B$3:$C$12,2)</f>
        <v>5</v>
      </c>
      <c r="AA6" s="44" t="str">
        <f>VLOOKUP(Z6,المرجع!$D$3:$E$12,2)</f>
        <v xml:space="preserve">أ+ </v>
      </c>
      <c r="AB6" s="40">
        <f t="shared" si="4"/>
        <v>15</v>
      </c>
      <c r="AC6" s="43">
        <v>3</v>
      </c>
      <c r="AD6" s="20">
        <v>77</v>
      </c>
      <c r="AE6" s="65">
        <f>VLOOKUP(AD6,المرجع!$B$3:$C$12,2)</f>
        <v>3.5</v>
      </c>
      <c r="AF6" s="44" t="str">
        <f>VLOOKUP(AE6,المرجع!$D$3:$E$12,2)</f>
        <v>ج+</v>
      </c>
      <c r="AG6" s="40">
        <f t="shared" si="5"/>
        <v>10.5</v>
      </c>
      <c r="AH6" s="43">
        <v>3</v>
      </c>
      <c r="AI6" s="20">
        <v>96</v>
      </c>
      <c r="AJ6" s="65">
        <f>VLOOKUP(AI6,المرجع!$B$3:$C$12,2)</f>
        <v>5</v>
      </c>
      <c r="AK6" s="44" t="str">
        <f>VLOOKUP(AJ6,المرجع!$D$3:$E$12,2)</f>
        <v xml:space="preserve">أ+ </v>
      </c>
      <c r="AL6" s="40">
        <f t="shared" si="6"/>
        <v>15</v>
      </c>
      <c r="AM6" s="43">
        <v>2</v>
      </c>
      <c r="AN6" s="20">
        <v>90</v>
      </c>
      <c r="AO6" s="65">
        <f>VLOOKUP(AN6,المرجع!$B$3:$C$12,2)</f>
        <v>4.75</v>
      </c>
      <c r="AP6" s="44" t="str">
        <f>VLOOKUP(AO6,المرجع!$D$3:$E$12,2)</f>
        <v>أ</v>
      </c>
      <c r="AQ6" s="40">
        <f t="shared" si="7"/>
        <v>9.5</v>
      </c>
      <c r="AR6" s="43">
        <v>2</v>
      </c>
      <c r="AS6" s="20">
        <v>85</v>
      </c>
      <c r="AT6" s="65">
        <f>VLOOKUP(AS6,المرجع!$B$3:$C$12,2)</f>
        <v>4.5</v>
      </c>
      <c r="AU6" s="44" t="str">
        <f>VLOOKUP(AT6,المرجع!$D$3:$E$12,2)</f>
        <v>ب+</v>
      </c>
      <c r="AV6" s="40">
        <f t="shared" si="8"/>
        <v>9</v>
      </c>
      <c r="AW6" s="43">
        <v>2</v>
      </c>
      <c r="AX6" s="20">
        <v>71</v>
      </c>
      <c r="AY6" s="65">
        <f>VLOOKUP(AX6,المرجع!$B$3:$C$12,2)</f>
        <v>3</v>
      </c>
      <c r="AZ6" s="44" t="str">
        <f>VLOOKUP(AY6,المرجع!$D$3:$E$12,2)</f>
        <v>ج</v>
      </c>
      <c r="BA6" s="40">
        <f t="shared" si="9"/>
        <v>6</v>
      </c>
      <c r="BB6" s="48">
        <f t="shared" si="10"/>
        <v>103.75</v>
      </c>
      <c r="BC6" s="49">
        <f t="shared" si="11"/>
        <v>23</v>
      </c>
      <c r="BD6" s="78">
        <f t="shared" si="13"/>
        <v>4.5108695652173916</v>
      </c>
      <c r="BE6" s="87">
        <f>(BB6+'المستوى الثاني 2023'!BB6+'المستوى الأول 2022'!BL6)/('المستوى الأول 2022'!BM6+'المستوى الثاني 2023'!BC6+'المستوى الثالث ح'!BC6)</f>
        <v>4.4779411764705879</v>
      </c>
      <c r="BF6" s="47" t="str">
        <f>VLOOKUP(BD6,المرجع!$D$3:$F$12,3)</f>
        <v>جيد جد مرتفع</v>
      </c>
      <c r="BG6" s="42">
        <f t="shared" si="12"/>
        <v>4</v>
      </c>
    </row>
    <row r="7" spans="2:59" ht="22.75" customHeight="1">
      <c r="B7" s="20">
        <v>2023097</v>
      </c>
      <c r="C7" s="34" t="s">
        <v>48</v>
      </c>
      <c r="D7" s="43">
        <v>1</v>
      </c>
      <c r="E7" s="20">
        <v>98</v>
      </c>
      <c r="F7" s="65">
        <f>VLOOKUP(E7,المرجع!$B$3:$C$12,2)</f>
        <v>5</v>
      </c>
      <c r="G7" s="44" t="str">
        <f>VLOOKUP(F7,المرجع!$D$3:$E$12,2)</f>
        <v xml:space="preserve">أ+ </v>
      </c>
      <c r="H7" s="40">
        <f t="shared" si="0"/>
        <v>5</v>
      </c>
      <c r="I7" s="43">
        <v>3</v>
      </c>
      <c r="J7" s="20">
        <v>90</v>
      </c>
      <c r="K7" s="65">
        <f>VLOOKUP(J7,المرجع!$B$3:$C$12,2)</f>
        <v>4.75</v>
      </c>
      <c r="L7" s="44" t="str">
        <f>VLOOKUP(K7,المرجع!$D$3:$E$12,2)</f>
        <v>أ</v>
      </c>
      <c r="M7" s="40">
        <f t="shared" si="1"/>
        <v>14.25</v>
      </c>
      <c r="N7" s="43">
        <v>2</v>
      </c>
      <c r="O7" s="20">
        <v>92</v>
      </c>
      <c r="P7" s="65">
        <f>VLOOKUP(O7,المرجع!$B$3:$C$12,2)</f>
        <v>4.75</v>
      </c>
      <c r="Q7" s="44" t="str">
        <f>VLOOKUP(P7,المرجع!$D$3:$E$12,2)</f>
        <v>أ</v>
      </c>
      <c r="R7" s="40">
        <f t="shared" si="2"/>
        <v>9.5</v>
      </c>
      <c r="S7" s="43">
        <v>2</v>
      </c>
      <c r="T7" s="20">
        <v>100</v>
      </c>
      <c r="U7" s="65">
        <f>VLOOKUP(T7,المرجع!$B$3:$C$12,2)</f>
        <v>5</v>
      </c>
      <c r="V7" s="44" t="str">
        <f>VLOOKUP(U7,المرجع!$D$3:$E$12,2)</f>
        <v xml:space="preserve">أ+ </v>
      </c>
      <c r="W7" s="40">
        <f t="shared" si="3"/>
        <v>10</v>
      </c>
      <c r="X7" s="43">
        <v>3</v>
      </c>
      <c r="Y7" s="20">
        <v>82</v>
      </c>
      <c r="Z7" s="65">
        <f>VLOOKUP(Y7,المرجع!$B$3:$C$12,2)</f>
        <v>4</v>
      </c>
      <c r="AA7" s="44" t="str">
        <f>VLOOKUP(Z7,المرجع!$D$3:$E$12,2)</f>
        <v>ب</v>
      </c>
      <c r="AB7" s="40">
        <f t="shared" si="4"/>
        <v>12</v>
      </c>
      <c r="AC7" s="43">
        <v>3</v>
      </c>
      <c r="AD7" s="20">
        <v>95</v>
      </c>
      <c r="AE7" s="65">
        <f>VLOOKUP(AD7,المرجع!$B$3:$C$12,2)</f>
        <v>5</v>
      </c>
      <c r="AF7" s="44" t="str">
        <f>VLOOKUP(AE7,المرجع!$D$3:$E$12,2)</f>
        <v xml:space="preserve">أ+ </v>
      </c>
      <c r="AG7" s="40">
        <f t="shared" si="5"/>
        <v>15</v>
      </c>
      <c r="AH7" s="43">
        <v>3</v>
      </c>
      <c r="AI7" s="20">
        <v>93</v>
      </c>
      <c r="AJ7" s="65">
        <f>VLOOKUP(AI7,المرجع!$B$3:$C$12,2)</f>
        <v>4.75</v>
      </c>
      <c r="AK7" s="44" t="str">
        <f>VLOOKUP(AJ7,المرجع!$D$3:$E$12,2)</f>
        <v>أ</v>
      </c>
      <c r="AL7" s="40">
        <f t="shared" si="6"/>
        <v>14.25</v>
      </c>
      <c r="AM7" s="43">
        <v>2</v>
      </c>
      <c r="AN7" s="20">
        <v>100</v>
      </c>
      <c r="AO7" s="65">
        <f>VLOOKUP(AN7,المرجع!$B$3:$C$12,2)</f>
        <v>5</v>
      </c>
      <c r="AP7" s="44" t="str">
        <f>VLOOKUP(AO7,المرجع!$D$3:$E$12,2)</f>
        <v xml:space="preserve">أ+ </v>
      </c>
      <c r="AQ7" s="40">
        <f t="shared" si="7"/>
        <v>10</v>
      </c>
      <c r="AR7" s="43">
        <v>2</v>
      </c>
      <c r="AS7" s="20">
        <v>79</v>
      </c>
      <c r="AT7" s="65">
        <f>VLOOKUP(AS7,المرجع!$B$3:$C$12,2)</f>
        <v>3.5</v>
      </c>
      <c r="AU7" s="44" t="str">
        <f>VLOOKUP(AT7,المرجع!$D$3:$E$12,2)</f>
        <v>ج+</v>
      </c>
      <c r="AV7" s="40">
        <f t="shared" si="8"/>
        <v>7</v>
      </c>
      <c r="AW7" s="43">
        <v>2</v>
      </c>
      <c r="AX7" s="20">
        <v>53</v>
      </c>
      <c r="AY7" s="65">
        <f>VLOOKUP(AX7,المرجع!$B$3:$C$12,2)</f>
        <v>2</v>
      </c>
      <c r="AZ7" s="44" t="str">
        <f>VLOOKUP(AY7,المرجع!$D$3:$E$12,2)</f>
        <v>د</v>
      </c>
      <c r="BA7" s="40">
        <f t="shared" si="9"/>
        <v>4</v>
      </c>
      <c r="BB7" s="48">
        <f t="shared" si="10"/>
        <v>101</v>
      </c>
      <c r="BC7" s="49">
        <f t="shared" si="11"/>
        <v>23</v>
      </c>
      <c r="BD7" s="78">
        <f t="shared" si="13"/>
        <v>4.3913043478260869</v>
      </c>
      <c r="BE7" s="87">
        <f>(BB7+'المستوى الثاني 2023'!BB7+'المستوى الأول 2022'!BL7)/('المستوى الأول 2022'!BM7+'المستوى الثاني 2023'!BC7+'المستوى الثالث ح'!BC7)</f>
        <v>4.2904411764705879</v>
      </c>
      <c r="BF7" s="47" t="str">
        <f>VLOOKUP(BD7,المرجع!$D$3:$F$12,3)</f>
        <v>جيد جد مرتفع</v>
      </c>
      <c r="BG7" s="42">
        <f t="shared" si="12"/>
        <v>5</v>
      </c>
    </row>
    <row r="8" spans="2:59" ht="22.75" customHeight="1">
      <c r="B8" s="20">
        <v>2023001</v>
      </c>
      <c r="C8" s="34" t="s">
        <v>1</v>
      </c>
      <c r="D8" s="43">
        <v>1</v>
      </c>
      <c r="E8" s="20">
        <v>96</v>
      </c>
      <c r="F8" s="65">
        <f>VLOOKUP(E8,المرجع!$B$3:$C$12,2)</f>
        <v>5</v>
      </c>
      <c r="G8" s="44" t="str">
        <f>VLOOKUP(F8,المرجع!$D$3:$E$12,2)</f>
        <v xml:space="preserve">أ+ </v>
      </c>
      <c r="H8" s="40">
        <f t="shared" si="0"/>
        <v>5</v>
      </c>
      <c r="I8" s="43">
        <v>3</v>
      </c>
      <c r="J8" s="20">
        <v>83</v>
      </c>
      <c r="K8" s="65">
        <f>VLOOKUP(J8,المرجع!$B$3:$C$12,2)</f>
        <v>4</v>
      </c>
      <c r="L8" s="44" t="str">
        <f>VLOOKUP(K8,المرجع!$D$3:$E$12,2)</f>
        <v>ب</v>
      </c>
      <c r="M8" s="40">
        <f t="shared" si="1"/>
        <v>12</v>
      </c>
      <c r="N8" s="43">
        <v>2</v>
      </c>
      <c r="O8" s="20">
        <v>98</v>
      </c>
      <c r="P8" s="65">
        <f>VLOOKUP(O8,المرجع!$B$3:$C$12,2)</f>
        <v>5</v>
      </c>
      <c r="Q8" s="44" t="str">
        <f>VLOOKUP(P8,المرجع!$D$3:$E$12,2)</f>
        <v xml:space="preserve">أ+ </v>
      </c>
      <c r="R8" s="40">
        <f t="shared" si="2"/>
        <v>10</v>
      </c>
      <c r="S8" s="43">
        <v>2</v>
      </c>
      <c r="T8" s="20">
        <v>90</v>
      </c>
      <c r="U8" s="65">
        <f>VLOOKUP(T8,المرجع!$B$3:$C$12,2)</f>
        <v>4.75</v>
      </c>
      <c r="V8" s="44" t="str">
        <f>VLOOKUP(U8,المرجع!$D$3:$E$12,2)</f>
        <v>أ</v>
      </c>
      <c r="W8" s="40">
        <f t="shared" si="3"/>
        <v>9.5</v>
      </c>
      <c r="X8" s="43">
        <v>3</v>
      </c>
      <c r="Y8" s="20">
        <v>70</v>
      </c>
      <c r="Z8" s="65">
        <f>VLOOKUP(Y8,المرجع!$B$3:$C$12,2)</f>
        <v>3</v>
      </c>
      <c r="AA8" s="44" t="str">
        <f>VLOOKUP(Z8,المرجع!$D$3:$E$12,2)</f>
        <v>ج</v>
      </c>
      <c r="AB8" s="40">
        <f t="shared" si="4"/>
        <v>9</v>
      </c>
      <c r="AC8" s="43">
        <v>3</v>
      </c>
      <c r="AD8" s="20">
        <v>83</v>
      </c>
      <c r="AE8" s="65">
        <f>VLOOKUP(AD8,المرجع!$B$3:$C$12,2)</f>
        <v>4</v>
      </c>
      <c r="AF8" s="44" t="str">
        <f>VLOOKUP(AE8,المرجع!$D$3:$E$12,2)</f>
        <v>ب</v>
      </c>
      <c r="AG8" s="40">
        <f t="shared" si="5"/>
        <v>12</v>
      </c>
      <c r="AH8" s="43">
        <v>3</v>
      </c>
      <c r="AI8" s="20">
        <v>85</v>
      </c>
      <c r="AJ8" s="65">
        <f>VLOOKUP(AI8,المرجع!$B$3:$C$12,2)</f>
        <v>4.5</v>
      </c>
      <c r="AK8" s="44" t="str">
        <f>VLOOKUP(AJ8,المرجع!$D$3:$E$12,2)</f>
        <v>ب+</v>
      </c>
      <c r="AL8" s="40">
        <f t="shared" si="6"/>
        <v>13.5</v>
      </c>
      <c r="AM8" s="43">
        <v>2</v>
      </c>
      <c r="AN8" s="20">
        <v>90</v>
      </c>
      <c r="AO8" s="65">
        <f>VLOOKUP(AN8,المرجع!$B$3:$C$12,2)</f>
        <v>4.75</v>
      </c>
      <c r="AP8" s="44" t="str">
        <f>VLOOKUP(AO8,المرجع!$D$3:$E$12,2)</f>
        <v>أ</v>
      </c>
      <c r="AQ8" s="40">
        <f t="shared" si="7"/>
        <v>9.5</v>
      </c>
      <c r="AR8" s="43">
        <v>2</v>
      </c>
      <c r="AS8" s="20">
        <v>88</v>
      </c>
      <c r="AT8" s="65">
        <f>VLOOKUP(AS8,المرجع!$B$3:$C$12,2)</f>
        <v>4.5</v>
      </c>
      <c r="AU8" s="44" t="str">
        <f>VLOOKUP(AT8,المرجع!$D$3:$E$12,2)</f>
        <v>ب+</v>
      </c>
      <c r="AV8" s="40">
        <f t="shared" si="8"/>
        <v>9</v>
      </c>
      <c r="AW8" s="43">
        <v>2</v>
      </c>
      <c r="AX8" s="20">
        <v>92</v>
      </c>
      <c r="AY8" s="65">
        <f>VLOOKUP(AX8,المرجع!$B$3:$C$12,2)</f>
        <v>4.75</v>
      </c>
      <c r="AZ8" s="44" t="str">
        <f>VLOOKUP(AY8,المرجع!$D$3:$E$12,2)</f>
        <v>أ</v>
      </c>
      <c r="BA8" s="40">
        <f t="shared" si="9"/>
        <v>9.5</v>
      </c>
      <c r="BB8" s="48">
        <f t="shared" si="10"/>
        <v>99</v>
      </c>
      <c r="BC8" s="49">
        <f t="shared" si="11"/>
        <v>23</v>
      </c>
      <c r="BD8" s="78">
        <f t="shared" si="13"/>
        <v>4.3043478260869561</v>
      </c>
      <c r="BE8" s="87">
        <f>(BB8+'المستوى الثاني 2023'!BB8+'المستوى الأول 2022'!BL8)/('المستوى الأول 2022'!BM8+'المستوى الثاني 2023'!BC8+'المستوى الثالث ح'!BC8)</f>
        <v>4.1727941176470589</v>
      </c>
      <c r="BF8" s="47" t="str">
        <f>VLOOKUP(BD8,المرجع!$D$3:$F$12,3)</f>
        <v>جيد جد مرتفع</v>
      </c>
      <c r="BG8" s="42">
        <f t="shared" si="12"/>
        <v>6</v>
      </c>
    </row>
    <row r="9" spans="2:59" ht="22.75" customHeight="1">
      <c r="B9" s="20">
        <v>2023041</v>
      </c>
      <c r="C9" s="34" t="s">
        <v>90</v>
      </c>
      <c r="D9" s="43">
        <v>1</v>
      </c>
      <c r="E9" s="20">
        <v>96</v>
      </c>
      <c r="F9" s="65">
        <f>VLOOKUP(E9,المرجع!$B$3:$C$12,2)</f>
        <v>5</v>
      </c>
      <c r="G9" s="44" t="str">
        <f>VLOOKUP(F9,المرجع!$D$3:$E$12,2)</f>
        <v xml:space="preserve">أ+ </v>
      </c>
      <c r="H9" s="40">
        <f t="shared" si="0"/>
        <v>5</v>
      </c>
      <c r="I9" s="43">
        <v>3</v>
      </c>
      <c r="J9" s="20">
        <v>90</v>
      </c>
      <c r="K9" s="65">
        <f>VLOOKUP(J9,المرجع!$B$3:$C$12,2)</f>
        <v>4.75</v>
      </c>
      <c r="L9" s="44" t="str">
        <f>VLOOKUP(K9,المرجع!$D$3:$E$12,2)</f>
        <v>أ</v>
      </c>
      <c r="M9" s="40">
        <f t="shared" si="1"/>
        <v>14.25</v>
      </c>
      <c r="N9" s="43">
        <v>2</v>
      </c>
      <c r="O9" s="20">
        <v>79</v>
      </c>
      <c r="P9" s="65">
        <f>VLOOKUP(O9,المرجع!$B$3:$C$12,2)</f>
        <v>3.5</v>
      </c>
      <c r="Q9" s="44" t="str">
        <f>VLOOKUP(P9,المرجع!$D$3:$E$12,2)</f>
        <v>ج+</v>
      </c>
      <c r="R9" s="40">
        <f t="shared" si="2"/>
        <v>7</v>
      </c>
      <c r="S9" s="43">
        <v>2</v>
      </c>
      <c r="T9" s="20">
        <v>90</v>
      </c>
      <c r="U9" s="65">
        <f>VLOOKUP(T9,المرجع!$B$3:$C$12,2)</f>
        <v>4.75</v>
      </c>
      <c r="V9" s="44" t="str">
        <f>VLOOKUP(U9,المرجع!$D$3:$E$12,2)</f>
        <v>أ</v>
      </c>
      <c r="W9" s="40">
        <f t="shared" si="3"/>
        <v>9.5</v>
      </c>
      <c r="X9" s="43">
        <v>3</v>
      </c>
      <c r="Y9" s="20">
        <v>100</v>
      </c>
      <c r="Z9" s="65">
        <f>VLOOKUP(Y9,المرجع!$B$3:$C$12,2)</f>
        <v>5</v>
      </c>
      <c r="AA9" s="44" t="str">
        <f>VLOOKUP(Z9,المرجع!$D$3:$E$12,2)</f>
        <v xml:space="preserve">أ+ </v>
      </c>
      <c r="AB9" s="40">
        <f t="shared" si="4"/>
        <v>15</v>
      </c>
      <c r="AC9" s="43">
        <v>3</v>
      </c>
      <c r="AD9" s="20">
        <v>88</v>
      </c>
      <c r="AE9" s="65">
        <f>VLOOKUP(AD9,المرجع!$B$3:$C$12,2)</f>
        <v>4.5</v>
      </c>
      <c r="AF9" s="44" t="str">
        <f>VLOOKUP(AE9,المرجع!$D$3:$E$12,2)</f>
        <v>ب+</v>
      </c>
      <c r="AG9" s="40">
        <f t="shared" si="5"/>
        <v>13.5</v>
      </c>
      <c r="AH9" s="43">
        <v>3</v>
      </c>
      <c r="AI9" s="20">
        <v>90</v>
      </c>
      <c r="AJ9" s="65">
        <f>VLOOKUP(AI9,المرجع!$B$3:$C$12,2)</f>
        <v>4.75</v>
      </c>
      <c r="AK9" s="44" t="str">
        <f>VLOOKUP(AJ9,المرجع!$D$3:$E$12,2)</f>
        <v>أ</v>
      </c>
      <c r="AL9" s="40">
        <f t="shared" si="6"/>
        <v>14.25</v>
      </c>
      <c r="AM9" s="43">
        <v>2</v>
      </c>
      <c r="AN9" s="20">
        <v>75</v>
      </c>
      <c r="AO9" s="65">
        <f>VLOOKUP(AN9,المرجع!$B$3:$C$12,2)</f>
        <v>3.5</v>
      </c>
      <c r="AP9" s="44" t="str">
        <f>VLOOKUP(AO9,المرجع!$D$3:$E$12,2)</f>
        <v>ج+</v>
      </c>
      <c r="AQ9" s="40">
        <f t="shared" si="7"/>
        <v>7</v>
      </c>
      <c r="AR9" s="43">
        <v>2</v>
      </c>
      <c r="AS9" s="20">
        <v>67</v>
      </c>
      <c r="AT9" s="65">
        <f>VLOOKUP(AS9,المرجع!$B$3:$C$12,2)</f>
        <v>2.5</v>
      </c>
      <c r="AU9" s="44" t="str">
        <f>VLOOKUP(AT9,المرجع!$D$3:$E$12,2)</f>
        <v>د+</v>
      </c>
      <c r="AV9" s="40">
        <f t="shared" si="8"/>
        <v>5</v>
      </c>
      <c r="AW9" s="43">
        <v>2</v>
      </c>
      <c r="AX9" s="20">
        <v>81</v>
      </c>
      <c r="AY9" s="65">
        <f>VLOOKUP(AX9,المرجع!$B$3:$C$12,2)</f>
        <v>4</v>
      </c>
      <c r="AZ9" s="44" t="str">
        <f>VLOOKUP(AY9,المرجع!$D$3:$E$12,2)</f>
        <v>ب</v>
      </c>
      <c r="BA9" s="40">
        <f t="shared" si="9"/>
        <v>8</v>
      </c>
      <c r="BB9" s="48">
        <f t="shared" si="10"/>
        <v>98.5</v>
      </c>
      <c r="BC9" s="49">
        <f t="shared" si="11"/>
        <v>23</v>
      </c>
      <c r="BD9" s="78">
        <f t="shared" si="13"/>
        <v>4.2826086956521738</v>
      </c>
      <c r="BE9" s="87">
        <f>(BB9+'المستوى الثاني 2023'!BB9+'المستوى الأول 2022'!BL9)/('المستوى الأول 2022'!BM9+'المستوى الثاني 2023'!BC9+'المستوى الثالث ح'!BC9)</f>
        <v>4.1360294117647056</v>
      </c>
      <c r="BF9" s="47" t="str">
        <f>VLOOKUP(BD9,المرجع!$D$3:$F$12,3)</f>
        <v>جيد جد مرتفع</v>
      </c>
      <c r="BG9" s="42">
        <f t="shared" si="12"/>
        <v>7</v>
      </c>
    </row>
    <row r="10" spans="2:59" ht="22.75" customHeight="1">
      <c r="B10" s="20">
        <v>2023053</v>
      </c>
      <c r="C10" s="34" t="s">
        <v>86</v>
      </c>
      <c r="D10" s="43">
        <v>1</v>
      </c>
      <c r="E10" s="20">
        <v>90</v>
      </c>
      <c r="F10" s="65">
        <f>VLOOKUP(E10,المرجع!$B$3:$C$12,2)</f>
        <v>4.75</v>
      </c>
      <c r="G10" s="44" t="str">
        <f>VLOOKUP(F10,المرجع!$D$3:$E$12,2)</f>
        <v>أ</v>
      </c>
      <c r="H10" s="40">
        <f t="shared" si="0"/>
        <v>4.75</v>
      </c>
      <c r="I10" s="43">
        <v>3</v>
      </c>
      <c r="J10" s="20">
        <v>90</v>
      </c>
      <c r="K10" s="65">
        <f>VLOOKUP(J10,المرجع!$B$3:$C$12,2)</f>
        <v>4.75</v>
      </c>
      <c r="L10" s="44" t="str">
        <f>VLOOKUP(K10,المرجع!$D$3:$E$12,2)</f>
        <v>أ</v>
      </c>
      <c r="M10" s="40">
        <f t="shared" si="1"/>
        <v>14.25</v>
      </c>
      <c r="N10" s="43">
        <v>2</v>
      </c>
      <c r="O10" s="20">
        <v>85</v>
      </c>
      <c r="P10" s="65">
        <f>VLOOKUP(O10,المرجع!$B$3:$C$12,2)</f>
        <v>4.5</v>
      </c>
      <c r="Q10" s="44" t="str">
        <f>VLOOKUP(P10,المرجع!$D$3:$E$12,2)</f>
        <v>ب+</v>
      </c>
      <c r="R10" s="40">
        <f t="shared" si="2"/>
        <v>9</v>
      </c>
      <c r="S10" s="43">
        <v>2</v>
      </c>
      <c r="T10" s="20">
        <v>90</v>
      </c>
      <c r="U10" s="65">
        <f>VLOOKUP(T10,المرجع!$B$3:$C$12,2)</f>
        <v>4.75</v>
      </c>
      <c r="V10" s="44" t="str">
        <f>VLOOKUP(U10,المرجع!$D$3:$E$12,2)</f>
        <v>أ</v>
      </c>
      <c r="W10" s="40">
        <f t="shared" si="3"/>
        <v>9.5</v>
      </c>
      <c r="X10" s="43">
        <v>3</v>
      </c>
      <c r="Y10" s="20">
        <v>100</v>
      </c>
      <c r="Z10" s="65">
        <f>VLOOKUP(Y10,المرجع!$B$3:$C$12,2)</f>
        <v>5</v>
      </c>
      <c r="AA10" s="44" t="str">
        <f>VLOOKUP(Z10,المرجع!$D$3:$E$12,2)</f>
        <v xml:space="preserve">أ+ </v>
      </c>
      <c r="AB10" s="40">
        <f t="shared" si="4"/>
        <v>15</v>
      </c>
      <c r="AC10" s="43">
        <v>3</v>
      </c>
      <c r="AD10" s="20">
        <v>72</v>
      </c>
      <c r="AE10" s="65">
        <f>VLOOKUP(AD10,المرجع!$B$3:$C$12,2)</f>
        <v>3</v>
      </c>
      <c r="AF10" s="44" t="str">
        <f>VLOOKUP(AE10,المرجع!$D$3:$E$12,2)</f>
        <v>ج</v>
      </c>
      <c r="AG10" s="40">
        <f t="shared" si="5"/>
        <v>9</v>
      </c>
      <c r="AH10" s="43">
        <v>3</v>
      </c>
      <c r="AI10" s="20">
        <v>77</v>
      </c>
      <c r="AJ10" s="65">
        <f>VLOOKUP(AI10,المرجع!$B$3:$C$12,2)</f>
        <v>3.5</v>
      </c>
      <c r="AK10" s="44" t="str">
        <f>VLOOKUP(AJ10,المرجع!$D$3:$E$12,2)</f>
        <v>ج+</v>
      </c>
      <c r="AL10" s="40">
        <f t="shared" si="6"/>
        <v>10.5</v>
      </c>
      <c r="AM10" s="43">
        <v>2</v>
      </c>
      <c r="AN10" s="20">
        <v>75</v>
      </c>
      <c r="AO10" s="65">
        <f>VLOOKUP(AN10,المرجع!$B$3:$C$12,2)</f>
        <v>3.5</v>
      </c>
      <c r="AP10" s="44" t="str">
        <f>VLOOKUP(AO10,المرجع!$D$3:$E$12,2)</f>
        <v>ج+</v>
      </c>
      <c r="AQ10" s="40">
        <f t="shared" si="7"/>
        <v>7</v>
      </c>
      <c r="AR10" s="43">
        <v>2</v>
      </c>
      <c r="AS10" s="20">
        <v>90</v>
      </c>
      <c r="AT10" s="65">
        <f>VLOOKUP(AS10,المرجع!$B$3:$C$12,2)</f>
        <v>4.75</v>
      </c>
      <c r="AU10" s="44" t="str">
        <f>VLOOKUP(AT10,المرجع!$D$3:$E$12,2)</f>
        <v>أ</v>
      </c>
      <c r="AV10" s="40">
        <f t="shared" si="8"/>
        <v>9.5</v>
      </c>
      <c r="AW10" s="43">
        <v>2</v>
      </c>
      <c r="AX10" s="20">
        <v>89</v>
      </c>
      <c r="AY10" s="65">
        <f>VLOOKUP(AX10,المرجع!$B$3:$C$12,2)</f>
        <v>4.5</v>
      </c>
      <c r="AZ10" s="44" t="str">
        <f>VLOOKUP(AY10,المرجع!$D$3:$E$12,2)</f>
        <v>ب+</v>
      </c>
      <c r="BA10" s="40">
        <f t="shared" si="9"/>
        <v>9</v>
      </c>
      <c r="BB10" s="48">
        <f t="shared" si="10"/>
        <v>97.5</v>
      </c>
      <c r="BC10" s="49">
        <f t="shared" si="11"/>
        <v>23</v>
      </c>
      <c r="BD10" s="78">
        <f t="shared" si="13"/>
        <v>4.2391304347826084</v>
      </c>
      <c r="BE10" s="87">
        <f>(BB10+'المستوى الثاني 2023'!BB10+'المستوى الأول 2022'!BL10)/('المستوى الأول 2022'!BM10+'المستوى الثاني 2023'!BC10+'المستوى الثالث ح'!BC10)</f>
        <v>4.132352941176471</v>
      </c>
      <c r="BF10" s="47" t="str">
        <f>VLOOKUP(BD10,المرجع!$D$3:$F$12,3)</f>
        <v>جيد جد مرتفع</v>
      </c>
      <c r="BG10" s="42">
        <f t="shared" si="12"/>
        <v>8</v>
      </c>
    </row>
    <row r="11" spans="2:59" ht="22.75" customHeight="1">
      <c r="B11" s="20">
        <v>2023023</v>
      </c>
      <c r="C11" s="34" t="s">
        <v>87</v>
      </c>
      <c r="D11" s="43">
        <v>1</v>
      </c>
      <c r="E11" s="20">
        <v>80</v>
      </c>
      <c r="F11" s="65">
        <f>VLOOKUP(E11,المرجع!$B$3:$C$12,2)</f>
        <v>4</v>
      </c>
      <c r="G11" s="44" t="str">
        <f>VLOOKUP(F11,المرجع!$D$3:$E$12,2)</f>
        <v>ب</v>
      </c>
      <c r="H11" s="40">
        <f t="shared" si="0"/>
        <v>4</v>
      </c>
      <c r="I11" s="43">
        <v>3</v>
      </c>
      <c r="J11" s="20">
        <v>88</v>
      </c>
      <c r="K11" s="65">
        <f>VLOOKUP(J11,المرجع!$B$3:$C$12,2)</f>
        <v>4.5</v>
      </c>
      <c r="L11" s="44" t="str">
        <f>VLOOKUP(K11,المرجع!$D$3:$E$12,2)</f>
        <v>ب+</v>
      </c>
      <c r="M11" s="40">
        <f t="shared" si="1"/>
        <v>13.5</v>
      </c>
      <c r="N11" s="43">
        <v>2</v>
      </c>
      <c r="O11" s="20">
        <v>84</v>
      </c>
      <c r="P11" s="65">
        <f>VLOOKUP(O11,المرجع!$B$3:$C$12,2)</f>
        <v>4</v>
      </c>
      <c r="Q11" s="44" t="str">
        <f>VLOOKUP(P11,المرجع!$D$3:$E$12,2)</f>
        <v>ب</v>
      </c>
      <c r="R11" s="40">
        <f t="shared" si="2"/>
        <v>8</v>
      </c>
      <c r="S11" s="43">
        <v>2</v>
      </c>
      <c r="T11" s="20">
        <v>90</v>
      </c>
      <c r="U11" s="65">
        <f>VLOOKUP(T11,المرجع!$B$3:$C$12,2)</f>
        <v>4.75</v>
      </c>
      <c r="V11" s="44" t="str">
        <f>VLOOKUP(U11,المرجع!$D$3:$E$12,2)</f>
        <v>أ</v>
      </c>
      <c r="W11" s="40">
        <f t="shared" si="3"/>
        <v>9.5</v>
      </c>
      <c r="X11" s="43">
        <v>3</v>
      </c>
      <c r="Y11" s="20">
        <v>95</v>
      </c>
      <c r="Z11" s="65">
        <f>VLOOKUP(Y11,المرجع!$B$3:$C$12,2)</f>
        <v>5</v>
      </c>
      <c r="AA11" s="44" t="str">
        <f>VLOOKUP(Z11,المرجع!$D$3:$E$12,2)</f>
        <v xml:space="preserve">أ+ </v>
      </c>
      <c r="AB11" s="40">
        <f t="shared" si="4"/>
        <v>15</v>
      </c>
      <c r="AC11" s="43">
        <v>3</v>
      </c>
      <c r="AD11" s="20">
        <v>74</v>
      </c>
      <c r="AE11" s="65">
        <f>VLOOKUP(AD11,المرجع!$B$3:$C$12,2)</f>
        <v>3</v>
      </c>
      <c r="AF11" s="44" t="str">
        <f>VLOOKUP(AE11,المرجع!$D$3:$E$12,2)</f>
        <v>ج</v>
      </c>
      <c r="AG11" s="40">
        <f t="shared" si="5"/>
        <v>9</v>
      </c>
      <c r="AH11" s="43">
        <v>3</v>
      </c>
      <c r="AI11" s="20">
        <v>80</v>
      </c>
      <c r="AJ11" s="65">
        <f>VLOOKUP(AI11,المرجع!$B$3:$C$12,2)</f>
        <v>4</v>
      </c>
      <c r="AK11" s="44" t="str">
        <f>VLOOKUP(AJ11,المرجع!$D$3:$E$12,2)</f>
        <v>ب</v>
      </c>
      <c r="AL11" s="40">
        <f t="shared" si="6"/>
        <v>12</v>
      </c>
      <c r="AM11" s="43">
        <v>2</v>
      </c>
      <c r="AN11" s="20">
        <v>88</v>
      </c>
      <c r="AO11" s="65">
        <f>VLOOKUP(AN11,المرجع!$B$3:$C$12,2)</f>
        <v>4.5</v>
      </c>
      <c r="AP11" s="44" t="str">
        <f>VLOOKUP(AO11,المرجع!$D$3:$E$12,2)</f>
        <v>ب+</v>
      </c>
      <c r="AQ11" s="40">
        <f t="shared" si="7"/>
        <v>9</v>
      </c>
      <c r="AR11" s="43">
        <v>2</v>
      </c>
      <c r="AS11" s="20">
        <v>82</v>
      </c>
      <c r="AT11" s="65">
        <f>VLOOKUP(AS11,المرجع!$B$3:$C$12,2)</f>
        <v>4</v>
      </c>
      <c r="AU11" s="44" t="str">
        <f>VLOOKUP(AT11,المرجع!$D$3:$E$12,2)</f>
        <v>ب</v>
      </c>
      <c r="AV11" s="40">
        <f t="shared" si="8"/>
        <v>8</v>
      </c>
      <c r="AW11" s="43">
        <v>2</v>
      </c>
      <c r="AX11" s="20">
        <v>93</v>
      </c>
      <c r="AY11" s="65">
        <f>VLOOKUP(AX11,المرجع!$B$3:$C$12,2)</f>
        <v>4.75</v>
      </c>
      <c r="AZ11" s="44" t="str">
        <f>VLOOKUP(AY11,المرجع!$D$3:$E$12,2)</f>
        <v>أ</v>
      </c>
      <c r="BA11" s="40">
        <f t="shared" si="9"/>
        <v>9.5</v>
      </c>
      <c r="BB11" s="48">
        <f t="shared" si="10"/>
        <v>97.5</v>
      </c>
      <c r="BC11" s="49">
        <f t="shared" si="11"/>
        <v>23</v>
      </c>
      <c r="BD11" s="78">
        <f t="shared" si="13"/>
        <v>4.2391304347826084</v>
      </c>
      <c r="BE11" s="87">
        <f>(BB11+'المستوى الثاني 2023'!BB11+'المستوى الأول 2022'!BL11)/('المستوى الأول 2022'!BM11+'المستوى الثاني 2023'!BC11+'المستوى الثالث ح'!BC11)</f>
        <v>4.0404411764705879</v>
      </c>
      <c r="BF11" s="47" t="str">
        <f>VLOOKUP(BD11,المرجع!$D$3:$F$12,3)</f>
        <v>جيد جد مرتفع</v>
      </c>
      <c r="BG11" s="42">
        <f t="shared" si="12"/>
        <v>8</v>
      </c>
    </row>
    <row r="12" spans="2:59" ht="22.75" customHeight="1">
      <c r="B12" s="20">
        <v>2023084</v>
      </c>
      <c r="C12" s="34" t="s">
        <v>88</v>
      </c>
      <c r="D12" s="43">
        <v>1</v>
      </c>
      <c r="E12" s="20">
        <v>91</v>
      </c>
      <c r="F12" s="65">
        <f>VLOOKUP(E12,المرجع!$B$3:$C$12,2)</f>
        <v>4.75</v>
      </c>
      <c r="G12" s="44" t="str">
        <f>VLOOKUP(F12,المرجع!$D$3:$E$12,2)</f>
        <v>أ</v>
      </c>
      <c r="H12" s="40">
        <f t="shared" si="0"/>
        <v>4.75</v>
      </c>
      <c r="I12" s="43">
        <v>3</v>
      </c>
      <c r="J12" s="20">
        <v>89</v>
      </c>
      <c r="K12" s="65">
        <f>VLOOKUP(J12,المرجع!$B$3:$C$12,2)</f>
        <v>4.5</v>
      </c>
      <c r="L12" s="44" t="str">
        <f>VLOOKUP(K12,المرجع!$D$3:$E$12,2)</f>
        <v>ب+</v>
      </c>
      <c r="M12" s="40">
        <f t="shared" si="1"/>
        <v>13.5</v>
      </c>
      <c r="N12" s="43">
        <v>2</v>
      </c>
      <c r="O12" s="20">
        <v>82</v>
      </c>
      <c r="P12" s="65">
        <f>VLOOKUP(O12,المرجع!$B$3:$C$12,2)</f>
        <v>4</v>
      </c>
      <c r="Q12" s="44" t="str">
        <f>VLOOKUP(P12,المرجع!$D$3:$E$12,2)</f>
        <v>ب</v>
      </c>
      <c r="R12" s="40">
        <f t="shared" si="2"/>
        <v>8</v>
      </c>
      <c r="S12" s="43">
        <v>2</v>
      </c>
      <c r="T12" s="20">
        <v>90</v>
      </c>
      <c r="U12" s="65">
        <f>VLOOKUP(T12,المرجع!$B$3:$C$12,2)</f>
        <v>4.75</v>
      </c>
      <c r="V12" s="44" t="str">
        <f>VLOOKUP(U12,المرجع!$D$3:$E$12,2)</f>
        <v>أ</v>
      </c>
      <c r="W12" s="40">
        <f t="shared" si="3"/>
        <v>9.5</v>
      </c>
      <c r="X12" s="43">
        <v>3</v>
      </c>
      <c r="Y12" s="20">
        <v>100</v>
      </c>
      <c r="Z12" s="65">
        <f>VLOOKUP(Y12,المرجع!$B$3:$C$12,2)</f>
        <v>5</v>
      </c>
      <c r="AA12" s="44" t="str">
        <f>VLOOKUP(Z12,المرجع!$D$3:$E$12,2)</f>
        <v xml:space="preserve">أ+ </v>
      </c>
      <c r="AB12" s="40">
        <f t="shared" si="4"/>
        <v>15</v>
      </c>
      <c r="AC12" s="43">
        <v>3</v>
      </c>
      <c r="AD12" s="20">
        <v>75</v>
      </c>
      <c r="AE12" s="65">
        <f>VLOOKUP(AD12,المرجع!$B$3:$C$12,2)</f>
        <v>3.5</v>
      </c>
      <c r="AF12" s="44" t="str">
        <f>VLOOKUP(AE12,المرجع!$D$3:$E$12,2)</f>
        <v>ج+</v>
      </c>
      <c r="AG12" s="40">
        <f t="shared" si="5"/>
        <v>10.5</v>
      </c>
      <c r="AH12" s="43">
        <v>3</v>
      </c>
      <c r="AI12" s="20">
        <v>70</v>
      </c>
      <c r="AJ12" s="65">
        <f>VLOOKUP(AI12,المرجع!$B$3:$C$12,2)</f>
        <v>3</v>
      </c>
      <c r="AK12" s="44" t="str">
        <f>VLOOKUP(AJ12,المرجع!$D$3:$E$12,2)</f>
        <v>ج</v>
      </c>
      <c r="AL12" s="40">
        <f t="shared" si="6"/>
        <v>9</v>
      </c>
      <c r="AM12" s="43">
        <v>2</v>
      </c>
      <c r="AN12" s="20">
        <v>93</v>
      </c>
      <c r="AO12" s="65">
        <f>VLOOKUP(AN12,المرجع!$B$3:$C$12,2)</f>
        <v>4.75</v>
      </c>
      <c r="AP12" s="44" t="str">
        <f>VLOOKUP(AO12,المرجع!$D$3:$E$12,2)</f>
        <v>أ</v>
      </c>
      <c r="AQ12" s="40">
        <f t="shared" si="7"/>
        <v>9.5</v>
      </c>
      <c r="AR12" s="43">
        <v>2</v>
      </c>
      <c r="AS12" s="20">
        <v>83</v>
      </c>
      <c r="AT12" s="65">
        <f>VLOOKUP(AS12,المرجع!$B$3:$C$12,2)</f>
        <v>4</v>
      </c>
      <c r="AU12" s="44" t="str">
        <f>VLOOKUP(AT12,المرجع!$D$3:$E$12,2)</f>
        <v>ب</v>
      </c>
      <c r="AV12" s="40">
        <f t="shared" si="8"/>
        <v>8</v>
      </c>
      <c r="AW12" s="43">
        <v>2</v>
      </c>
      <c r="AX12" s="20">
        <v>80</v>
      </c>
      <c r="AY12" s="65">
        <f>VLOOKUP(AX12,المرجع!$B$3:$C$12,2)</f>
        <v>4</v>
      </c>
      <c r="AZ12" s="44" t="str">
        <f>VLOOKUP(AY12,المرجع!$D$3:$E$12,2)</f>
        <v>ب</v>
      </c>
      <c r="BA12" s="40">
        <f t="shared" si="9"/>
        <v>8</v>
      </c>
      <c r="BB12" s="48">
        <f t="shared" si="10"/>
        <v>95.75</v>
      </c>
      <c r="BC12" s="49">
        <f t="shared" si="11"/>
        <v>23</v>
      </c>
      <c r="BD12" s="78">
        <f t="shared" si="13"/>
        <v>4.1630434782608692</v>
      </c>
      <c r="BE12" s="87">
        <f>(BB12+'المستوى الثاني 2023'!BB12+'المستوى الأول 2022'!BL12)/('المستوى الأول 2022'!BM12+'المستوى الثاني 2023'!BC12+'المستوى الثالث ح'!BC12)</f>
        <v>4.0919117647058822</v>
      </c>
      <c r="BF12" s="47" t="str">
        <f>VLOOKUP(BD12,المرجع!$D$3:$F$12,3)</f>
        <v>جيد جد مرتفع</v>
      </c>
      <c r="BG12" s="42">
        <f t="shared" si="12"/>
        <v>10</v>
      </c>
    </row>
    <row r="13" spans="2:59" ht="22.75" customHeight="1">
      <c r="B13" s="20">
        <v>2023110</v>
      </c>
      <c r="C13" s="34" t="s">
        <v>56</v>
      </c>
      <c r="D13" s="43">
        <v>1</v>
      </c>
      <c r="E13" s="20">
        <v>98</v>
      </c>
      <c r="F13" s="65">
        <f>VLOOKUP(E13,المرجع!$B$3:$C$12,2)</f>
        <v>5</v>
      </c>
      <c r="G13" s="44" t="str">
        <f>VLOOKUP(F13,المرجع!$D$3:$E$12,2)</f>
        <v xml:space="preserve">أ+ </v>
      </c>
      <c r="H13" s="40">
        <f t="shared" si="0"/>
        <v>5</v>
      </c>
      <c r="I13" s="43">
        <v>3</v>
      </c>
      <c r="J13" s="20">
        <v>90</v>
      </c>
      <c r="K13" s="65">
        <f>VLOOKUP(J13,المرجع!$B$3:$C$12,2)</f>
        <v>4.75</v>
      </c>
      <c r="L13" s="44" t="str">
        <f>VLOOKUP(K13,المرجع!$D$3:$E$12,2)</f>
        <v>أ</v>
      </c>
      <c r="M13" s="40">
        <f t="shared" si="1"/>
        <v>14.25</v>
      </c>
      <c r="N13" s="43">
        <v>2</v>
      </c>
      <c r="O13" s="20">
        <v>90</v>
      </c>
      <c r="P13" s="65">
        <f>VLOOKUP(O13,المرجع!$B$3:$C$12,2)</f>
        <v>4.75</v>
      </c>
      <c r="Q13" s="44" t="str">
        <f>VLOOKUP(P13,المرجع!$D$3:$E$12,2)</f>
        <v>أ</v>
      </c>
      <c r="R13" s="40">
        <f t="shared" si="2"/>
        <v>9.5</v>
      </c>
      <c r="S13" s="43">
        <v>2</v>
      </c>
      <c r="T13" s="20">
        <v>89</v>
      </c>
      <c r="U13" s="65">
        <f>VLOOKUP(T13,المرجع!$B$3:$C$12,2)</f>
        <v>4.5</v>
      </c>
      <c r="V13" s="44" t="str">
        <f>VLOOKUP(U13,المرجع!$D$3:$E$12,2)</f>
        <v>ب+</v>
      </c>
      <c r="W13" s="40">
        <f t="shared" si="3"/>
        <v>9</v>
      </c>
      <c r="X13" s="43">
        <v>3</v>
      </c>
      <c r="Y13" s="20">
        <v>75</v>
      </c>
      <c r="Z13" s="65">
        <f>VLOOKUP(Y13,المرجع!$B$3:$C$12,2)</f>
        <v>3.5</v>
      </c>
      <c r="AA13" s="44" t="str">
        <f>VLOOKUP(Z13,المرجع!$D$3:$E$12,2)</f>
        <v>ج+</v>
      </c>
      <c r="AB13" s="40">
        <f t="shared" si="4"/>
        <v>10.5</v>
      </c>
      <c r="AC13" s="43">
        <v>3</v>
      </c>
      <c r="AD13" s="20">
        <v>79</v>
      </c>
      <c r="AE13" s="65">
        <f>VLOOKUP(AD13,المرجع!$B$3:$C$12,2)</f>
        <v>3.5</v>
      </c>
      <c r="AF13" s="44" t="str">
        <f>VLOOKUP(AE13,المرجع!$D$3:$E$12,2)</f>
        <v>ج+</v>
      </c>
      <c r="AG13" s="40">
        <f t="shared" si="5"/>
        <v>10.5</v>
      </c>
      <c r="AH13" s="43">
        <v>3</v>
      </c>
      <c r="AI13" s="20">
        <v>87</v>
      </c>
      <c r="AJ13" s="65">
        <f>VLOOKUP(AI13,المرجع!$B$3:$C$12,2)</f>
        <v>4.5</v>
      </c>
      <c r="AK13" s="44" t="str">
        <f>VLOOKUP(AJ13,المرجع!$D$3:$E$12,2)</f>
        <v>ب+</v>
      </c>
      <c r="AL13" s="40">
        <f t="shared" si="6"/>
        <v>13.5</v>
      </c>
      <c r="AM13" s="43">
        <v>2</v>
      </c>
      <c r="AN13" s="20">
        <v>80</v>
      </c>
      <c r="AO13" s="65">
        <f>VLOOKUP(AN13,المرجع!$B$3:$C$12,2)</f>
        <v>4</v>
      </c>
      <c r="AP13" s="44" t="str">
        <f>VLOOKUP(AO13,المرجع!$D$3:$E$12,2)</f>
        <v>ب</v>
      </c>
      <c r="AQ13" s="40">
        <f t="shared" si="7"/>
        <v>8</v>
      </c>
      <c r="AR13" s="43">
        <v>2</v>
      </c>
      <c r="AS13" s="20">
        <v>69</v>
      </c>
      <c r="AT13" s="65">
        <f>VLOOKUP(AS13,المرجع!$B$3:$C$12,2)</f>
        <v>2.5</v>
      </c>
      <c r="AU13" s="44" t="str">
        <f>VLOOKUP(AT13,المرجع!$D$3:$E$12,2)</f>
        <v>د+</v>
      </c>
      <c r="AV13" s="40">
        <f t="shared" si="8"/>
        <v>5</v>
      </c>
      <c r="AW13" s="43">
        <v>2</v>
      </c>
      <c r="AX13" s="20">
        <v>94</v>
      </c>
      <c r="AY13" s="65">
        <f>VLOOKUP(AX13,المرجع!$B$3:$C$12,2)</f>
        <v>4.75</v>
      </c>
      <c r="AZ13" s="44" t="str">
        <f>VLOOKUP(AY13,المرجع!$D$3:$E$12,2)</f>
        <v>أ</v>
      </c>
      <c r="BA13" s="40">
        <f t="shared" si="9"/>
        <v>9.5</v>
      </c>
      <c r="BB13" s="48">
        <f t="shared" si="10"/>
        <v>94.75</v>
      </c>
      <c r="BC13" s="49">
        <f t="shared" si="11"/>
        <v>23</v>
      </c>
      <c r="BD13" s="78">
        <f t="shared" si="13"/>
        <v>4.1195652173913047</v>
      </c>
      <c r="BE13" s="87">
        <f>(BB13+'المستوى الثاني 2023'!BB13+'المستوى الأول 2022'!BL13)/('المستوى الأول 2022'!BM13+'المستوى الثاني 2023'!BC13+'المستوى الثالث ح'!BC13)</f>
        <v>4.0294117647058822</v>
      </c>
      <c r="BF13" s="47" t="str">
        <f>VLOOKUP(BD13,المرجع!$D$3:$F$12,3)</f>
        <v>جيد جد مرتفع</v>
      </c>
      <c r="BG13" s="42">
        <f t="shared" si="12"/>
        <v>11</v>
      </c>
    </row>
    <row r="14" spans="2:59" ht="22.75" customHeight="1">
      <c r="B14" s="20">
        <v>2023045</v>
      </c>
      <c r="C14" s="34" t="s">
        <v>10</v>
      </c>
      <c r="D14" s="43">
        <v>1</v>
      </c>
      <c r="E14" s="20">
        <v>93</v>
      </c>
      <c r="F14" s="65">
        <f>VLOOKUP(E14,المرجع!$B$3:$C$12,2)</f>
        <v>4.75</v>
      </c>
      <c r="G14" s="44" t="str">
        <f>VLOOKUP(F14,المرجع!$D$3:$E$12,2)</f>
        <v>أ</v>
      </c>
      <c r="H14" s="40">
        <f t="shared" si="0"/>
        <v>4.75</v>
      </c>
      <c r="I14" s="43">
        <v>3</v>
      </c>
      <c r="J14" s="20">
        <v>75</v>
      </c>
      <c r="K14" s="65">
        <f>VLOOKUP(J14,المرجع!$B$3:$C$12,2)</f>
        <v>3.5</v>
      </c>
      <c r="L14" s="44" t="str">
        <f>VLOOKUP(K14,المرجع!$D$3:$E$12,2)</f>
        <v>ج+</v>
      </c>
      <c r="M14" s="40">
        <f t="shared" si="1"/>
        <v>10.5</v>
      </c>
      <c r="N14" s="43">
        <v>2</v>
      </c>
      <c r="O14" s="20">
        <v>84</v>
      </c>
      <c r="P14" s="65">
        <f>VLOOKUP(O14,المرجع!$B$3:$C$12,2)</f>
        <v>4</v>
      </c>
      <c r="Q14" s="44" t="str">
        <f>VLOOKUP(P14,المرجع!$D$3:$E$12,2)</f>
        <v>ب</v>
      </c>
      <c r="R14" s="40">
        <f t="shared" si="2"/>
        <v>8</v>
      </c>
      <c r="S14" s="43">
        <v>2</v>
      </c>
      <c r="T14" s="20">
        <v>91</v>
      </c>
      <c r="U14" s="65">
        <f>VLOOKUP(T14,المرجع!$B$3:$C$12,2)</f>
        <v>4.75</v>
      </c>
      <c r="V14" s="44" t="str">
        <f>VLOOKUP(U14,المرجع!$D$3:$E$12,2)</f>
        <v>أ</v>
      </c>
      <c r="W14" s="40">
        <f t="shared" si="3"/>
        <v>9.5</v>
      </c>
      <c r="X14" s="43">
        <v>3</v>
      </c>
      <c r="Y14" s="20">
        <v>70</v>
      </c>
      <c r="Z14" s="65">
        <f>VLOOKUP(Y14,المرجع!$B$3:$C$12,2)</f>
        <v>3</v>
      </c>
      <c r="AA14" s="44" t="str">
        <f>VLOOKUP(Z14,المرجع!$D$3:$E$12,2)</f>
        <v>ج</v>
      </c>
      <c r="AB14" s="40">
        <f t="shared" si="4"/>
        <v>9</v>
      </c>
      <c r="AC14" s="43">
        <v>3</v>
      </c>
      <c r="AD14" s="20">
        <v>88</v>
      </c>
      <c r="AE14" s="65">
        <f>VLOOKUP(AD14,المرجع!$B$3:$C$12,2)</f>
        <v>4.5</v>
      </c>
      <c r="AF14" s="44" t="str">
        <f>VLOOKUP(AE14,المرجع!$D$3:$E$12,2)</f>
        <v>ب+</v>
      </c>
      <c r="AG14" s="40">
        <f t="shared" si="5"/>
        <v>13.5</v>
      </c>
      <c r="AH14" s="43">
        <v>3</v>
      </c>
      <c r="AI14" s="20">
        <v>94</v>
      </c>
      <c r="AJ14" s="65">
        <f>VLOOKUP(AI14,المرجع!$B$3:$C$12,2)</f>
        <v>4.75</v>
      </c>
      <c r="AK14" s="44" t="str">
        <f>VLOOKUP(AJ14,المرجع!$D$3:$E$12,2)</f>
        <v>أ</v>
      </c>
      <c r="AL14" s="40">
        <f t="shared" si="6"/>
        <v>14.25</v>
      </c>
      <c r="AM14" s="43">
        <v>2</v>
      </c>
      <c r="AN14" s="20">
        <v>75</v>
      </c>
      <c r="AO14" s="65">
        <f>VLOOKUP(AN14,المرجع!$B$3:$C$12,2)</f>
        <v>3.5</v>
      </c>
      <c r="AP14" s="44" t="str">
        <f>VLOOKUP(AO14,المرجع!$D$3:$E$12,2)</f>
        <v>ج+</v>
      </c>
      <c r="AQ14" s="40">
        <f t="shared" si="7"/>
        <v>7</v>
      </c>
      <c r="AR14" s="43">
        <v>2</v>
      </c>
      <c r="AS14" s="20">
        <v>84</v>
      </c>
      <c r="AT14" s="65">
        <f>VLOOKUP(AS14,المرجع!$B$3:$C$12,2)</f>
        <v>4</v>
      </c>
      <c r="AU14" s="44" t="str">
        <f>VLOOKUP(AT14,المرجع!$D$3:$E$12,2)</f>
        <v>ب</v>
      </c>
      <c r="AV14" s="40">
        <f t="shared" si="8"/>
        <v>8</v>
      </c>
      <c r="AW14" s="43">
        <v>2</v>
      </c>
      <c r="AX14" s="20">
        <v>90</v>
      </c>
      <c r="AY14" s="65">
        <f>VLOOKUP(AX14,المرجع!$B$3:$C$12,2)</f>
        <v>4.75</v>
      </c>
      <c r="AZ14" s="44" t="str">
        <f>VLOOKUP(AY14,المرجع!$D$3:$E$12,2)</f>
        <v>أ</v>
      </c>
      <c r="BA14" s="40">
        <f t="shared" si="9"/>
        <v>9.5</v>
      </c>
      <c r="BB14" s="48">
        <f t="shared" si="10"/>
        <v>94</v>
      </c>
      <c r="BC14" s="49">
        <f t="shared" si="11"/>
        <v>23</v>
      </c>
      <c r="BD14" s="78">
        <f t="shared" si="13"/>
        <v>4.0869565217391308</v>
      </c>
      <c r="BE14" s="87">
        <f>(BB14+'المستوى الثاني 2023'!BB14+'المستوى الأول 2022'!BL14)/('المستوى الأول 2022'!BM14+'المستوى الثاني 2023'!BC14+'المستوى الثالث ح'!BC14)</f>
        <v>4.0404411764705879</v>
      </c>
      <c r="BF14" s="47" t="str">
        <f>VLOOKUP(BD14,المرجع!$D$3:$F$12,3)</f>
        <v xml:space="preserve">جيد جدا </v>
      </c>
      <c r="BG14" s="42">
        <f t="shared" si="12"/>
        <v>12</v>
      </c>
    </row>
    <row r="15" spans="2:59" ht="22.75" customHeight="1">
      <c r="B15" s="20">
        <v>2023082</v>
      </c>
      <c r="C15" s="34" t="s">
        <v>59</v>
      </c>
      <c r="D15" s="43">
        <v>1</v>
      </c>
      <c r="E15" s="20">
        <v>93</v>
      </c>
      <c r="F15" s="65">
        <f>VLOOKUP(E15,المرجع!$B$3:$C$12,2)</f>
        <v>4.75</v>
      </c>
      <c r="G15" s="44" t="str">
        <f>VLOOKUP(F15,المرجع!$D$3:$E$12,2)</f>
        <v>أ</v>
      </c>
      <c r="H15" s="40">
        <f t="shared" si="0"/>
        <v>4.75</v>
      </c>
      <c r="I15" s="43">
        <v>3</v>
      </c>
      <c r="J15" s="20">
        <v>90</v>
      </c>
      <c r="K15" s="65">
        <f>VLOOKUP(J15,المرجع!$B$3:$C$12,2)</f>
        <v>4.75</v>
      </c>
      <c r="L15" s="44" t="str">
        <f>VLOOKUP(K15,المرجع!$D$3:$E$12,2)</f>
        <v>أ</v>
      </c>
      <c r="M15" s="40">
        <f t="shared" si="1"/>
        <v>14.25</v>
      </c>
      <c r="N15" s="43">
        <v>2</v>
      </c>
      <c r="O15" s="20">
        <v>74</v>
      </c>
      <c r="P15" s="65">
        <f>VLOOKUP(O15,المرجع!$B$3:$C$12,2)</f>
        <v>3</v>
      </c>
      <c r="Q15" s="44" t="str">
        <f>VLOOKUP(P15,المرجع!$D$3:$E$12,2)</f>
        <v>ج</v>
      </c>
      <c r="R15" s="40">
        <f t="shared" si="2"/>
        <v>6</v>
      </c>
      <c r="S15" s="43">
        <v>2</v>
      </c>
      <c r="T15" s="20">
        <v>85</v>
      </c>
      <c r="U15" s="65">
        <f>VLOOKUP(T15,المرجع!$B$3:$C$12,2)</f>
        <v>4.5</v>
      </c>
      <c r="V15" s="44" t="str">
        <f>VLOOKUP(U15,المرجع!$D$3:$E$12,2)</f>
        <v>ب+</v>
      </c>
      <c r="W15" s="40">
        <f t="shared" si="3"/>
        <v>9</v>
      </c>
      <c r="X15" s="43">
        <v>3</v>
      </c>
      <c r="Y15" s="20">
        <v>83</v>
      </c>
      <c r="Z15" s="65">
        <f>VLOOKUP(Y15,المرجع!$B$3:$C$12,2)</f>
        <v>4</v>
      </c>
      <c r="AA15" s="44" t="str">
        <f>VLOOKUP(Z15,المرجع!$D$3:$E$12,2)</f>
        <v>ب</v>
      </c>
      <c r="AB15" s="40">
        <f t="shared" si="4"/>
        <v>12</v>
      </c>
      <c r="AC15" s="43">
        <v>3</v>
      </c>
      <c r="AD15" s="20">
        <v>100</v>
      </c>
      <c r="AE15" s="65">
        <f>VLOOKUP(AD15,المرجع!$B$3:$C$12,2)</f>
        <v>5</v>
      </c>
      <c r="AF15" s="44" t="str">
        <f>VLOOKUP(AE15,المرجع!$D$3:$E$12,2)</f>
        <v xml:space="preserve">أ+ </v>
      </c>
      <c r="AG15" s="40">
        <f t="shared" si="5"/>
        <v>15</v>
      </c>
      <c r="AH15" s="43">
        <v>3</v>
      </c>
      <c r="AI15" s="20">
        <v>94</v>
      </c>
      <c r="AJ15" s="65">
        <f>VLOOKUP(AI15,المرجع!$B$3:$C$12,2)</f>
        <v>4.75</v>
      </c>
      <c r="AK15" s="44" t="str">
        <f>VLOOKUP(AJ15,المرجع!$D$3:$E$12,2)</f>
        <v>أ</v>
      </c>
      <c r="AL15" s="40">
        <f t="shared" si="6"/>
        <v>14.25</v>
      </c>
      <c r="AM15" s="43">
        <v>2</v>
      </c>
      <c r="AN15" s="20">
        <v>70</v>
      </c>
      <c r="AO15" s="65">
        <f>VLOOKUP(AN15,المرجع!$B$3:$C$12,2)</f>
        <v>3</v>
      </c>
      <c r="AP15" s="44" t="str">
        <f>VLOOKUP(AO15,المرجع!$D$3:$E$12,2)</f>
        <v>ج</v>
      </c>
      <c r="AQ15" s="40">
        <f t="shared" si="7"/>
        <v>6</v>
      </c>
      <c r="AR15" s="43">
        <v>2</v>
      </c>
      <c r="AS15" s="20">
        <v>81</v>
      </c>
      <c r="AT15" s="65">
        <f>VLOOKUP(AS15,المرجع!$B$3:$C$12,2)</f>
        <v>4</v>
      </c>
      <c r="AU15" s="44" t="str">
        <f>VLOOKUP(AT15,المرجع!$D$3:$E$12,2)</f>
        <v>ب</v>
      </c>
      <c r="AV15" s="40">
        <f t="shared" si="8"/>
        <v>8</v>
      </c>
      <c r="AW15" s="43">
        <v>2</v>
      </c>
      <c r="AX15" s="20">
        <v>51</v>
      </c>
      <c r="AY15" s="65">
        <f>VLOOKUP(AX15,المرجع!$B$3:$C$12,2)</f>
        <v>2</v>
      </c>
      <c r="AZ15" s="44" t="str">
        <f>VLOOKUP(AY15,المرجع!$D$3:$E$12,2)</f>
        <v>د</v>
      </c>
      <c r="BA15" s="40">
        <f t="shared" si="9"/>
        <v>4</v>
      </c>
      <c r="BB15" s="48">
        <f t="shared" si="10"/>
        <v>93.25</v>
      </c>
      <c r="BC15" s="49">
        <f t="shared" si="11"/>
        <v>23</v>
      </c>
      <c r="BD15" s="78">
        <f t="shared" si="13"/>
        <v>4.0543478260869561</v>
      </c>
      <c r="BE15" s="87">
        <f>(BB15+'المستوى الثاني 2023'!BB15+'المستوى الأول 2022'!BL15)/('المستوى الأول 2022'!BM15+'المستوى الثاني 2023'!BC15+'المستوى الثالث ح'!BC15)</f>
        <v>3.9558823529411766</v>
      </c>
      <c r="BF15" s="47" t="str">
        <f>VLOOKUP(BD15,المرجع!$D$3:$F$12,3)</f>
        <v xml:space="preserve">جيد جدا </v>
      </c>
      <c r="BG15" s="42">
        <f t="shared" si="12"/>
        <v>13</v>
      </c>
    </row>
    <row r="16" spans="2:59" ht="22.75" customHeight="1">
      <c r="B16" s="20">
        <v>2023069</v>
      </c>
      <c r="C16" s="34" t="s">
        <v>50</v>
      </c>
      <c r="D16" s="43">
        <v>1</v>
      </c>
      <c r="E16" s="20">
        <v>92</v>
      </c>
      <c r="F16" s="65">
        <f>VLOOKUP(E16,المرجع!$B$3:$C$12,2)</f>
        <v>4.75</v>
      </c>
      <c r="G16" s="44" t="str">
        <f>VLOOKUP(F16,المرجع!$D$3:$E$12,2)</f>
        <v>أ</v>
      </c>
      <c r="H16" s="40">
        <f t="shared" si="0"/>
        <v>4.75</v>
      </c>
      <c r="I16" s="43">
        <v>3</v>
      </c>
      <c r="J16" s="20">
        <v>70</v>
      </c>
      <c r="K16" s="65">
        <f>VLOOKUP(J16,المرجع!$B$3:$C$12,2)</f>
        <v>3</v>
      </c>
      <c r="L16" s="44" t="str">
        <f>VLOOKUP(K16,المرجع!$D$3:$E$12,2)</f>
        <v>ج</v>
      </c>
      <c r="M16" s="40">
        <f t="shared" si="1"/>
        <v>9</v>
      </c>
      <c r="N16" s="43">
        <v>2</v>
      </c>
      <c r="O16" s="20">
        <v>91</v>
      </c>
      <c r="P16" s="65">
        <f>VLOOKUP(O16,المرجع!$B$3:$C$12,2)</f>
        <v>4.75</v>
      </c>
      <c r="Q16" s="44" t="str">
        <f>VLOOKUP(P16,المرجع!$D$3:$E$12,2)</f>
        <v>أ</v>
      </c>
      <c r="R16" s="40">
        <f t="shared" si="2"/>
        <v>9.5</v>
      </c>
      <c r="S16" s="43">
        <v>2</v>
      </c>
      <c r="T16" s="20">
        <v>91</v>
      </c>
      <c r="U16" s="65">
        <f>VLOOKUP(T16,المرجع!$B$3:$C$12,2)</f>
        <v>4.75</v>
      </c>
      <c r="V16" s="44" t="str">
        <f>VLOOKUP(U16,المرجع!$D$3:$E$12,2)</f>
        <v>أ</v>
      </c>
      <c r="W16" s="40">
        <f t="shared" si="3"/>
        <v>9.5</v>
      </c>
      <c r="X16" s="43">
        <v>3</v>
      </c>
      <c r="Y16" s="20">
        <v>76</v>
      </c>
      <c r="Z16" s="65">
        <f>VLOOKUP(Y16,المرجع!$B$3:$C$12,2)</f>
        <v>3.5</v>
      </c>
      <c r="AA16" s="44" t="str">
        <f>VLOOKUP(Z16,المرجع!$D$3:$E$12,2)</f>
        <v>ج+</v>
      </c>
      <c r="AB16" s="40">
        <f t="shared" si="4"/>
        <v>10.5</v>
      </c>
      <c r="AC16" s="43">
        <v>3</v>
      </c>
      <c r="AD16" s="20">
        <v>81</v>
      </c>
      <c r="AE16" s="65">
        <f>VLOOKUP(AD16,المرجع!$B$3:$C$12,2)</f>
        <v>4</v>
      </c>
      <c r="AF16" s="44" t="str">
        <f>VLOOKUP(AE16,المرجع!$D$3:$E$12,2)</f>
        <v>ب</v>
      </c>
      <c r="AG16" s="40">
        <f t="shared" si="5"/>
        <v>12</v>
      </c>
      <c r="AH16" s="43">
        <v>3</v>
      </c>
      <c r="AI16" s="20">
        <v>95</v>
      </c>
      <c r="AJ16" s="65">
        <f>VLOOKUP(AI16,المرجع!$B$3:$C$12,2)</f>
        <v>5</v>
      </c>
      <c r="AK16" s="44" t="str">
        <f>VLOOKUP(AJ16,المرجع!$D$3:$E$12,2)</f>
        <v xml:space="preserve">أ+ </v>
      </c>
      <c r="AL16" s="40">
        <f t="shared" si="6"/>
        <v>15</v>
      </c>
      <c r="AM16" s="43">
        <v>2</v>
      </c>
      <c r="AN16" s="20">
        <v>80</v>
      </c>
      <c r="AO16" s="65">
        <f>VLOOKUP(AN16,المرجع!$B$3:$C$12,2)</f>
        <v>4</v>
      </c>
      <c r="AP16" s="44" t="str">
        <f>VLOOKUP(AO16,المرجع!$D$3:$E$12,2)</f>
        <v>ب</v>
      </c>
      <c r="AQ16" s="40">
        <f t="shared" si="7"/>
        <v>8</v>
      </c>
      <c r="AR16" s="43">
        <v>2</v>
      </c>
      <c r="AS16" s="20">
        <v>78</v>
      </c>
      <c r="AT16" s="65">
        <f>VLOOKUP(AS16,المرجع!$B$3:$C$12,2)</f>
        <v>3.5</v>
      </c>
      <c r="AU16" s="44" t="str">
        <f>VLOOKUP(AT16,المرجع!$D$3:$E$12,2)</f>
        <v>ج+</v>
      </c>
      <c r="AV16" s="40">
        <f t="shared" si="8"/>
        <v>7</v>
      </c>
      <c r="AW16" s="43">
        <v>2</v>
      </c>
      <c r="AX16" s="20">
        <v>77</v>
      </c>
      <c r="AY16" s="65">
        <f>VLOOKUP(AX16,المرجع!$B$3:$C$12,2)</f>
        <v>3.5</v>
      </c>
      <c r="AZ16" s="44" t="str">
        <f>VLOOKUP(AY16,المرجع!$D$3:$E$12,2)</f>
        <v>ج+</v>
      </c>
      <c r="BA16" s="40">
        <f t="shared" si="9"/>
        <v>7</v>
      </c>
      <c r="BB16" s="48">
        <f t="shared" si="10"/>
        <v>92.25</v>
      </c>
      <c r="BC16" s="49">
        <f t="shared" si="11"/>
        <v>23</v>
      </c>
      <c r="BD16" s="78">
        <f t="shared" si="13"/>
        <v>4.0108695652173916</v>
      </c>
      <c r="BE16" s="87">
        <f>(BB16+'المستوى الثاني 2023'!BB16+'المستوى الأول 2022'!BL16)/('المستوى الأول 2022'!BM16+'المستوى الثاني 2023'!BC16+'المستوى الثالث ح'!BC16)</f>
        <v>3.9301470588235294</v>
      </c>
      <c r="BF16" s="47" t="str">
        <f>VLOOKUP(BD16,المرجع!$D$3:$F$12,3)</f>
        <v xml:space="preserve">جيد جدا </v>
      </c>
      <c r="BG16" s="42">
        <f t="shared" si="12"/>
        <v>14</v>
      </c>
    </row>
    <row r="17" spans="2:59" ht="22.75" customHeight="1">
      <c r="B17" s="20">
        <v>2023090</v>
      </c>
      <c r="C17" s="34" t="s">
        <v>49</v>
      </c>
      <c r="D17" s="43">
        <v>1</v>
      </c>
      <c r="E17" s="20">
        <v>98</v>
      </c>
      <c r="F17" s="65">
        <f>VLOOKUP(E17,المرجع!$B$3:$C$12,2)</f>
        <v>5</v>
      </c>
      <c r="G17" s="44" t="str">
        <f>VLOOKUP(F17,المرجع!$D$3:$E$12,2)</f>
        <v xml:space="preserve">أ+ </v>
      </c>
      <c r="H17" s="40">
        <f t="shared" si="0"/>
        <v>5</v>
      </c>
      <c r="I17" s="43">
        <v>3</v>
      </c>
      <c r="J17" s="20">
        <v>78</v>
      </c>
      <c r="K17" s="65">
        <f>VLOOKUP(J17,المرجع!$B$3:$C$12,2)</f>
        <v>3.5</v>
      </c>
      <c r="L17" s="44" t="str">
        <f>VLOOKUP(K17,المرجع!$D$3:$E$12,2)</f>
        <v>ج+</v>
      </c>
      <c r="M17" s="40">
        <f t="shared" si="1"/>
        <v>10.5</v>
      </c>
      <c r="N17" s="43">
        <v>2</v>
      </c>
      <c r="O17" s="20">
        <v>82</v>
      </c>
      <c r="P17" s="65">
        <f>VLOOKUP(O17,المرجع!$B$3:$C$12,2)</f>
        <v>4</v>
      </c>
      <c r="Q17" s="44" t="str">
        <f>VLOOKUP(P17,المرجع!$D$3:$E$12,2)</f>
        <v>ب</v>
      </c>
      <c r="R17" s="40">
        <f t="shared" si="2"/>
        <v>8</v>
      </c>
      <c r="S17" s="43">
        <v>2</v>
      </c>
      <c r="T17" s="20">
        <v>89</v>
      </c>
      <c r="U17" s="65">
        <f>VLOOKUP(T17,المرجع!$B$3:$C$12,2)</f>
        <v>4.5</v>
      </c>
      <c r="V17" s="44" t="str">
        <f>VLOOKUP(U17,المرجع!$D$3:$E$12,2)</f>
        <v>ب+</v>
      </c>
      <c r="W17" s="40">
        <f t="shared" si="3"/>
        <v>9</v>
      </c>
      <c r="X17" s="43">
        <v>3</v>
      </c>
      <c r="Y17" s="20">
        <v>67</v>
      </c>
      <c r="Z17" s="65">
        <f>VLOOKUP(Y17,المرجع!$B$3:$C$12,2)</f>
        <v>2.5</v>
      </c>
      <c r="AA17" s="44" t="str">
        <f>VLOOKUP(Z17,المرجع!$D$3:$E$12,2)</f>
        <v>د+</v>
      </c>
      <c r="AB17" s="40">
        <f t="shared" si="4"/>
        <v>7.5</v>
      </c>
      <c r="AC17" s="43">
        <v>3</v>
      </c>
      <c r="AD17" s="20">
        <v>86</v>
      </c>
      <c r="AE17" s="65">
        <f>VLOOKUP(AD17,المرجع!$B$3:$C$12,2)</f>
        <v>4.5</v>
      </c>
      <c r="AF17" s="44" t="str">
        <f>VLOOKUP(AE17,المرجع!$D$3:$E$12,2)</f>
        <v>ب+</v>
      </c>
      <c r="AG17" s="40">
        <f t="shared" si="5"/>
        <v>13.5</v>
      </c>
      <c r="AH17" s="43">
        <v>3</v>
      </c>
      <c r="AI17" s="20">
        <v>77</v>
      </c>
      <c r="AJ17" s="65">
        <f>VLOOKUP(AI17,المرجع!$B$3:$C$12,2)</f>
        <v>3.5</v>
      </c>
      <c r="AK17" s="44" t="str">
        <f>VLOOKUP(AJ17,المرجع!$D$3:$E$12,2)</f>
        <v>ج+</v>
      </c>
      <c r="AL17" s="40">
        <f t="shared" si="6"/>
        <v>10.5</v>
      </c>
      <c r="AM17" s="43">
        <v>2</v>
      </c>
      <c r="AN17" s="20">
        <v>95</v>
      </c>
      <c r="AO17" s="65">
        <f>VLOOKUP(AN17,المرجع!$B$3:$C$12,2)</f>
        <v>5</v>
      </c>
      <c r="AP17" s="44" t="str">
        <f>VLOOKUP(AO17,المرجع!$D$3:$E$12,2)</f>
        <v xml:space="preserve">أ+ </v>
      </c>
      <c r="AQ17" s="40">
        <f t="shared" si="7"/>
        <v>10</v>
      </c>
      <c r="AR17" s="43">
        <v>2</v>
      </c>
      <c r="AS17" s="20">
        <v>88</v>
      </c>
      <c r="AT17" s="65">
        <f>VLOOKUP(AS17,المرجع!$B$3:$C$12,2)</f>
        <v>4.5</v>
      </c>
      <c r="AU17" s="44" t="str">
        <f>VLOOKUP(AT17,المرجع!$D$3:$E$12,2)</f>
        <v>ب+</v>
      </c>
      <c r="AV17" s="40">
        <f t="shared" si="8"/>
        <v>9</v>
      </c>
      <c r="AW17" s="43">
        <v>2</v>
      </c>
      <c r="AX17" s="20">
        <v>83</v>
      </c>
      <c r="AY17" s="65">
        <f>VLOOKUP(AX17,المرجع!$B$3:$C$12,2)</f>
        <v>4</v>
      </c>
      <c r="AZ17" s="44" t="str">
        <f>VLOOKUP(AY17,المرجع!$D$3:$E$12,2)</f>
        <v>ب</v>
      </c>
      <c r="BA17" s="40">
        <f t="shared" si="9"/>
        <v>8</v>
      </c>
      <c r="BB17" s="48">
        <f t="shared" si="10"/>
        <v>91</v>
      </c>
      <c r="BC17" s="49">
        <f t="shared" si="11"/>
        <v>23</v>
      </c>
      <c r="BD17" s="78">
        <f t="shared" si="13"/>
        <v>3.9565217391304346</v>
      </c>
      <c r="BE17" s="87">
        <f>(BB17+'المستوى الثاني 2023'!BB17+'المستوى الأول 2022'!BL17)/('المستوى الأول 2022'!BM17+'المستوى الثاني 2023'!BC17+'المستوى الثالث ح'!BC17)</f>
        <v>3.9264705882352939</v>
      </c>
      <c r="BF17" s="47" t="str">
        <f>VLOOKUP(BD17,المرجع!$D$3:$F$12,3)</f>
        <v xml:space="preserve">جيد جدا </v>
      </c>
      <c r="BG17" s="42">
        <f t="shared" si="12"/>
        <v>16</v>
      </c>
    </row>
    <row r="18" spans="2:59" ht="22.75" customHeight="1">
      <c r="B18" s="20">
        <v>2023065</v>
      </c>
      <c r="C18" s="34" t="s">
        <v>57</v>
      </c>
      <c r="D18" s="43">
        <v>1</v>
      </c>
      <c r="E18" s="20">
        <v>92</v>
      </c>
      <c r="F18" s="65">
        <f>VLOOKUP(E18,المرجع!$B$3:$C$12,2)</f>
        <v>4.75</v>
      </c>
      <c r="G18" s="44" t="str">
        <f>VLOOKUP(F18,المرجع!$D$3:$E$12,2)</f>
        <v>أ</v>
      </c>
      <c r="H18" s="40">
        <f t="shared" si="0"/>
        <v>4.75</v>
      </c>
      <c r="I18" s="43">
        <v>3</v>
      </c>
      <c r="J18" s="20">
        <v>82</v>
      </c>
      <c r="K18" s="65">
        <f>VLOOKUP(J18,المرجع!$B$3:$C$12,2)</f>
        <v>4</v>
      </c>
      <c r="L18" s="44" t="str">
        <f>VLOOKUP(K18,المرجع!$D$3:$E$12,2)</f>
        <v>ب</v>
      </c>
      <c r="M18" s="40">
        <f t="shared" si="1"/>
        <v>12</v>
      </c>
      <c r="N18" s="43">
        <v>2</v>
      </c>
      <c r="O18" s="20">
        <v>81</v>
      </c>
      <c r="P18" s="65">
        <f>VLOOKUP(O18,المرجع!$B$3:$C$12,2)</f>
        <v>4</v>
      </c>
      <c r="Q18" s="44" t="str">
        <f>VLOOKUP(P18,المرجع!$D$3:$E$12,2)</f>
        <v>ب</v>
      </c>
      <c r="R18" s="40">
        <f t="shared" si="2"/>
        <v>8</v>
      </c>
      <c r="S18" s="43">
        <v>2</v>
      </c>
      <c r="T18" s="20">
        <v>94</v>
      </c>
      <c r="U18" s="65">
        <f>VLOOKUP(T18,المرجع!$B$3:$C$12,2)</f>
        <v>4.75</v>
      </c>
      <c r="V18" s="44" t="str">
        <f>VLOOKUP(U18,المرجع!$D$3:$E$12,2)</f>
        <v>أ</v>
      </c>
      <c r="W18" s="40">
        <f t="shared" si="3"/>
        <v>9.5</v>
      </c>
      <c r="X18" s="43">
        <v>3</v>
      </c>
      <c r="Y18" s="20">
        <v>70</v>
      </c>
      <c r="Z18" s="65">
        <f>VLOOKUP(Y18,المرجع!$B$3:$C$12,2)</f>
        <v>3</v>
      </c>
      <c r="AA18" s="44" t="str">
        <f>VLOOKUP(Z18,المرجع!$D$3:$E$12,2)</f>
        <v>ج</v>
      </c>
      <c r="AB18" s="40">
        <f t="shared" si="4"/>
        <v>9</v>
      </c>
      <c r="AC18" s="43">
        <v>3</v>
      </c>
      <c r="AD18" s="20">
        <v>80</v>
      </c>
      <c r="AE18" s="65">
        <f>VLOOKUP(AD18,المرجع!$B$3:$C$12,2)</f>
        <v>4</v>
      </c>
      <c r="AF18" s="44" t="str">
        <f>VLOOKUP(AE18,المرجع!$D$3:$E$12,2)</f>
        <v>ب</v>
      </c>
      <c r="AG18" s="40">
        <f t="shared" si="5"/>
        <v>12</v>
      </c>
      <c r="AH18" s="43">
        <v>3</v>
      </c>
      <c r="AI18" s="20">
        <v>83</v>
      </c>
      <c r="AJ18" s="65">
        <f>VLOOKUP(AI18,المرجع!$B$3:$C$12,2)</f>
        <v>4</v>
      </c>
      <c r="AK18" s="44" t="str">
        <f>VLOOKUP(AJ18,المرجع!$D$3:$E$12,2)</f>
        <v>ب</v>
      </c>
      <c r="AL18" s="40">
        <f t="shared" si="6"/>
        <v>12</v>
      </c>
      <c r="AM18" s="43">
        <v>2</v>
      </c>
      <c r="AN18" s="20">
        <v>80</v>
      </c>
      <c r="AO18" s="65">
        <f>VLOOKUP(AN18,المرجع!$B$3:$C$12,2)</f>
        <v>4</v>
      </c>
      <c r="AP18" s="44" t="str">
        <f>VLOOKUP(AO18,المرجع!$D$3:$E$12,2)</f>
        <v>ب</v>
      </c>
      <c r="AQ18" s="40">
        <f t="shared" si="7"/>
        <v>8</v>
      </c>
      <c r="AR18" s="43">
        <v>2</v>
      </c>
      <c r="AS18" s="20">
        <v>78</v>
      </c>
      <c r="AT18" s="65">
        <f>VLOOKUP(AS18,المرجع!$B$3:$C$12,2)</f>
        <v>3.5</v>
      </c>
      <c r="AU18" s="44" t="str">
        <f>VLOOKUP(AT18,المرجع!$D$3:$E$12,2)</f>
        <v>ج+</v>
      </c>
      <c r="AV18" s="40">
        <f t="shared" si="8"/>
        <v>7</v>
      </c>
      <c r="AW18" s="43">
        <v>2</v>
      </c>
      <c r="AX18" s="20">
        <v>89</v>
      </c>
      <c r="AY18" s="65">
        <f>VLOOKUP(AX18,المرجع!$B$3:$C$12,2)</f>
        <v>4.5</v>
      </c>
      <c r="AZ18" s="44" t="str">
        <f>VLOOKUP(AY18,المرجع!$D$3:$E$12,2)</f>
        <v>ب+</v>
      </c>
      <c r="BA18" s="40">
        <f t="shared" si="9"/>
        <v>9</v>
      </c>
      <c r="BB18" s="48">
        <f t="shared" si="10"/>
        <v>91.25</v>
      </c>
      <c r="BC18" s="49">
        <f t="shared" si="11"/>
        <v>23</v>
      </c>
      <c r="BD18" s="78">
        <f t="shared" si="13"/>
        <v>3.9673913043478262</v>
      </c>
      <c r="BE18" s="87">
        <f>(BB18+'المستوى الثاني 2023'!BB18+'المستوى الأول 2022'!BL18)/('المستوى الأول 2022'!BM18+'المستوى الثاني 2023'!BC18+'المستوى الثالث ح'!BC18)</f>
        <v>3.9007352941176472</v>
      </c>
      <c r="BF18" s="47" t="str">
        <f>VLOOKUP(BD18,المرجع!$D$3:$F$12,3)</f>
        <v xml:space="preserve">جيد جدا </v>
      </c>
      <c r="BG18" s="42">
        <f t="shared" si="12"/>
        <v>15</v>
      </c>
    </row>
    <row r="19" spans="2:59" ht="22.75" customHeight="1">
      <c r="B19" s="20">
        <v>2023113</v>
      </c>
      <c r="C19" s="34" t="s">
        <v>54</v>
      </c>
      <c r="D19" s="43">
        <v>1</v>
      </c>
      <c r="E19" s="20">
        <v>91</v>
      </c>
      <c r="F19" s="65">
        <f>VLOOKUP(E19,المرجع!$B$3:$C$12,2)</f>
        <v>4.75</v>
      </c>
      <c r="G19" s="44" t="str">
        <f>VLOOKUP(F19,المرجع!$D$3:$E$12,2)</f>
        <v>أ</v>
      </c>
      <c r="H19" s="40">
        <f t="shared" si="0"/>
        <v>4.75</v>
      </c>
      <c r="I19" s="43">
        <v>3</v>
      </c>
      <c r="J19" s="20">
        <v>90</v>
      </c>
      <c r="K19" s="65">
        <f>VLOOKUP(J19,المرجع!$B$3:$C$12,2)</f>
        <v>4.75</v>
      </c>
      <c r="L19" s="44" t="str">
        <f>VLOOKUP(K19,المرجع!$D$3:$E$12,2)</f>
        <v>أ</v>
      </c>
      <c r="M19" s="40">
        <f t="shared" si="1"/>
        <v>14.25</v>
      </c>
      <c r="N19" s="43">
        <v>2</v>
      </c>
      <c r="O19" s="20">
        <v>81</v>
      </c>
      <c r="P19" s="65">
        <f>VLOOKUP(O19,المرجع!$B$3:$C$12,2)</f>
        <v>4</v>
      </c>
      <c r="Q19" s="44" t="str">
        <f>VLOOKUP(P19,المرجع!$D$3:$E$12,2)</f>
        <v>ب</v>
      </c>
      <c r="R19" s="40">
        <f t="shared" si="2"/>
        <v>8</v>
      </c>
      <c r="S19" s="43">
        <v>2</v>
      </c>
      <c r="T19" s="20">
        <v>92</v>
      </c>
      <c r="U19" s="65">
        <f>VLOOKUP(T19,المرجع!$B$3:$C$12,2)</f>
        <v>4.75</v>
      </c>
      <c r="V19" s="44" t="str">
        <f>VLOOKUP(U19,المرجع!$D$3:$E$12,2)</f>
        <v>أ</v>
      </c>
      <c r="W19" s="40">
        <f t="shared" si="3"/>
        <v>9.5</v>
      </c>
      <c r="X19" s="43">
        <v>3</v>
      </c>
      <c r="Y19" s="20">
        <v>72</v>
      </c>
      <c r="Z19" s="65">
        <f>VLOOKUP(Y19,المرجع!$B$3:$C$12,2)</f>
        <v>3</v>
      </c>
      <c r="AA19" s="44" t="str">
        <f>VLOOKUP(Z19,المرجع!$D$3:$E$12,2)</f>
        <v>ج</v>
      </c>
      <c r="AB19" s="40">
        <f t="shared" si="4"/>
        <v>9</v>
      </c>
      <c r="AC19" s="43">
        <v>3</v>
      </c>
      <c r="AD19" s="20">
        <v>88</v>
      </c>
      <c r="AE19" s="65">
        <f>VLOOKUP(AD19,المرجع!$B$3:$C$12,2)</f>
        <v>4.5</v>
      </c>
      <c r="AF19" s="44" t="str">
        <f>VLOOKUP(AE19,المرجع!$D$3:$E$12,2)</f>
        <v>ب+</v>
      </c>
      <c r="AG19" s="40">
        <f t="shared" si="5"/>
        <v>13.5</v>
      </c>
      <c r="AH19" s="43">
        <v>3</v>
      </c>
      <c r="AI19" s="20">
        <v>84</v>
      </c>
      <c r="AJ19" s="65">
        <f>VLOOKUP(AI19,المرجع!$B$3:$C$12,2)</f>
        <v>4</v>
      </c>
      <c r="AK19" s="44" t="str">
        <f>VLOOKUP(AJ19,المرجع!$D$3:$E$12,2)</f>
        <v>ب</v>
      </c>
      <c r="AL19" s="40">
        <f t="shared" si="6"/>
        <v>12</v>
      </c>
      <c r="AM19" s="43">
        <v>2</v>
      </c>
      <c r="AN19" s="20">
        <v>70</v>
      </c>
      <c r="AO19" s="65">
        <f>VLOOKUP(AN19,المرجع!$B$3:$C$12,2)</f>
        <v>3</v>
      </c>
      <c r="AP19" s="44" t="str">
        <f>VLOOKUP(AO19,المرجع!$D$3:$E$12,2)</f>
        <v>ج</v>
      </c>
      <c r="AQ19" s="40">
        <f t="shared" si="7"/>
        <v>6</v>
      </c>
      <c r="AR19" s="43">
        <v>2</v>
      </c>
      <c r="AS19" s="20">
        <v>93</v>
      </c>
      <c r="AT19" s="65">
        <f>VLOOKUP(AS19,المرجع!$B$3:$C$12,2)</f>
        <v>4.75</v>
      </c>
      <c r="AU19" s="44" t="str">
        <f>VLOOKUP(AT19,المرجع!$D$3:$E$12,2)</f>
        <v>أ</v>
      </c>
      <c r="AV19" s="40">
        <f t="shared" si="8"/>
        <v>9.5</v>
      </c>
      <c r="AW19" s="43">
        <v>2</v>
      </c>
      <c r="AX19" s="20">
        <v>63</v>
      </c>
      <c r="AY19" s="65">
        <f>VLOOKUP(AX19,المرجع!$B$3:$C$12,2)</f>
        <v>2</v>
      </c>
      <c r="AZ19" s="44" t="str">
        <f>VLOOKUP(AY19,المرجع!$D$3:$E$12,2)</f>
        <v>د</v>
      </c>
      <c r="BA19" s="40">
        <f t="shared" si="9"/>
        <v>4</v>
      </c>
      <c r="BB19" s="48">
        <f t="shared" si="10"/>
        <v>90.5</v>
      </c>
      <c r="BC19" s="49">
        <f t="shared" si="11"/>
        <v>23</v>
      </c>
      <c r="BD19" s="78">
        <f t="shared" si="13"/>
        <v>3.9347826086956523</v>
      </c>
      <c r="BE19" s="87">
        <f>(BB19+'المستوى الثاني 2023'!BB19+'المستوى الأول 2022'!BL19)/('المستوى الأول 2022'!BM19+'المستوى الثاني 2023'!BC19+'المستوى الثالث ح'!BC19)</f>
        <v>3.9338235294117645</v>
      </c>
      <c r="BF19" s="47" t="str">
        <f>VLOOKUP(BD19,المرجع!$D$3:$F$12,3)</f>
        <v xml:space="preserve">جيد جدا </v>
      </c>
      <c r="BG19" s="42">
        <f t="shared" si="12"/>
        <v>17</v>
      </c>
    </row>
    <row r="20" spans="2:59" ht="22.75" customHeight="1">
      <c r="B20" s="20">
        <v>2023056</v>
      </c>
      <c r="C20" s="34" t="s">
        <v>3</v>
      </c>
      <c r="D20" s="43">
        <v>1</v>
      </c>
      <c r="E20" s="20">
        <v>96</v>
      </c>
      <c r="F20" s="65">
        <f>VLOOKUP(E20,المرجع!$B$3:$C$12,2)</f>
        <v>5</v>
      </c>
      <c r="G20" s="44" t="str">
        <f>VLOOKUP(F20,المرجع!$D$3:$E$12,2)</f>
        <v xml:space="preserve">أ+ </v>
      </c>
      <c r="H20" s="40">
        <f t="shared" si="0"/>
        <v>5</v>
      </c>
      <c r="I20" s="43">
        <v>3</v>
      </c>
      <c r="J20" s="20">
        <v>75</v>
      </c>
      <c r="K20" s="65">
        <f>VLOOKUP(J20,المرجع!$B$3:$C$12,2)</f>
        <v>3.5</v>
      </c>
      <c r="L20" s="44" t="str">
        <f>VLOOKUP(K20,المرجع!$D$3:$E$12,2)</f>
        <v>ج+</v>
      </c>
      <c r="M20" s="40">
        <f t="shared" si="1"/>
        <v>10.5</v>
      </c>
      <c r="N20" s="43">
        <v>2</v>
      </c>
      <c r="O20" s="20">
        <v>78</v>
      </c>
      <c r="P20" s="65">
        <f>VLOOKUP(O20,المرجع!$B$3:$C$12,2)</f>
        <v>3.5</v>
      </c>
      <c r="Q20" s="44" t="str">
        <f>VLOOKUP(P20,المرجع!$D$3:$E$12,2)</f>
        <v>ج+</v>
      </c>
      <c r="R20" s="40">
        <f t="shared" si="2"/>
        <v>7</v>
      </c>
      <c r="S20" s="43">
        <v>2</v>
      </c>
      <c r="T20" s="20">
        <v>91</v>
      </c>
      <c r="U20" s="65">
        <f>VLOOKUP(T20,المرجع!$B$3:$C$12,2)</f>
        <v>4.75</v>
      </c>
      <c r="V20" s="44" t="str">
        <f>VLOOKUP(U20,المرجع!$D$3:$E$12,2)</f>
        <v>أ</v>
      </c>
      <c r="W20" s="40">
        <f t="shared" si="3"/>
        <v>9.5</v>
      </c>
      <c r="X20" s="43">
        <v>3</v>
      </c>
      <c r="Y20" s="20">
        <v>65</v>
      </c>
      <c r="Z20" s="65">
        <f>VLOOKUP(Y20,المرجع!$B$3:$C$12,2)</f>
        <v>2.5</v>
      </c>
      <c r="AA20" s="44" t="str">
        <f>VLOOKUP(Z20,المرجع!$D$3:$E$12,2)</f>
        <v>د+</v>
      </c>
      <c r="AB20" s="40">
        <f t="shared" si="4"/>
        <v>7.5</v>
      </c>
      <c r="AC20" s="43">
        <v>3</v>
      </c>
      <c r="AD20" s="20">
        <v>87</v>
      </c>
      <c r="AE20" s="65">
        <f>VLOOKUP(AD20,المرجع!$B$3:$C$12,2)</f>
        <v>4.5</v>
      </c>
      <c r="AF20" s="44" t="str">
        <f>VLOOKUP(AE20,المرجع!$D$3:$E$12,2)</f>
        <v>ب+</v>
      </c>
      <c r="AG20" s="40">
        <f t="shared" si="5"/>
        <v>13.5</v>
      </c>
      <c r="AH20" s="43">
        <v>3</v>
      </c>
      <c r="AI20" s="20">
        <v>93</v>
      </c>
      <c r="AJ20" s="65">
        <f>VLOOKUP(AI20,المرجع!$B$3:$C$12,2)</f>
        <v>4.75</v>
      </c>
      <c r="AK20" s="44" t="str">
        <f>VLOOKUP(AJ20,المرجع!$D$3:$E$12,2)</f>
        <v>أ</v>
      </c>
      <c r="AL20" s="40">
        <f t="shared" si="6"/>
        <v>14.25</v>
      </c>
      <c r="AM20" s="43">
        <v>2</v>
      </c>
      <c r="AN20" s="20">
        <v>80</v>
      </c>
      <c r="AO20" s="65">
        <f>VLOOKUP(AN20,المرجع!$B$3:$C$12,2)</f>
        <v>4</v>
      </c>
      <c r="AP20" s="44" t="str">
        <f>VLOOKUP(AO20,المرجع!$D$3:$E$12,2)</f>
        <v>ب</v>
      </c>
      <c r="AQ20" s="40">
        <f t="shared" si="7"/>
        <v>8</v>
      </c>
      <c r="AR20" s="43">
        <v>2</v>
      </c>
      <c r="AS20" s="20">
        <v>74</v>
      </c>
      <c r="AT20" s="65">
        <f>VLOOKUP(AS20,المرجع!$B$3:$C$12,2)</f>
        <v>3</v>
      </c>
      <c r="AU20" s="44" t="str">
        <f>VLOOKUP(AT20,المرجع!$D$3:$E$12,2)</f>
        <v>ج</v>
      </c>
      <c r="AV20" s="40">
        <f t="shared" si="8"/>
        <v>6</v>
      </c>
      <c r="AW20" s="43">
        <v>2</v>
      </c>
      <c r="AX20" s="20">
        <v>85</v>
      </c>
      <c r="AY20" s="65">
        <f>VLOOKUP(AX20,المرجع!$B$3:$C$12,2)</f>
        <v>4.5</v>
      </c>
      <c r="AZ20" s="44" t="str">
        <f>VLOOKUP(AY20,المرجع!$D$3:$E$12,2)</f>
        <v>ب+</v>
      </c>
      <c r="BA20" s="40">
        <f t="shared" si="9"/>
        <v>9</v>
      </c>
      <c r="BB20" s="48">
        <f t="shared" si="10"/>
        <v>90.25</v>
      </c>
      <c r="BC20" s="49">
        <f t="shared" si="11"/>
        <v>23</v>
      </c>
      <c r="BD20" s="78">
        <f t="shared" si="13"/>
        <v>3.9239130434782608</v>
      </c>
      <c r="BE20" s="87">
        <f>(BB20+'المستوى الثاني 2023'!BB20+'المستوى الأول 2022'!BL20)/('المستوى الأول 2022'!BM20+'المستوى الثاني 2023'!BC20+'المستوى الثالث ح'!BC20)</f>
        <v>3.8014705882352939</v>
      </c>
      <c r="BF20" s="47" t="str">
        <f>VLOOKUP(BD20,المرجع!$D$3:$F$12,3)</f>
        <v xml:space="preserve">جيد جدا </v>
      </c>
      <c r="BG20" s="42">
        <f t="shared" si="12"/>
        <v>18</v>
      </c>
    </row>
    <row r="21" spans="2:59" ht="22.75" customHeight="1">
      <c r="B21" s="20">
        <v>2023087</v>
      </c>
      <c r="C21" s="34" t="s">
        <v>51</v>
      </c>
      <c r="D21" s="43">
        <v>1</v>
      </c>
      <c r="E21" s="20">
        <v>87</v>
      </c>
      <c r="F21" s="65">
        <f>VLOOKUP(E21,المرجع!$B$3:$C$12,2)</f>
        <v>4.5</v>
      </c>
      <c r="G21" s="44" t="str">
        <f>VLOOKUP(F21,المرجع!$D$3:$E$12,2)</f>
        <v>ب+</v>
      </c>
      <c r="H21" s="40">
        <f t="shared" si="0"/>
        <v>4.5</v>
      </c>
      <c r="I21" s="43">
        <v>3</v>
      </c>
      <c r="J21" s="20">
        <v>90</v>
      </c>
      <c r="K21" s="65">
        <f>VLOOKUP(J21,المرجع!$B$3:$C$12,2)</f>
        <v>4.75</v>
      </c>
      <c r="L21" s="44" t="str">
        <f>VLOOKUP(K21,المرجع!$D$3:$E$12,2)</f>
        <v>أ</v>
      </c>
      <c r="M21" s="40">
        <f t="shared" si="1"/>
        <v>14.25</v>
      </c>
      <c r="N21" s="43">
        <v>2</v>
      </c>
      <c r="O21" s="20">
        <v>83</v>
      </c>
      <c r="P21" s="65">
        <f>VLOOKUP(O21,المرجع!$B$3:$C$12,2)</f>
        <v>4</v>
      </c>
      <c r="Q21" s="44" t="str">
        <f>VLOOKUP(P21,المرجع!$D$3:$E$12,2)</f>
        <v>ب</v>
      </c>
      <c r="R21" s="40">
        <f t="shared" si="2"/>
        <v>8</v>
      </c>
      <c r="S21" s="43">
        <v>2</v>
      </c>
      <c r="T21" s="20">
        <v>94</v>
      </c>
      <c r="U21" s="65">
        <f>VLOOKUP(T21,المرجع!$B$3:$C$12,2)</f>
        <v>4.75</v>
      </c>
      <c r="V21" s="44" t="str">
        <f>VLOOKUP(U21,المرجع!$D$3:$E$12,2)</f>
        <v>أ</v>
      </c>
      <c r="W21" s="40">
        <f t="shared" si="3"/>
        <v>9.5</v>
      </c>
      <c r="X21" s="43">
        <v>3</v>
      </c>
      <c r="Y21" s="20">
        <v>77</v>
      </c>
      <c r="Z21" s="65">
        <f>VLOOKUP(Y21,المرجع!$B$3:$C$12,2)</f>
        <v>3.5</v>
      </c>
      <c r="AA21" s="44" t="str">
        <f>VLOOKUP(Z21,المرجع!$D$3:$E$12,2)</f>
        <v>ج+</v>
      </c>
      <c r="AB21" s="40">
        <f t="shared" si="4"/>
        <v>10.5</v>
      </c>
      <c r="AC21" s="43">
        <v>3</v>
      </c>
      <c r="AD21" s="20">
        <v>79</v>
      </c>
      <c r="AE21" s="65">
        <f>VLOOKUP(AD21,المرجع!$B$3:$C$12,2)</f>
        <v>3.5</v>
      </c>
      <c r="AF21" s="44" t="str">
        <f>VLOOKUP(AE21,المرجع!$D$3:$E$12,2)</f>
        <v>ج+</v>
      </c>
      <c r="AG21" s="40">
        <f t="shared" si="5"/>
        <v>10.5</v>
      </c>
      <c r="AH21" s="43">
        <v>3</v>
      </c>
      <c r="AI21" s="20">
        <v>83</v>
      </c>
      <c r="AJ21" s="65">
        <f>VLOOKUP(AI21,المرجع!$B$3:$C$12,2)</f>
        <v>4</v>
      </c>
      <c r="AK21" s="44" t="str">
        <f>VLOOKUP(AJ21,المرجع!$D$3:$E$12,2)</f>
        <v>ب</v>
      </c>
      <c r="AL21" s="40">
        <f t="shared" si="6"/>
        <v>12</v>
      </c>
      <c r="AM21" s="43">
        <v>2</v>
      </c>
      <c r="AN21" s="20">
        <v>75</v>
      </c>
      <c r="AO21" s="65">
        <f>VLOOKUP(AN21,المرجع!$B$3:$C$12,2)</f>
        <v>3.5</v>
      </c>
      <c r="AP21" s="44" t="str">
        <f>VLOOKUP(AO21,المرجع!$D$3:$E$12,2)</f>
        <v>ج+</v>
      </c>
      <c r="AQ21" s="40">
        <f t="shared" si="7"/>
        <v>7</v>
      </c>
      <c r="AR21" s="43">
        <v>2</v>
      </c>
      <c r="AS21" s="20">
        <v>97</v>
      </c>
      <c r="AT21" s="65">
        <f>VLOOKUP(AS21,المرجع!$B$3:$C$12,2)</f>
        <v>5</v>
      </c>
      <c r="AU21" s="44" t="str">
        <f>VLOOKUP(AT21,المرجع!$D$3:$E$12,2)</f>
        <v xml:space="preserve">أ+ </v>
      </c>
      <c r="AV21" s="40">
        <f t="shared" si="8"/>
        <v>10</v>
      </c>
      <c r="AW21" s="43">
        <v>2</v>
      </c>
      <c r="AX21" s="20">
        <v>64</v>
      </c>
      <c r="AY21" s="65">
        <f>VLOOKUP(AX21,المرجع!$B$3:$C$12,2)</f>
        <v>2</v>
      </c>
      <c r="AZ21" s="44" t="str">
        <f>VLOOKUP(AY21,المرجع!$D$3:$E$12,2)</f>
        <v>د</v>
      </c>
      <c r="BA21" s="40">
        <f t="shared" si="9"/>
        <v>4</v>
      </c>
      <c r="BB21" s="48">
        <f t="shared" si="10"/>
        <v>90.25</v>
      </c>
      <c r="BC21" s="49">
        <f t="shared" si="11"/>
        <v>23</v>
      </c>
      <c r="BD21" s="78">
        <f t="shared" si="13"/>
        <v>3.9239130434782608</v>
      </c>
      <c r="BE21" s="87">
        <f>(BB21+'المستوى الثاني 2023'!BB21+'المستوى الأول 2022'!BL21)/('المستوى الأول 2022'!BM21+'المستوى الثاني 2023'!BC21+'المستوى الثالث ح'!BC21)</f>
        <v>3.7941176470588234</v>
      </c>
      <c r="BF21" s="47" t="str">
        <f>VLOOKUP(BD21,المرجع!$D$3:$F$12,3)</f>
        <v xml:space="preserve">جيد جدا </v>
      </c>
      <c r="BG21" s="42">
        <f t="shared" si="12"/>
        <v>18</v>
      </c>
    </row>
    <row r="22" spans="2:59" ht="22.75" customHeight="1">
      <c r="B22" s="20">
        <v>202357</v>
      </c>
      <c r="C22" s="34" t="s">
        <v>8</v>
      </c>
      <c r="D22" s="43">
        <v>1</v>
      </c>
      <c r="E22" s="20">
        <v>92</v>
      </c>
      <c r="F22" s="65">
        <f>VLOOKUP(E22,المرجع!$B$3:$C$12,2)</f>
        <v>4.75</v>
      </c>
      <c r="G22" s="44" t="str">
        <f>VLOOKUP(F22,المرجع!$D$3:$E$12,2)</f>
        <v>أ</v>
      </c>
      <c r="H22" s="40">
        <f t="shared" si="0"/>
        <v>4.75</v>
      </c>
      <c r="I22" s="43">
        <v>3</v>
      </c>
      <c r="J22" s="20">
        <v>84</v>
      </c>
      <c r="K22" s="65">
        <f>VLOOKUP(J22,المرجع!$B$3:$C$12,2)</f>
        <v>4</v>
      </c>
      <c r="L22" s="44" t="str">
        <f>VLOOKUP(K22,المرجع!$D$3:$E$12,2)</f>
        <v>ب</v>
      </c>
      <c r="M22" s="40">
        <f t="shared" si="1"/>
        <v>12</v>
      </c>
      <c r="N22" s="43">
        <v>2</v>
      </c>
      <c r="O22" s="20">
        <v>72</v>
      </c>
      <c r="P22" s="65">
        <f>VLOOKUP(O22,المرجع!$B$3:$C$12,2)</f>
        <v>3</v>
      </c>
      <c r="Q22" s="44" t="str">
        <f>VLOOKUP(P22,المرجع!$D$3:$E$12,2)</f>
        <v>ج</v>
      </c>
      <c r="R22" s="40">
        <f t="shared" si="2"/>
        <v>6</v>
      </c>
      <c r="S22" s="43">
        <v>2</v>
      </c>
      <c r="T22" s="20">
        <v>96</v>
      </c>
      <c r="U22" s="65">
        <f>VLOOKUP(T22,المرجع!$B$3:$C$12,2)</f>
        <v>5</v>
      </c>
      <c r="V22" s="44" t="str">
        <f>VLOOKUP(U22,المرجع!$D$3:$E$12,2)</f>
        <v xml:space="preserve">أ+ </v>
      </c>
      <c r="W22" s="40">
        <f t="shared" si="3"/>
        <v>10</v>
      </c>
      <c r="X22" s="43">
        <v>3</v>
      </c>
      <c r="Y22" s="20">
        <v>71</v>
      </c>
      <c r="Z22" s="65">
        <f>VLOOKUP(Y22,المرجع!$B$3:$C$12,2)</f>
        <v>3</v>
      </c>
      <c r="AA22" s="44" t="str">
        <f>VLOOKUP(Z22,المرجع!$D$3:$E$12,2)</f>
        <v>ج</v>
      </c>
      <c r="AB22" s="40">
        <f t="shared" si="4"/>
        <v>9</v>
      </c>
      <c r="AC22" s="43">
        <v>3</v>
      </c>
      <c r="AD22" s="20">
        <v>90</v>
      </c>
      <c r="AE22" s="65">
        <f>VLOOKUP(AD22,المرجع!$B$3:$C$12,2)</f>
        <v>4.75</v>
      </c>
      <c r="AF22" s="44" t="str">
        <f>VLOOKUP(AE22,المرجع!$D$3:$E$12,2)</f>
        <v>أ</v>
      </c>
      <c r="AG22" s="40">
        <f t="shared" si="5"/>
        <v>14.25</v>
      </c>
      <c r="AH22" s="43">
        <v>3</v>
      </c>
      <c r="AI22" s="20">
        <v>91</v>
      </c>
      <c r="AJ22" s="65">
        <f>VLOOKUP(AI22,المرجع!$B$3:$C$12,2)</f>
        <v>4.75</v>
      </c>
      <c r="AK22" s="44" t="str">
        <f>VLOOKUP(AJ22,المرجع!$D$3:$E$12,2)</f>
        <v>أ</v>
      </c>
      <c r="AL22" s="40">
        <f t="shared" si="6"/>
        <v>14.25</v>
      </c>
      <c r="AM22" s="43">
        <v>2</v>
      </c>
      <c r="AN22" s="20">
        <v>78</v>
      </c>
      <c r="AO22" s="65">
        <f>VLOOKUP(AN22,المرجع!$B$3:$C$12,2)</f>
        <v>3.5</v>
      </c>
      <c r="AP22" s="44" t="str">
        <f>VLOOKUP(AO22,المرجع!$D$3:$E$12,2)</f>
        <v>ج+</v>
      </c>
      <c r="AQ22" s="40">
        <f t="shared" si="7"/>
        <v>7</v>
      </c>
      <c r="AR22" s="43">
        <v>2</v>
      </c>
      <c r="AS22" s="20">
        <v>73</v>
      </c>
      <c r="AT22" s="65">
        <f>VLOOKUP(AS22,المرجع!$B$3:$C$12,2)</f>
        <v>3</v>
      </c>
      <c r="AU22" s="44" t="str">
        <f>VLOOKUP(AT22,المرجع!$D$3:$E$12,2)</f>
        <v>ج</v>
      </c>
      <c r="AV22" s="40">
        <f t="shared" si="8"/>
        <v>6</v>
      </c>
      <c r="AW22" s="43">
        <v>2</v>
      </c>
      <c r="AX22" s="20">
        <v>72</v>
      </c>
      <c r="AY22" s="65">
        <f>VLOOKUP(AX22,المرجع!$B$3:$C$12,2)</f>
        <v>3</v>
      </c>
      <c r="AZ22" s="44" t="str">
        <f>VLOOKUP(AY22,المرجع!$D$3:$E$12,2)</f>
        <v>ج</v>
      </c>
      <c r="BA22" s="40">
        <f t="shared" si="9"/>
        <v>6</v>
      </c>
      <c r="BB22" s="48">
        <f t="shared" si="10"/>
        <v>89.25</v>
      </c>
      <c r="BC22" s="49">
        <f t="shared" si="11"/>
        <v>23</v>
      </c>
      <c r="BD22" s="78">
        <f t="shared" si="13"/>
        <v>3.8804347826086958</v>
      </c>
      <c r="BE22" s="87">
        <f>(BB22+'المستوى الثاني 2023'!BB22+'المستوى الأول 2022'!BL22)/('المستوى الأول 2022'!BM22+'المستوى الثاني 2023'!BC22+'المستوى الثالث ح'!BC22)</f>
        <v>3.7830882352941178</v>
      </c>
      <c r="BF22" s="47" t="str">
        <f>VLOOKUP(BD22,المرجع!$D$3:$F$12,3)</f>
        <v xml:space="preserve">جيد جدا </v>
      </c>
      <c r="BG22" s="42">
        <f t="shared" si="12"/>
        <v>21</v>
      </c>
    </row>
    <row r="23" spans="2:59" ht="22.75" customHeight="1">
      <c r="B23" s="20">
        <v>2023062</v>
      </c>
      <c r="C23" s="34" t="s">
        <v>47</v>
      </c>
      <c r="D23" s="43">
        <v>1</v>
      </c>
      <c r="E23" s="20">
        <v>94</v>
      </c>
      <c r="F23" s="65">
        <f>VLOOKUP(E23,المرجع!$B$3:$C$12,2)</f>
        <v>4.75</v>
      </c>
      <c r="G23" s="44" t="str">
        <f>VLOOKUP(F23,المرجع!$D$3:$E$12,2)</f>
        <v>أ</v>
      </c>
      <c r="H23" s="40">
        <f t="shared" si="0"/>
        <v>4.75</v>
      </c>
      <c r="I23" s="43">
        <v>3</v>
      </c>
      <c r="J23" s="20">
        <v>85</v>
      </c>
      <c r="K23" s="65">
        <f>VLOOKUP(J23,المرجع!$B$3:$C$12,2)</f>
        <v>4.5</v>
      </c>
      <c r="L23" s="44" t="str">
        <f>VLOOKUP(K23,المرجع!$D$3:$E$12,2)</f>
        <v>ب+</v>
      </c>
      <c r="M23" s="40">
        <f t="shared" si="1"/>
        <v>13.5</v>
      </c>
      <c r="N23" s="43">
        <v>2</v>
      </c>
      <c r="O23" s="20">
        <v>88</v>
      </c>
      <c r="P23" s="65">
        <f>VLOOKUP(O23,المرجع!$B$3:$C$12,2)</f>
        <v>4.5</v>
      </c>
      <c r="Q23" s="44" t="str">
        <f>VLOOKUP(P23,المرجع!$D$3:$E$12,2)</f>
        <v>ب+</v>
      </c>
      <c r="R23" s="40">
        <f t="shared" si="2"/>
        <v>9</v>
      </c>
      <c r="S23" s="43">
        <v>2</v>
      </c>
      <c r="T23" s="20">
        <v>89</v>
      </c>
      <c r="U23" s="65">
        <f>VLOOKUP(T23,المرجع!$B$3:$C$12,2)</f>
        <v>4.5</v>
      </c>
      <c r="V23" s="44" t="str">
        <f>VLOOKUP(U23,المرجع!$D$3:$E$12,2)</f>
        <v>ب+</v>
      </c>
      <c r="W23" s="40">
        <f t="shared" si="3"/>
        <v>9</v>
      </c>
      <c r="X23" s="43">
        <v>3</v>
      </c>
      <c r="Y23" s="20">
        <v>82</v>
      </c>
      <c r="Z23" s="65">
        <f>VLOOKUP(Y23,المرجع!$B$3:$C$12,2)</f>
        <v>4</v>
      </c>
      <c r="AA23" s="44" t="str">
        <f>VLOOKUP(Z23,المرجع!$D$3:$E$12,2)</f>
        <v>ب</v>
      </c>
      <c r="AB23" s="40">
        <f t="shared" si="4"/>
        <v>12</v>
      </c>
      <c r="AC23" s="43">
        <v>3</v>
      </c>
      <c r="AD23" s="20">
        <v>92</v>
      </c>
      <c r="AE23" s="65">
        <f>VLOOKUP(AD23,المرجع!$B$3:$C$12,2)</f>
        <v>4.75</v>
      </c>
      <c r="AF23" s="44" t="str">
        <f>VLOOKUP(AE23,المرجع!$D$3:$E$12,2)</f>
        <v>أ</v>
      </c>
      <c r="AG23" s="40">
        <f t="shared" si="5"/>
        <v>14.25</v>
      </c>
      <c r="AH23" s="43">
        <v>3</v>
      </c>
      <c r="AI23" s="20">
        <v>74</v>
      </c>
      <c r="AJ23" s="65">
        <f>VLOOKUP(AI23,المرجع!$B$3:$C$12,2)</f>
        <v>3</v>
      </c>
      <c r="AK23" s="44" t="str">
        <f>VLOOKUP(AJ23,المرجع!$D$3:$E$12,2)</f>
        <v>ج</v>
      </c>
      <c r="AL23" s="40">
        <f t="shared" si="6"/>
        <v>9</v>
      </c>
      <c r="AM23" s="43">
        <v>2</v>
      </c>
      <c r="AN23" s="20">
        <v>85</v>
      </c>
      <c r="AO23" s="65">
        <f>VLOOKUP(AN23,المرجع!$B$3:$C$12,2)</f>
        <v>4.5</v>
      </c>
      <c r="AP23" s="44" t="str">
        <f>VLOOKUP(AO23,المرجع!$D$3:$E$12,2)</f>
        <v>ب+</v>
      </c>
      <c r="AQ23" s="40">
        <f t="shared" si="7"/>
        <v>9</v>
      </c>
      <c r="AR23" s="43">
        <v>2</v>
      </c>
      <c r="AS23" s="20">
        <v>52</v>
      </c>
      <c r="AT23" s="65">
        <f>VLOOKUP(AS23,المرجع!$B$3:$C$12,2)</f>
        <v>2</v>
      </c>
      <c r="AU23" s="44" t="str">
        <f>VLOOKUP(AT23,المرجع!$D$3:$E$12,2)</f>
        <v>د</v>
      </c>
      <c r="AV23" s="40">
        <f t="shared" si="8"/>
        <v>4</v>
      </c>
      <c r="AW23" s="43">
        <v>2</v>
      </c>
      <c r="AX23" s="20">
        <v>50</v>
      </c>
      <c r="AY23" s="65">
        <f>VLOOKUP(AX23,المرجع!$B$3:$C$12,2)</f>
        <v>2</v>
      </c>
      <c r="AZ23" s="44" t="str">
        <f>VLOOKUP(AY23,المرجع!$D$3:$E$12,2)</f>
        <v>د</v>
      </c>
      <c r="BA23" s="40">
        <f t="shared" si="9"/>
        <v>4</v>
      </c>
      <c r="BB23" s="48">
        <f t="shared" si="10"/>
        <v>88.5</v>
      </c>
      <c r="BC23" s="49">
        <f t="shared" si="11"/>
        <v>23</v>
      </c>
      <c r="BD23" s="78">
        <f t="shared" si="13"/>
        <v>3.847826086956522</v>
      </c>
      <c r="BE23" s="87">
        <f>(BB23+'المستوى الثاني 2023'!BB23+'المستوى الأول 2022'!BL23)/('المستوى الأول 2022'!BM23+'المستوى الثاني 2023'!BC23+'المستوى الثالث ح'!BC23)</f>
        <v>3.7683823529411766</v>
      </c>
      <c r="BF23" s="47" t="str">
        <f>VLOOKUP(BD23,المرجع!$D$3:$F$12,3)</f>
        <v xml:space="preserve">جيد جدا </v>
      </c>
      <c r="BG23" s="42">
        <f t="shared" si="12"/>
        <v>22</v>
      </c>
    </row>
    <row r="24" spans="2:59" ht="22.75" customHeight="1">
      <c r="B24" s="20">
        <v>2023018</v>
      </c>
      <c r="C24" s="34" t="s">
        <v>18</v>
      </c>
      <c r="D24" s="43">
        <v>1</v>
      </c>
      <c r="E24" s="20">
        <v>77</v>
      </c>
      <c r="F24" s="65">
        <f>VLOOKUP(E24,المرجع!$B$3:$C$12,2)</f>
        <v>3.5</v>
      </c>
      <c r="G24" s="44" t="str">
        <f>VLOOKUP(F24,المرجع!$D$3:$E$12,2)</f>
        <v>ج+</v>
      </c>
      <c r="H24" s="40">
        <f t="shared" si="0"/>
        <v>3.5</v>
      </c>
      <c r="I24" s="43">
        <v>3</v>
      </c>
      <c r="J24" s="20">
        <v>89</v>
      </c>
      <c r="K24" s="65">
        <f>VLOOKUP(J24,المرجع!$B$3:$C$12,2)</f>
        <v>4.5</v>
      </c>
      <c r="L24" s="44" t="str">
        <f>VLOOKUP(K24,المرجع!$D$3:$E$12,2)</f>
        <v>ب+</v>
      </c>
      <c r="M24" s="40">
        <f t="shared" si="1"/>
        <v>13.5</v>
      </c>
      <c r="N24" s="43">
        <v>2</v>
      </c>
      <c r="O24" s="20">
        <v>90</v>
      </c>
      <c r="P24" s="65">
        <f>VLOOKUP(O24,المرجع!$B$3:$C$12,2)</f>
        <v>4.75</v>
      </c>
      <c r="Q24" s="44" t="str">
        <f>VLOOKUP(P24,المرجع!$D$3:$E$12,2)</f>
        <v>أ</v>
      </c>
      <c r="R24" s="40">
        <f t="shared" si="2"/>
        <v>9.5</v>
      </c>
      <c r="S24" s="43">
        <v>2</v>
      </c>
      <c r="T24" s="20">
        <v>90</v>
      </c>
      <c r="U24" s="65">
        <f>VLOOKUP(T24,المرجع!$B$3:$C$12,2)</f>
        <v>4.75</v>
      </c>
      <c r="V24" s="44" t="str">
        <f>VLOOKUP(U24,المرجع!$D$3:$E$12,2)</f>
        <v>أ</v>
      </c>
      <c r="W24" s="40">
        <f t="shared" si="3"/>
        <v>9.5</v>
      </c>
      <c r="X24" s="43">
        <v>3</v>
      </c>
      <c r="Y24" s="20">
        <v>75</v>
      </c>
      <c r="Z24" s="65">
        <f>VLOOKUP(Y24,المرجع!$B$3:$C$12,2)</f>
        <v>3.5</v>
      </c>
      <c r="AA24" s="44" t="str">
        <f>VLOOKUP(Z24,المرجع!$D$3:$E$12,2)</f>
        <v>ج+</v>
      </c>
      <c r="AB24" s="40">
        <f t="shared" si="4"/>
        <v>10.5</v>
      </c>
      <c r="AC24" s="43">
        <v>3</v>
      </c>
      <c r="AD24" s="20">
        <v>78</v>
      </c>
      <c r="AE24" s="65">
        <f>VLOOKUP(AD24,المرجع!$B$3:$C$12,2)</f>
        <v>3.5</v>
      </c>
      <c r="AF24" s="44" t="str">
        <f>VLOOKUP(AE24,المرجع!$D$3:$E$12,2)</f>
        <v>ج+</v>
      </c>
      <c r="AG24" s="40">
        <f t="shared" si="5"/>
        <v>10.5</v>
      </c>
      <c r="AH24" s="43">
        <v>3</v>
      </c>
      <c r="AI24" s="20">
        <v>79</v>
      </c>
      <c r="AJ24" s="65">
        <f>VLOOKUP(AI24,المرجع!$B$3:$C$12,2)</f>
        <v>3.5</v>
      </c>
      <c r="AK24" s="44" t="str">
        <f>VLOOKUP(AJ24,المرجع!$D$3:$E$12,2)</f>
        <v>ج+</v>
      </c>
      <c r="AL24" s="40">
        <f t="shared" si="6"/>
        <v>10.5</v>
      </c>
      <c r="AM24" s="43">
        <v>2</v>
      </c>
      <c r="AN24" s="20">
        <v>80</v>
      </c>
      <c r="AO24" s="65">
        <f>VLOOKUP(AN24,المرجع!$B$3:$C$12,2)</f>
        <v>4</v>
      </c>
      <c r="AP24" s="44" t="str">
        <f>VLOOKUP(AO24,المرجع!$D$3:$E$12,2)</f>
        <v>ب</v>
      </c>
      <c r="AQ24" s="40">
        <f t="shared" si="7"/>
        <v>8</v>
      </c>
      <c r="AR24" s="43">
        <v>2</v>
      </c>
      <c r="AS24" s="20">
        <v>84</v>
      </c>
      <c r="AT24" s="65">
        <f>VLOOKUP(AS24,المرجع!$B$3:$C$12,2)</f>
        <v>4</v>
      </c>
      <c r="AU24" s="44" t="str">
        <f>VLOOKUP(AT24,المرجع!$D$3:$E$12,2)</f>
        <v>ب</v>
      </c>
      <c r="AV24" s="40">
        <f t="shared" si="8"/>
        <v>8</v>
      </c>
      <c r="AW24" s="43">
        <v>2</v>
      </c>
      <c r="AX24" s="20">
        <v>70</v>
      </c>
      <c r="AY24" s="65">
        <f>VLOOKUP(AX24,المرجع!$B$3:$C$12,2)</f>
        <v>3</v>
      </c>
      <c r="AZ24" s="44" t="str">
        <f>VLOOKUP(AY24,المرجع!$D$3:$E$12,2)</f>
        <v>ج</v>
      </c>
      <c r="BA24" s="40">
        <f t="shared" si="9"/>
        <v>6</v>
      </c>
      <c r="BB24" s="48">
        <f t="shared" si="10"/>
        <v>89.5</v>
      </c>
      <c r="BC24" s="49">
        <f t="shared" si="11"/>
        <v>23</v>
      </c>
      <c r="BD24" s="78">
        <f t="shared" si="13"/>
        <v>3.8913043478260869</v>
      </c>
      <c r="BE24" s="87">
        <f>(BB24+'المستوى الثاني 2023'!BB24+'المستوى الأول 2022'!BL24)/('المستوى الأول 2022'!BM24+'المستوى الثاني 2023'!BC24+'المستوى الثالث ح'!BC24)</f>
        <v>3.7058823529411766</v>
      </c>
      <c r="BF24" s="47" t="str">
        <f>VLOOKUP(BD24,المرجع!$D$3:$F$12,3)</f>
        <v xml:space="preserve">جيد جدا </v>
      </c>
      <c r="BG24" s="42">
        <f t="shared" si="12"/>
        <v>20</v>
      </c>
    </row>
    <row r="25" spans="2:59" ht="22.75" customHeight="1">
      <c r="B25" s="20">
        <v>2023033</v>
      </c>
      <c r="C25" s="34" t="s">
        <v>7</v>
      </c>
      <c r="D25" s="43">
        <v>1</v>
      </c>
      <c r="E25" s="20">
        <v>92</v>
      </c>
      <c r="F25" s="65">
        <f>VLOOKUP(E25,المرجع!$B$3:$C$12,2)</f>
        <v>4.75</v>
      </c>
      <c r="G25" s="44" t="str">
        <f>VLOOKUP(F25,المرجع!$D$3:$E$12,2)</f>
        <v>أ</v>
      </c>
      <c r="H25" s="40">
        <f t="shared" si="0"/>
        <v>4.75</v>
      </c>
      <c r="I25" s="43">
        <v>3</v>
      </c>
      <c r="J25" s="20">
        <v>78</v>
      </c>
      <c r="K25" s="65">
        <f>VLOOKUP(J25,المرجع!$B$3:$C$12,2)</f>
        <v>3.5</v>
      </c>
      <c r="L25" s="44" t="str">
        <f>VLOOKUP(K25,المرجع!$D$3:$E$12,2)</f>
        <v>ج+</v>
      </c>
      <c r="M25" s="40">
        <f t="shared" si="1"/>
        <v>10.5</v>
      </c>
      <c r="N25" s="43">
        <v>2</v>
      </c>
      <c r="O25" s="20">
        <v>78</v>
      </c>
      <c r="P25" s="65">
        <f>VLOOKUP(O25,المرجع!$B$3:$C$12,2)</f>
        <v>3.5</v>
      </c>
      <c r="Q25" s="44" t="str">
        <f>VLOOKUP(P25,المرجع!$D$3:$E$12,2)</f>
        <v>ج+</v>
      </c>
      <c r="R25" s="40">
        <f t="shared" si="2"/>
        <v>7</v>
      </c>
      <c r="S25" s="43">
        <v>2</v>
      </c>
      <c r="T25" s="20">
        <v>90</v>
      </c>
      <c r="U25" s="65">
        <f>VLOOKUP(T25,المرجع!$B$3:$C$12,2)</f>
        <v>4.75</v>
      </c>
      <c r="V25" s="44" t="str">
        <f>VLOOKUP(U25,المرجع!$D$3:$E$12,2)</f>
        <v>أ</v>
      </c>
      <c r="W25" s="40">
        <f t="shared" si="3"/>
        <v>9.5</v>
      </c>
      <c r="X25" s="43">
        <v>3</v>
      </c>
      <c r="Y25" s="20">
        <v>62</v>
      </c>
      <c r="Z25" s="65">
        <f>VLOOKUP(Y25,المرجع!$B$3:$C$12,2)</f>
        <v>2</v>
      </c>
      <c r="AA25" s="44" t="str">
        <f>VLOOKUP(Z25,المرجع!$D$3:$E$12,2)</f>
        <v>د</v>
      </c>
      <c r="AB25" s="40">
        <f t="shared" si="4"/>
        <v>6</v>
      </c>
      <c r="AC25" s="43">
        <v>3</v>
      </c>
      <c r="AD25" s="20">
        <v>94</v>
      </c>
      <c r="AE25" s="65">
        <f>VLOOKUP(AD25,المرجع!$B$3:$C$12,2)</f>
        <v>4.75</v>
      </c>
      <c r="AF25" s="44" t="str">
        <f>VLOOKUP(AE25,المرجع!$D$3:$E$12,2)</f>
        <v>أ</v>
      </c>
      <c r="AG25" s="40">
        <f t="shared" si="5"/>
        <v>14.25</v>
      </c>
      <c r="AH25" s="43">
        <v>3</v>
      </c>
      <c r="AI25" s="20">
        <v>89</v>
      </c>
      <c r="AJ25" s="65">
        <f>VLOOKUP(AI25,المرجع!$B$3:$C$12,2)</f>
        <v>4.5</v>
      </c>
      <c r="AK25" s="44" t="str">
        <f>VLOOKUP(AJ25,المرجع!$D$3:$E$12,2)</f>
        <v>ب+</v>
      </c>
      <c r="AL25" s="40">
        <f t="shared" si="6"/>
        <v>13.5</v>
      </c>
      <c r="AM25" s="43">
        <v>2</v>
      </c>
      <c r="AN25" s="20">
        <v>95</v>
      </c>
      <c r="AO25" s="65">
        <f>VLOOKUP(AN25,المرجع!$B$3:$C$12,2)</f>
        <v>5</v>
      </c>
      <c r="AP25" s="44" t="str">
        <f>VLOOKUP(AO25,المرجع!$D$3:$E$12,2)</f>
        <v xml:space="preserve">أ+ </v>
      </c>
      <c r="AQ25" s="40">
        <f t="shared" si="7"/>
        <v>10</v>
      </c>
      <c r="AR25" s="43">
        <v>2</v>
      </c>
      <c r="AS25" s="20">
        <v>80</v>
      </c>
      <c r="AT25" s="65">
        <f>VLOOKUP(AS25,المرجع!$B$3:$C$12,2)</f>
        <v>4</v>
      </c>
      <c r="AU25" s="44" t="str">
        <f>VLOOKUP(AT25,المرجع!$D$3:$E$12,2)</f>
        <v>ب</v>
      </c>
      <c r="AV25" s="40">
        <f t="shared" si="8"/>
        <v>8</v>
      </c>
      <c r="AW25" s="43">
        <v>2</v>
      </c>
      <c r="AX25" s="20">
        <v>58</v>
      </c>
      <c r="AY25" s="65">
        <f>VLOOKUP(AX25,المرجع!$B$3:$C$12,2)</f>
        <v>2</v>
      </c>
      <c r="AZ25" s="44" t="str">
        <f>VLOOKUP(AY25,المرجع!$D$3:$E$12,2)</f>
        <v>د</v>
      </c>
      <c r="BA25" s="40">
        <f t="shared" si="9"/>
        <v>4</v>
      </c>
      <c r="BB25" s="48">
        <f t="shared" si="10"/>
        <v>87.5</v>
      </c>
      <c r="BC25" s="49">
        <f t="shared" si="11"/>
        <v>23</v>
      </c>
      <c r="BD25" s="78">
        <f t="shared" si="13"/>
        <v>3.8043478260869565</v>
      </c>
      <c r="BE25" s="87">
        <f>(BB25+'المستوى الثاني 2023'!BB25+'المستوى الأول 2022'!BL25)/('المستوى الأول 2022'!BM25+'المستوى الثاني 2023'!BC25+'المستوى الثالث ح'!BC25)</f>
        <v>3.6764705882352939</v>
      </c>
      <c r="BF25" s="47" t="str">
        <f>VLOOKUP(BD25,المرجع!$D$3:$F$12,3)</f>
        <v xml:space="preserve">جيد جدا </v>
      </c>
      <c r="BG25" s="42">
        <f t="shared" si="12"/>
        <v>23</v>
      </c>
    </row>
    <row r="26" spans="2:59" ht="22.75" customHeight="1">
      <c r="B26" s="20">
        <v>2023129</v>
      </c>
      <c r="C26" s="34" t="s">
        <v>92</v>
      </c>
      <c r="D26" s="43">
        <v>1</v>
      </c>
      <c r="E26" s="20">
        <v>80</v>
      </c>
      <c r="F26" s="65">
        <f>VLOOKUP(E26,المرجع!$B$3:$C$12,2)</f>
        <v>4</v>
      </c>
      <c r="G26" s="44" t="str">
        <f>VLOOKUP(F26,المرجع!$D$3:$E$12,2)</f>
        <v>ب</v>
      </c>
      <c r="H26" s="40">
        <f t="shared" si="0"/>
        <v>4</v>
      </c>
      <c r="I26" s="43">
        <v>3</v>
      </c>
      <c r="J26" s="20">
        <v>88</v>
      </c>
      <c r="K26" s="65">
        <f>VLOOKUP(J26,المرجع!$B$3:$C$12,2)</f>
        <v>4.5</v>
      </c>
      <c r="L26" s="44" t="str">
        <f>VLOOKUP(K26,المرجع!$D$3:$E$12,2)</f>
        <v>ب+</v>
      </c>
      <c r="M26" s="40">
        <f t="shared" si="1"/>
        <v>13.5</v>
      </c>
      <c r="N26" s="43">
        <v>2</v>
      </c>
      <c r="O26" s="20">
        <v>79</v>
      </c>
      <c r="P26" s="65">
        <f>VLOOKUP(O26,المرجع!$B$3:$C$12,2)</f>
        <v>3.5</v>
      </c>
      <c r="Q26" s="44" t="str">
        <f>VLOOKUP(P26,المرجع!$D$3:$E$12,2)</f>
        <v>ج+</v>
      </c>
      <c r="R26" s="40">
        <f t="shared" si="2"/>
        <v>7</v>
      </c>
      <c r="S26" s="43">
        <v>2</v>
      </c>
      <c r="T26" s="20">
        <v>85</v>
      </c>
      <c r="U26" s="65">
        <f>VLOOKUP(T26,المرجع!$B$3:$C$12,2)</f>
        <v>4.5</v>
      </c>
      <c r="V26" s="44" t="str">
        <f>VLOOKUP(U26,المرجع!$D$3:$E$12,2)</f>
        <v>ب+</v>
      </c>
      <c r="W26" s="40">
        <f t="shared" si="3"/>
        <v>9</v>
      </c>
      <c r="X26" s="43">
        <v>3</v>
      </c>
      <c r="Y26" s="20">
        <v>100</v>
      </c>
      <c r="Z26" s="65">
        <f>VLOOKUP(Y26,المرجع!$B$3:$C$12,2)</f>
        <v>5</v>
      </c>
      <c r="AA26" s="44" t="str">
        <f>VLOOKUP(Z26,المرجع!$D$3:$E$12,2)</f>
        <v xml:space="preserve">أ+ </v>
      </c>
      <c r="AB26" s="40">
        <f t="shared" si="4"/>
        <v>15</v>
      </c>
      <c r="AC26" s="43">
        <v>3</v>
      </c>
      <c r="AD26" s="20">
        <v>74</v>
      </c>
      <c r="AE26" s="65">
        <f>VLOOKUP(AD26,المرجع!$B$3:$C$12,2)</f>
        <v>3</v>
      </c>
      <c r="AF26" s="44" t="str">
        <f>VLOOKUP(AE26,المرجع!$D$3:$E$12,2)</f>
        <v>ج</v>
      </c>
      <c r="AG26" s="40">
        <f t="shared" si="5"/>
        <v>9</v>
      </c>
      <c r="AH26" s="43">
        <v>3</v>
      </c>
      <c r="AI26" s="20">
        <v>73</v>
      </c>
      <c r="AJ26" s="65">
        <f>VLOOKUP(AI26,المرجع!$B$3:$C$12,2)</f>
        <v>3</v>
      </c>
      <c r="AK26" s="44" t="str">
        <f>VLOOKUP(AJ26,المرجع!$D$3:$E$12,2)</f>
        <v>ج</v>
      </c>
      <c r="AL26" s="40">
        <f t="shared" si="6"/>
        <v>9</v>
      </c>
      <c r="AM26" s="43">
        <v>2</v>
      </c>
      <c r="AN26" s="20">
        <v>83</v>
      </c>
      <c r="AO26" s="65">
        <f>VLOOKUP(AN26,المرجع!$B$3:$C$12,2)</f>
        <v>4</v>
      </c>
      <c r="AP26" s="44" t="str">
        <f>VLOOKUP(AO26,المرجع!$D$3:$E$12,2)</f>
        <v>ب</v>
      </c>
      <c r="AQ26" s="40">
        <f t="shared" si="7"/>
        <v>8</v>
      </c>
      <c r="AR26" s="43">
        <v>2</v>
      </c>
      <c r="AS26" s="20">
        <v>66</v>
      </c>
      <c r="AT26" s="65">
        <f>VLOOKUP(AS26,المرجع!$B$3:$C$12,2)</f>
        <v>2.5</v>
      </c>
      <c r="AU26" s="44" t="str">
        <f>VLOOKUP(AT26,المرجع!$D$3:$E$12,2)</f>
        <v>د+</v>
      </c>
      <c r="AV26" s="40">
        <f t="shared" si="8"/>
        <v>5</v>
      </c>
      <c r="AW26" s="43">
        <v>2</v>
      </c>
      <c r="AX26" s="20">
        <v>81</v>
      </c>
      <c r="AY26" s="65">
        <f>VLOOKUP(AX26,المرجع!$B$3:$C$12,2)</f>
        <v>4</v>
      </c>
      <c r="AZ26" s="44" t="str">
        <f>VLOOKUP(AY26,المرجع!$D$3:$E$12,2)</f>
        <v>ب</v>
      </c>
      <c r="BA26" s="40">
        <f t="shared" si="9"/>
        <v>8</v>
      </c>
      <c r="BB26" s="48">
        <f t="shared" si="10"/>
        <v>87.5</v>
      </c>
      <c r="BC26" s="49">
        <f t="shared" si="11"/>
        <v>23</v>
      </c>
      <c r="BD26" s="78">
        <f t="shared" si="13"/>
        <v>3.8043478260869565</v>
      </c>
      <c r="BE26" s="87">
        <f>(BB26+'المستوى الثاني 2023'!BB26+'المستوى الأول 2022'!BL26)/('المستوى الأول 2022'!BM26+'المستوى الثاني 2023'!BC26+'المستوى الثالث ح'!BC26)</f>
        <v>3.6764705882352939</v>
      </c>
      <c r="BF26" s="47" t="str">
        <f>VLOOKUP(BD26,المرجع!$D$3:$F$12,3)</f>
        <v xml:space="preserve">جيد جدا </v>
      </c>
      <c r="BG26" s="42">
        <f t="shared" si="12"/>
        <v>23</v>
      </c>
    </row>
    <row r="27" spans="2:59" ht="22.75" customHeight="1">
      <c r="B27" s="20">
        <v>2023072</v>
      </c>
      <c r="C27" s="34" t="s">
        <v>58</v>
      </c>
      <c r="D27" s="43">
        <v>1</v>
      </c>
      <c r="E27" s="20">
        <v>88</v>
      </c>
      <c r="F27" s="65">
        <f>VLOOKUP(E27,المرجع!$B$3:$C$12,2)</f>
        <v>4.5</v>
      </c>
      <c r="G27" s="44" t="str">
        <f>VLOOKUP(F27,المرجع!$D$3:$E$12,2)</f>
        <v>ب+</v>
      </c>
      <c r="H27" s="40">
        <f t="shared" si="0"/>
        <v>4.5</v>
      </c>
      <c r="I27" s="43">
        <v>3</v>
      </c>
      <c r="J27" s="20">
        <v>90</v>
      </c>
      <c r="K27" s="65">
        <f>VLOOKUP(J27,المرجع!$B$3:$C$12,2)</f>
        <v>4.75</v>
      </c>
      <c r="L27" s="44" t="str">
        <f>VLOOKUP(K27,المرجع!$D$3:$E$12,2)</f>
        <v>أ</v>
      </c>
      <c r="M27" s="40">
        <f t="shared" si="1"/>
        <v>14.25</v>
      </c>
      <c r="N27" s="43">
        <v>2</v>
      </c>
      <c r="O27" s="20">
        <v>90</v>
      </c>
      <c r="P27" s="65">
        <f>VLOOKUP(O27,المرجع!$B$3:$C$12,2)</f>
        <v>4.75</v>
      </c>
      <c r="Q27" s="44" t="str">
        <f>VLOOKUP(P27,المرجع!$D$3:$E$12,2)</f>
        <v>أ</v>
      </c>
      <c r="R27" s="40">
        <f t="shared" si="2"/>
        <v>9.5</v>
      </c>
      <c r="S27" s="43">
        <v>2</v>
      </c>
      <c r="T27" s="20">
        <v>90</v>
      </c>
      <c r="U27" s="65">
        <f>VLOOKUP(T27,المرجع!$B$3:$C$12,2)</f>
        <v>4.75</v>
      </c>
      <c r="V27" s="44" t="str">
        <f>VLOOKUP(U27,المرجع!$D$3:$E$12,2)</f>
        <v>أ</v>
      </c>
      <c r="W27" s="40">
        <f t="shared" si="3"/>
        <v>9.5</v>
      </c>
      <c r="X27" s="43">
        <v>3</v>
      </c>
      <c r="Y27" s="20">
        <v>50</v>
      </c>
      <c r="Z27" s="65">
        <f>VLOOKUP(Y27,المرجع!$B$3:$C$12,2)</f>
        <v>2</v>
      </c>
      <c r="AA27" s="44" t="str">
        <f>VLOOKUP(Z27,المرجع!$D$3:$E$12,2)</f>
        <v>د</v>
      </c>
      <c r="AB27" s="40">
        <f t="shared" si="4"/>
        <v>6</v>
      </c>
      <c r="AC27" s="43">
        <v>3</v>
      </c>
      <c r="AD27" s="20">
        <v>84</v>
      </c>
      <c r="AE27" s="65">
        <f>VLOOKUP(AD27,المرجع!$B$3:$C$12,2)</f>
        <v>4</v>
      </c>
      <c r="AF27" s="44" t="str">
        <f>VLOOKUP(AE27,المرجع!$D$3:$E$12,2)</f>
        <v>ب</v>
      </c>
      <c r="AG27" s="40">
        <f t="shared" si="5"/>
        <v>12</v>
      </c>
      <c r="AH27" s="43">
        <v>3</v>
      </c>
      <c r="AI27" s="20">
        <v>87</v>
      </c>
      <c r="AJ27" s="65">
        <f>VLOOKUP(AI27,المرجع!$B$3:$C$12,2)</f>
        <v>4.5</v>
      </c>
      <c r="AK27" s="44" t="str">
        <f>VLOOKUP(AJ27,المرجع!$D$3:$E$12,2)</f>
        <v>ب+</v>
      </c>
      <c r="AL27" s="40">
        <f t="shared" si="6"/>
        <v>13.5</v>
      </c>
      <c r="AM27" s="43">
        <v>2</v>
      </c>
      <c r="AN27" s="20">
        <v>65</v>
      </c>
      <c r="AO27" s="65">
        <f>VLOOKUP(AN27,المرجع!$B$3:$C$12,2)</f>
        <v>2.5</v>
      </c>
      <c r="AP27" s="44" t="str">
        <f>VLOOKUP(AO27,المرجع!$D$3:$E$12,2)</f>
        <v>د+</v>
      </c>
      <c r="AQ27" s="40">
        <f t="shared" si="7"/>
        <v>5</v>
      </c>
      <c r="AR27" s="43">
        <v>2</v>
      </c>
      <c r="AS27" s="20">
        <v>77</v>
      </c>
      <c r="AT27" s="65">
        <f>VLOOKUP(AS27,المرجع!$B$3:$C$12,2)</f>
        <v>3.5</v>
      </c>
      <c r="AU27" s="44" t="str">
        <f>VLOOKUP(AT27,المرجع!$D$3:$E$12,2)</f>
        <v>ج+</v>
      </c>
      <c r="AV27" s="40">
        <f t="shared" si="8"/>
        <v>7</v>
      </c>
      <c r="AW27" s="43">
        <v>2</v>
      </c>
      <c r="AX27" s="20">
        <v>56</v>
      </c>
      <c r="AY27" s="65">
        <f>VLOOKUP(AX27,المرجع!$B$3:$C$12,2)</f>
        <v>2</v>
      </c>
      <c r="AZ27" s="44" t="str">
        <f>VLOOKUP(AY27,المرجع!$D$3:$E$12,2)</f>
        <v>د</v>
      </c>
      <c r="BA27" s="40">
        <f t="shared" si="9"/>
        <v>4</v>
      </c>
      <c r="BB27" s="48">
        <f t="shared" si="10"/>
        <v>85.25</v>
      </c>
      <c r="BC27" s="49">
        <f t="shared" si="11"/>
        <v>23</v>
      </c>
      <c r="BD27" s="78">
        <f t="shared" si="13"/>
        <v>3.7065217391304346</v>
      </c>
      <c r="BE27" s="87">
        <f>(BB27+'المستوى الثاني 2023'!BB27+'المستوى الأول 2022'!BL27)/('المستوى الأول 2022'!BM27+'المستوى الثاني 2023'!BC27+'المستوى الثالث ح'!BC27)</f>
        <v>3.6764705882352939</v>
      </c>
      <c r="BF27" s="47" t="str">
        <f>VLOOKUP(BD27,المرجع!$D$3:$F$12,3)</f>
        <v xml:space="preserve">جيد جدا </v>
      </c>
      <c r="BG27" s="42">
        <f t="shared" si="12"/>
        <v>25</v>
      </c>
    </row>
    <row r="28" spans="2:59" ht="22.75" customHeight="1">
      <c r="B28" s="20">
        <v>2023042</v>
      </c>
      <c r="C28" s="34" t="s">
        <v>13</v>
      </c>
      <c r="D28" s="43">
        <v>1</v>
      </c>
      <c r="E28" s="20">
        <v>91</v>
      </c>
      <c r="F28" s="65">
        <f>VLOOKUP(E28,المرجع!$B$3:$C$12,2)</f>
        <v>4.75</v>
      </c>
      <c r="G28" s="44" t="str">
        <f>VLOOKUP(F28,المرجع!$D$3:$E$12,2)</f>
        <v>أ</v>
      </c>
      <c r="H28" s="40">
        <f t="shared" si="0"/>
        <v>4.75</v>
      </c>
      <c r="I28" s="43">
        <v>3</v>
      </c>
      <c r="J28" s="20">
        <v>85</v>
      </c>
      <c r="K28" s="65">
        <f>VLOOKUP(J28,المرجع!$B$3:$C$12,2)</f>
        <v>4.5</v>
      </c>
      <c r="L28" s="44" t="str">
        <f>VLOOKUP(K28,المرجع!$D$3:$E$12,2)</f>
        <v>ب+</v>
      </c>
      <c r="M28" s="40">
        <f t="shared" si="1"/>
        <v>13.5</v>
      </c>
      <c r="N28" s="43">
        <v>2</v>
      </c>
      <c r="O28" s="20">
        <v>70</v>
      </c>
      <c r="P28" s="65">
        <f>VLOOKUP(O28,المرجع!$B$3:$C$12,2)</f>
        <v>3</v>
      </c>
      <c r="Q28" s="44" t="str">
        <f>VLOOKUP(P28,المرجع!$D$3:$E$12,2)</f>
        <v>ج</v>
      </c>
      <c r="R28" s="40">
        <f t="shared" si="2"/>
        <v>6</v>
      </c>
      <c r="S28" s="43">
        <v>2</v>
      </c>
      <c r="T28" s="20">
        <v>90</v>
      </c>
      <c r="U28" s="65">
        <f>VLOOKUP(T28,المرجع!$B$3:$C$12,2)</f>
        <v>4.75</v>
      </c>
      <c r="V28" s="44" t="str">
        <f>VLOOKUP(U28,المرجع!$D$3:$E$12,2)</f>
        <v>أ</v>
      </c>
      <c r="W28" s="40">
        <f t="shared" si="3"/>
        <v>9.5</v>
      </c>
      <c r="X28" s="43">
        <v>3</v>
      </c>
      <c r="Y28" s="20">
        <v>70</v>
      </c>
      <c r="Z28" s="65">
        <f>VLOOKUP(Y28,المرجع!$B$3:$C$12,2)</f>
        <v>3</v>
      </c>
      <c r="AA28" s="44" t="str">
        <f>VLOOKUP(Z28,المرجع!$D$3:$E$12,2)</f>
        <v>ج</v>
      </c>
      <c r="AB28" s="40">
        <f t="shared" si="4"/>
        <v>9</v>
      </c>
      <c r="AC28" s="43">
        <v>3</v>
      </c>
      <c r="AD28" s="20">
        <v>90</v>
      </c>
      <c r="AE28" s="65">
        <f>VLOOKUP(AD28,المرجع!$B$3:$C$12,2)</f>
        <v>4.75</v>
      </c>
      <c r="AF28" s="44" t="str">
        <f>VLOOKUP(AE28,المرجع!$D$3:$E$12,2)</f>
        <v>أ</v>
      </c>
      <c r="AG28" s="40">
        <f t="shared" si="5"/>
        <v>14.25</v>
      </c>
      <c r="AH28" s="43">
        <v>3</v>
      </c>
      <c r="AI28" s="20">
        <v>72</v>
      </c>
      <c r="AJ28" s="65">
        <f>VLOOKUP(AI28,المرجع!$B$3:$C$12,2)</f>
        <v>3</v>
      </c>
      <c r="AK28" s="44" t="str">
        <f>VLOOKUP(AJ28,المرجع!$D$3:$E$12,2)</f>
        <v>ج</v>
      </c>
      <c r="AL28" s="40">
        <f t="shared" si="6"/>
        <v>9</v>
      </c>
      <c r="AM28" s="43">
        <v>2</v>
      </c>
      <c r="AN28" s="20">
        <v>75</v>
      </c>
      <c r="AO28" s="65">
        <f>VLOOKUP(AN28,المرجع!$B$3:$C$12,2)</f>
        <v>3.5</v>
      </c>
      <c r="AP28" s="44" t="str">
        <f>VLOOKUP(AO28,المرجع!$D$3:$E$12,2)</f>
        <v>ج+</v>
      </c>
      <c r="AQ28" s="40">
        <f t="shared" si="7"/>
        <v>7</v>
      </c>
      <c r="AR28" s="43">
        <v>2</v>
      </c>
      <c r="AS28" s="20">
        <v>78</v>
      </c>
      <c r="AT28" s="65">
        <f>VLOOKUP(AS28,المرجع!$B$3:$C$12,2)</f>
        <v>3.5</v>
      </c>
      <c r="AU28" s="44" t="str">
        <f>VLOOKUP(AT28,المرجع!$D$3:$E$12,2)</f>
        <v>ج+</v>
      </c>
      <c r="AV28" s="40">
        <f t="shared" si="8"/>
        <v>7</v>
      </c>
      <c r="AW28" s="43">
        <v>2</v>
      </c>
      <c r="AX28" s="20">
        <v>54</v>
      </c>
      <c r="AY28" s="65">
        <f>VLOOKUP(AX28,المرجع!$B$3:$C$12,2)</f>
        <v>2</v>
      </c>
      <c r="AZ28" s="44" t="str">
        <f>VLOOKUP(AY28,المرجع!$D$3:$E$12,2)</f>
        <v>د</v>
      </c>
      <c r="BA28" s="40">
        <f t="shared" si="9"/>
        <v>4</v>
      </c>
      <c r="BB28" s="48">
        <f t="shared" si="10"/>
        <v>84</v>
      </c>
      <c r="BC28" s="49">
        <f t="shared" si="11"/>
        <v>23</v>
      </c>
      <c r="BD28" s="78">
        <f t="shared" si="13"/>
        <v>3.652173913043478</v>
      </c>
      <c r="BE28" s="87">
        <f>(BB28+'المستوى الثاني 2023'!BB28+'المستوى الأول 2022'!BL28)/('المستوى الأول 2022'!BM28+'المستوى الثاني 2023'!BC28+'المستوى الثالث ح'!BC28)</f>
        <v>3.5845588235294117</v>
      </c>
      <c r="BF28" s="47" t="str">
        <f>VLOOKUP(BD28,المرجع!$D$3:$F$12,3)</f>
        <v xml:space="preserve">جيد جدا </v>
      </c>
      <c r="BG28" s="42">
        <f t="shared" si="12"/>
        <v>26</v>
      </c>
    </row>
    <row r="29" spans="2:59" ht="22.75" customHeight="1">
      <c r="B29" s="20">
        <v>2023101</v>
      </c>
      <c r="C29" s="34" t="s">
        <v>65</v>
      </c>
      <c r="D29" s="43">
        <v>1</v>
      </c>
      <c r="E29" s="20">
        <v>96</v>
      </c>
      <c r="F29" s="65">
        <f>VLOOKUP(E29,المرجع!$B$3:$C$12,2)</f>
        <v>5</v>
      </c>
      <c r="G29" s="44" t="str">
        <f>VLOOKUP(F29,المرجع!$D$3:$E$12,2)</f>
        <v xml:space="preserve">أ+ </v>
      </c>
      <c r="H29" s="40">
        <f t="shared" si="0"/>
        <v>5</v>
      </c>
      <c r="I29" s="43">
        <v>3</v>
      </c>
      <c r="J29" s="20">
        <v>84</v>
      </c>
      <c r="K29" s="65">
        <f>VLOOKUP(J29,المرجع!$B$3:$C$12,2)</f>
        <v>4</v>
      </c>
      <c r="L29" s="44" t="str">
        <f>VLOOKUP(K29,المرجع!$D$3:$E$12,2)</f>
        <v>ب</v>
      </c>
      <c r="M29" s="40">
        <f t="shared" si="1"/>
        <v>12</v>
      </c>
      <c r="N29" s="43">
        <v>2</v>
      </c>
      <c r="O29" s="20">
        <v>64</v>
      </c>
      <c r="P29" s="65">
        <f>VLOOKUP(O29,المرجع!$B$3:$C$12,2)</f>
        <v>2</v>
      </c>
      <c r="Q29" s="44" t="str">
        <f>VLOOKUP(P29,المرجع!$D$3:$E$12,2)</f>
        <v>د</v>
      </c>
      <c r="R29" s="40">
        <f t="shared" si="2"/>
        <v>4</v>
      </c>
      <c r="S29" s="43">
        <v>2</v>
      </c>
      <c r="T29" s="20">
        <v>91</v>
      </c>
      <c r="U29" s="65">
        <f>VLOOKUP(T29,المرجع!$B$3:$C$12,2)</f>
        <v>4.75</v>
      </c>
      <c r="V29" s="44" t="str">
        <f>VLOOKUP(U29,المرجع!$D$3:$E$12,2)</f>
        <v>أ</v>
      </c>
      <c r="W29" s="40">
        <f t="shared" si="3"/>
        <v>9.5</v>
      </c>
      <c r="X29" s="43">
        <v>3</v>
      </c>
      <c r="Y29" s="20">
        <v>73</v>
      </c>
      <c r="Z29" s="65">
        <f>VLOOKUP(Y29,المرجع!$B$3:$C$12,2)</f>
        <v>3</v>
      </c>
      <c r="AA29" s="44" t="str">
        <f>VLOOKUP(Z29,المرجع!$D$3:$E$12,2)</f>
        <v>ج</v>
      </c>
      <c r="AB29" s="40">
        <f t="shared" si="4"/>
        <v>9</v>
      </c>
      <c r="AC29" s="43">
        <v>3</v>
      </c>
      <c r="AD29" s="20">
        <v>77</v>
      </c>
      <c r="AE29" s="65">
        <f>VLOOKUP(AD29,المرجع!$B$3:$C$12,2)</f>
        <v>3.5</v>
      </c>
      <c r="AF29" s="44" t="str">
        <f>VLOOKUP(AE29,المرجع!$D$3:$E$12,2)</f>
        <v>ج+</v>
      </c>
      <c r="AG29" s="40">
        <f t="shared" si="5"/>
        <v>10.5</v>
      </c>
      <c r="AH29" s="43">
        <v>3</v>
      </c>
      <c r="AI29" s="20">
        <v>70</v>
      </c>
      <c r="AJ29" s="65">
        <f>VLOOKUP(AI29,المرجع!$B$3:$C$12,2)</f>
        <v>3</v>
      </c>
      <c r="AK29" s="44" t="str">
        <f>VLOOKUP(AJ29,المرجع!$D$3:$E$12,2)</f>
        <v>ج</v>
      </c>
      <c r="AL29" s="40">
        <f t="shared" si="6"/>
        <v>9</v>
      </c>
      <c r="AM29" s="43">
        <v>2</v>
      </c>
      <c r="AN29" s="20">
        <v>93</v>
      </c>
      <c r="AO29" s="65">
        <f>VLOOKUP(AN29,المرجع!$B$3:$C$12,2)</f>
        <v>4.75</v>
      </c>
      <c r="AP29" s="44" t="str">
        <f>VLOOKUP(AO29,المرجع!$D$3:$E$12,2)</f>
        <v>أ</v>
      </c>
      <c r="AQ29" s="40">
        <f t="shared" si="7"/>
        <v>9.5</v>
      </c>
      <c r="AR29" s="43">
        <v>2</v>
      </c>
      <c r="AS29" s="20">
        <v>87</v>
      </c>
      <c r="AT29" s="65">
        <f>VLOOKUP(AS29,المرجع!$B$3:$C$12,2)</f>
        <v>4.5</v>
      </c>
      <c r="AU29" s="44" t="str">
        <f>VLOOKUP(AT29,المرجع!$D$3:$E$12,2)</f>
        <v>ب+</v>
      </c>
      <c r="AV29" s="40">
        <f t="shared" si="8"/>
        <v>9</v>
      </c>
      <c r="AW29" s="43">
        <v>2</v>
      </c>
      <c r="AX29" s="20">
        <v>73</v>
      </c>
      <c r="AY29" s="65">
        <f>VLOOKUP(AX29,المرجع!$B$3:$C$12,2)</f>
        <v>3</v>
      </c>
      <c r="AZ29" s="44" t="str">
        <f>VLOOKUP(AY29,المرجع!$D$3:$E$12,2)</f>
        <v>ج</v>
      </c>
      <c r="BA29" s="40">
        <f t="shared" si="9"/>
        <v>6</v>
      </c>
      <c r="BB29" s="48">
        <f t="shared" si="10"/>
        <v>83.5</v>
      </c>
      <c r="BC29" s="49">
        <f t="shared" si="11"/>
        <v>23</v>
      </c>
      <c r="BD29" s="78">
        <f t="shared" si="13"/>
        <v>3.6304347826086958</v>
      </c>
      <c r="BE29" s="87">
        <f>(BB29+'المستوى الثاني 2023'!BB29+'المستوى الأول 2022'!BL29)/('المستوى الأول 2022'!BM29+'المستوى الثاني 2023'!BC29+'المستوى الثالث ح'!BC29)</f>
        <v>3.6102941176470589</v>
      </c>
      <c r="BF29" s="47" t="str">
        <f>VLOOKUP(BD29,المرجع!$D$3:$F$12,3)</f>
        <v xml:space="preserve">جيد جدا </v>
      </c>
      <c r="BG29" s="42">
        <f t="shared" si="12"/>
        <v>29</v>
      </c>
    </row>
    <row r="30" spans="2:59" ht="22.75" customHeight="1">
      <c r="B30" s="20">
        <v>2023124</v>
      </c>
      <c r="C30" s="34" t="s">
        <v>9</v>
      </c>
      <c r="D30" s="43">
        <v>1</v>
      </c>
      <c r="E30" s="20">
        <v>92</v>
      </c>
      <c r="F30" s="65">
        <f>VLOOKUP(E30,المرجع!$B$3:$C$12,2)</f>
        <v>4.75</v>
      </c>
      <c r="G30" s="44" t="str">
        <f>VLOOKUP(F30,المرجع!$D$3:$E$12,2)</f>
        <v>أ</v>
      </c>
      <c r="H30" s="40">
        <f t="shared" si="0"/>
        <v>4.75</v>
      </c>
      <c r="I30" s="43">
        <v>3</v>
      </c>
      <c r="J30" s="20">
        <v>88</v>
      </c>
      <c r="K30" s="65">
        <f>VLOOKUP(J30,المرجع!$B$3:$C$12,2)</f>
        <v>4.5</v>
      </c>
      <c r="L30" s="44" t="str">
        <f>VLOOKUP(K30,المرجع!$D$3:$E$12,2)</f>
        <v>ب+</v>
      </c>
      <c r="M30" s="40">
        <f t="shared" si="1"/>
        <v>13.5</v>
      </c>
      <c r="N30" s="43">
        <v>2</v>
      </c>
      <c r="O30" s="20">
        <v>87</v>
      </c>
      <c r="P30" s="65">
        <f>VLOOKUP(O30,المرجع!$B$3:$C$12,2)</f>
        <v>4.5</v>
      </c>
      <c r="Q30" s="44" t="str">
        <f>VLOOKUP(P30,المرجع!$D$3:$E$12,2)</f>
        <v>ب+</v>
      </c>
      <c r="R30" s="40">
        <f t="shared" si="2"/>
        <v>9</v>
      </c>
      <c r="S30" s="43">
        <v>2</v>
      </c>
      <c r="T30" s="20">
        <v>90</v>
      </c>
      <c r="U30" s="65">
        <f>VLOOKUP(T30,المرجع!$B$3:$C$12,2)</f>
        <v>4.75</v>
      </c>
      <c r="V30" s="44" t="str">
        <f>VLOOKUP(U30,المرجع!$D$3:$E$12,2)</f>
        <v>أ</v>
      </c>
      <c r="W30" s="40">
        <f t="shared" si="3"/>
        <v>9.5</v>
      </c>
      <c r="X30" s="43">
        <v>3</v>
      </c>
      <c r="Y30" s="20">
        <v>69</v>
      </c>
      <c r="Z30" s="65">
        <f>VLOOKUP(Y30,المرجع!$B$3:$C$12,2)</f>
        <v>2.5</v>
      </c>
      <c r="AA30" s="44" t="str">
        <f>VLOOKUP(Z30,المرجع!$D$3:$E$12,2)</f>
        <v>د+</v>
      </c>
      <c r="AB30" s="40">
        <f t="shared" si="4"/>
        <v>7.5</v>
      </c>
      <c r="AC30" s="43">
        <v>3</v>
      </c>
      <c r="AD30" s="20">
        <v>60</v>
      </c>
      <c r="AE30" s="65">
        <f>VLOOKUP(AD30,المرجع!$B$3:$C$12,2)</f>
        <v>2</v>
      </c>
      <c r="AF30" s="44" t="str">
        <f>VLOOKUP(AE30,المرجع!$D$3:$E$12,2)</f>
        <v>د</v>
      </c>
      <c r="AG30" s="40">
        <f t="shared" si="5"/>
        <v>6</v>
      </c>
      <c r="AH30" s="43">
        <v>3</v>
      </c>
      <c r="AI30" s="20">
        <v>56</v>
      </c>
      <c r="AJ30" s="65">
        <f>VLOOKUP(AI30,المرجع!$B$3:$C$12,2)</f>
        <v>2</v>
      </c>
      <c r="AK30" s="44" t="str">
        <f>VLOOKUP(AJ30,المرجع!$D$3:$E$12,2)</f>
        <v>د</v>
      </c>
      <c r="AL30" s="40">
        <f t="shared" si="6"/>
        <v>6</v>
      </c>
      <c r="AM30" s="43">
        <v>2</v>
      </c>
      <c r="AN30" s="20">
        <v>90</v>
      </c>
      <c r="AO30" s="65">
        <f>VLOOKUP(AN30,المرجع!$B$3:$C$12,2)</f>
        <v>4.75</v>
      </c>
      <c r="AP30" s="44" t="str">
        <f>VLOOKUP(AO30,المرجع!$D$3:$E$12,2)</f>
        <v>أ</v>
      </c>
      <c r="AQ30" s="40">
        <f t="shared" si="7"/>
        <v>9.5</v>
      </c>
      <c r="AR30" s="43">
        <v>2</v>
      </c>
      <c r="AS30" s="20">
        <v>87</v>
      </c>
      <c r="AT30" s="65">
        <f>VLOOKUP(AS30,المرجع!$B$3:$C$12,2)</f>
        <v>4.5</v>
      </c>
      <c r="AU30" s="44" t="str">
        <f>VLOOKUP(AT30,المرجع!$D$3:$E$12,2)</f>
        <v>ب+</v>
      </c>
      <c r="AV30" s="40">
        <f t="shared" si="8"/>
        <v>9</v>
      </c>
      <c r="AW30" s="43">
        <v>2</v>
      </c>
      <c r="AX30" s="20">
        <v>86</v>
      </c>
      <c r="AY30" s="65">
        <f>VLOOKUP(AX30,المرجع!$B$3:$C$12,2)</f>
        <v>4.5</v>
      </c>
      <c r="AZ30" s="44" t="str">
        <f>VLOOKUP(AY30,المرجع!$D$3:$E$12,2)</f>
        <v>ب+</v>
      </c>
      <c r="BA30" s="40">
        <f t="shared" si="9"/>
        <v>9</v>
      </c>
      <c r="BB30" s="48">
        <f t="shared" si="10"/>
        <v>83.75</v>
      </c>
      <c r="BC30" s="49">
        <f t="shared" si="11"/>
        <v>23</v>
      </c>
      <c r="BD30" s="78">
        <f t="shared" si="13"/>
        <v>3.6413043478260869</v>
      </c>
      <c r="BE30" s="87">
        <f>(BB30+'المستوى الثاني 2023'!BB30+'المستوى الأول 2022'!BL30)/('المستوى الأول 2022'!BM30+'المستوى الثاني 2023'!BC30+'المستوى الثالث ح'!BC30)</f>
        <v>3.5955882352941178</v>
      </c>
      <c r="BF30" s="47" t="str">
        <f>VLOOKUP(BD30,المرجع!$D$3:$F$12,3)</f>
        <v xml:space="preserve">جيد جدا </v>
      </c>
      <c r="BG30" s="42">
        <f t="shared" si="12"/>
        <v>27</v>
      </c>
    </row>
    <row r="31" spans="2:59" ht="22.75" customHeight="1">
      <c r="B31" s="20">
        <v>2023081</v>
      </c>
      <c r="C31" s="34" t="s">
        <v>52</v>
      </c>
      <c r="D31" s="43">
        <v>1</v>
      </c>
      <c r="E31" s="20">
        <v>91</v>
      </c>
      <c r="F31" s="65">
        <f>VLOOKUP(E31,المرجع!$B$3:$C$12,2)</f>
        <v>4.75</v>
      </c>
      <c r="G31" s="44" t="str">
        <f>VLOOKUP(F31,المرجع!$D$3:$E$12,2)</f>
        <v>أ</v>
      </c>
      <c r="H31" s="40">
        <f t="shared" si="0"/>
        <v>4.75</v>
      </c>
      <c r="I31" s="43">
        <v>3</v>
      </c>
      <c r="J31" s="20">
        <v>67</v>
      </c>
      <c r="K31" s="65">
        <f>VLOOKUP(J31,المرجع!$B$3:$C$12,2)</f>
        <v>2.5</v>
      </c>
      <c r="L31" s="44" t="str">
        <f>VLOOKUP(K31,المرجع!$D$3:$E$12,2)</f>
        <v>د+</v>
      </c>
      <c r="M31" s="40">
        <f t="shared" si="1"/>
        <v>7.5</v>
      </c>
      <c r="N31" s="43">
        <v>2</v>
      </c>
      <c r="O31" s="20">
        <v>61</v>
      </c>
      <c r="P31" s="65">
        <f>VLOOKUP(O31,المرجع!$B$3:$C$12,2)</f>
        <v>2</v>
      </c>
      <c r="Q31" s="44" t="str">
        <f>VLOOKUP(P31,المرجع!$D$3:$E$12,2)</f>
        <v>د</v>
      </c>
      <c r="R31" s="40">
        <f t="shared" si="2"/>
        <v>4</v>
      </c>
      <c r="S31" s="43">
        <v>2</v>
      </c>
      <c r="T31" s="20">
        <v>87</v>
      </c>
      <c r="U31" s="65">
        <f>VLOOKUP(T31,المرجع!$B$3:$C$12,2)</f>
        <v>4.5</v>
      </c>
      <c r="V31" s="44" t="str">
        <f>VLOOKUP(U31,المرجع!$D$3:$E$12,2)</f>
        <v>ب+</v>
      </c>
      <c r="W31" s="40">
        <f t="shared" si="3"/>
        <v>9</v>
      </c>
      <c r="X31" s="43">
        <v>3</v>
      </c>
      <c r="Y31" s="20">
        <v>70</v>
      </c>
      <c r="Z31" s="65">
        <f>VLOOKUP(Y31,المرجع!$B$3:$C$12,2)</f>
        <v>3</v>
      </c>
      <c r="AA31" s="44" t="str">
        <f>VLOOKUP(Z31,المرجع!$D$3:$E$12,2)</f>
        <v>ج</v>
      </c>
      <c r="AB31" s="40">
        <f t="shared" si="4"/>
        <v>9</v>
      </c>
      <c r="AC31" s="43">
        <v>3</v>
      </c>
      <c r="AD31" s="20">
        <v>88</v>
      </c>
      <c r="AE31" s="65">
        <f>VLOOKUP(AD31,المرجع!$B$3:$C$12,2)</f>
        <v>4.5</v>
      </c>
      <c r="AF31" s="44" t="str">
        <f>VLOOKUP(AE31,المرجع!$D$3:$E$12,2)</f>
        <v>ب+</v>
      </c>
      <c r="AG31" s="40">
        <f t="shared" si="5"/>
        <v>13.5</v>
      </c>
      <c r="AH31" s="43">
        <v>3</v>
      </c>
      <c r="AI31" s="20">
        <v>76</v>
      </c>
      <c r="AJ31" s="65">
        <f>VLOOKUP(AI31,المرجع!$B$3:$C$12,2)</f>
        <v>3.5</v>
      </c>
      <c r="AK31" s="44" t="str">
        <f>VLOOKUP(AJ31,المرجع!$D$3:$E$12,2)</f>
        <v>ج+</v>
      </c>
      <c r="AL31" s="40">
        <f t="shared" si="6"/>
        <v>10.5</v>
      </c>
      <c r="AM31" s="43">
        <v>2</v>
      </c>
      <c r="AN31" s="20">
        <v>90</v>
      </c>
      <c r="AO31" s="65">
        <f>VLOOKUP(AN31,المرجع!$B$3:$C$12,2)</f>
        <v>4.75</v>
      </c>
      <c r="AP31" s="44" t="str">
        <f>VLOOKUP(AO31,المرجع!$D$3:$E$12,2)</f>
        <v>أ</v>
      </c>
      <c r="AQ31" s="40">
        <f t="shared" si="7"/>
        <v>9.5</v>
      </c>
      <c r="AR31" s="43">
        <v>2</v>
      </c>
      <c r="AS31" s="20">
        <v>80</v>
      </c>
      <c r="AT31" s="65">
        <f>VLOOKUP(AS31,المرجع!$B$3:$C$12,2)</f>
        <v>4</v>
      </c>
      <c r="AU31" s="44" t="str">
        <f>VLOOKUP(AT31,المرجع!$D$3:$E$12,2)</f>
        <v>ب</v>
      </c>
      <c r="AV31" s="40">
        <f t="shared" si="8"/>
        <v>8</v>
      </c>
      <c r="AW31" s="43">
        <v>2</v>
      </c>
      <c r="AX31" s="20">
        <v>80</v>
      </c>
      <c r="AY31" s="65">
        <f>VLOOKUP(AX31,المرجع!$B$3:$C$12,2)</f>
        <v>4</v>
      </c>
      <c r="AZ31" s="44" t="str">
        <f>VLOOKUP(AY31,المرجع!$D$3:$E$12,2)</f>
        <v>ب</v>
      </c>
      <c r="BA31" s="40">
        <f t="shared" si="9"/>
        <v>8</v>
      </c>
      <c r="BB31" s="48">
        <f t="shared" si="10"/>
        <v>83.75</v>
      </c>
      <c r="BC31" s="49">
        <f t="shared" si="11"/>
        <v>23</v>
      </c>
      <c r="BD31" s="78">
        <f t="shared" si="13"/>
        <v>3.6413043478260869</v>
      </c>
      <c r="BE31" s="87">
        <f>(BB31+'المستوى الثاني 2023'!BB31+'المستوى الأول 2022'!BL31)/('المستوى الأول 2022'!BM31+'المستوى الثاني 2023'!BC31+'المستوى الثالث ح'!BC31)</f>
        <v>3.5735294117647061</v>
      </c>
      <c r="BF31" s="47" t="str">
        <f>VLOOKUP(BD31,المرجع!$D$3:$F$12,3)</f>
        <v xml:space="preserve">جيد جدا </v>
      </c>
      <c r="BG31" s="42">
        <f t="shared" si="12"/>
        <v>27</v>
      </c>
    </row>
    <row r="32" spans="2:59" ht="22.75" customHeight="1">
      <c r="B32" s="20">
        <v>2023046</v>
      </c>
      <c r="C32" s="34" t="s">
        <v>12</v>
      </c>
      <c r="D32" s="43">
        <v>1</v>
      </c>
      <c r="E32" s="20">
        <v>99</v>
      </c>
      <c r="F32" s="65">
        <f>VLOOKUP(E32,المرجع!$B$3:$C$12,2)</f>
        <v>5</v>
      </c>
      <c r="G32" s="44" t="str">
        <f>VLOOKUP(F32,المرجع!$D$3:$E$12,2)</f>
        <v xml:space="preserve">أ+ </v>
      </c>
      <c r="H32" s="40">
        <f t="shared" si="0"/>
        <v>5</v>
      </c>
      <c r="I32" s="43">
        <v>3</v>
      </c>
      <c r="J32" s="20">
        <v>80</v>
      </c>
      <c r="K32" s="65">
        <f>VLOOKUP(J32,المرجع!$B$3:$C$12,2)</f>
        <v>4</v>
      </c>
      <c r="L32" s="44" t="str">
        <f>VLOOKUP(K32,المرجع!$D$3:$E$12,2)</f>
        <v>ب</v>
      </c>
      <c r="M32" s="40">
        <f t="shared" si="1"/>
        <v>12</v>
      </c>
      <c r="N32" s="43">
        <v>2</v>
      </c>
      <c r="O32" s="20">
        <v>87</v>
      </c>
      <c r="P32" s="65">
        <f>VLOOKUP(O32,المرجع!$B$3:$C$12,2)</f>
        <v>4.5</v>
      </c>
      <c r="Q32" s="44" t="str">
        <f>VLOOKUP(P32,المرجع!$D$3:$E$12,2)</f>
        <v>ب+</v>
      </c>
      <c r="R32" s="40">
        <f t="shared" si="2"/>
        <v>9</v>
      </c>
      <c r="S32" s="43">
        <v>2</v>
      </c>
      <c r="T32" s="20">
        <v>93</v>
      </c>
      <c r="U32" s="65">
        <f>VLOOKUP(T32,المرجع!$B$3:$C$12,2)</f>
        <v>4.75</v>
      </c>
      <c r="V32" s="44" t="str">
        <f>VLOOKUP(U32,المرجع!$D$3:$E$12,2)</f>
        <v>أ</v>
      </c>
      <c r="W32" s="40">
        <f t="shared" si="3"/>
        <v>9.5</v>
      </c>
      <c r="X32" s="43">
        <v>3</v>
      </c>
      <c r="Y32" s="20">
        <v>69</v>
      </c>
      <c r="Z32" s="65">
        <f>VLOOKUP(Y32,المرجع!$B$3:$C$12,2)</f>
        <v>2.5</v>
      </c>
      <c r="AA32" s="44" t="str">
        <f>VLOOKUP(Z32,المرجع!$D$3:$E$12,2)</f>
        <v>د+</v>
      </c>
      <c r="AB32" s="40">
        <f t="shared" si="4"/>
        <v>7.5</v>
      </c>
      <c r="AC32" s="43">
        <v>3</v>
      </c>
      <c r="AD32" s="20">
        <v>77</v>
      </c>
      <c r="AE32" s="65">
        <f>VLOOKUP(AD32,المرجع!$B$3:$C$12,2)</f>
        <v>3.5</v>
      </c>
      <c r="AF32" s="44" t="str">
        <f>VLOOKUP(AE32,المرجع!$D$3:$E$12,2)</f>
        <v>ج+</v>
      </c>
      <c r="AG32" s="40">
        <f t="shared" si="5"/>
        <v>10.5</v>
      </c>
      <c r="AH32" s="43">
        <v>3</v>
      </c>
      <c r="AI32" s="20">
        <v>62</v>
      </c>
      <c r="AJ32" s="65">
        <f>VLOOKUP(AI32,المرجع!$B$3:$C$12,2)</f>
        <v>2</v>
      </c>
      <c r="AK32" s="44" t="str">
        <f>VLOOKUP(AJ32,المرجع!$D$3:$E$12,2)</f>
        <v>د</v>
      </c>
      <c r="AL32" s="40">
        <f t="shared" si="6"/>
        <v>6</v>
      </c>
      <c r="AM32" s="43">
        <v>2</v>
      </c>
      <c r="AN32" s="20">
        <v>85</v>
      </c>
      <c r="AO32" s="65">
        <f>VLOOKUP(AN32,المرجع!$B$3:$C$12,2)</f>
        <v>4.5</v>
      </c>
      <c r="AP32" s="44" t="str">
        <f>VLOOKUP(AO32,المرجع!$D$3:$E$12,2)</f>
        <v>ب+</v>
      </c>
      <c r="AQ32" s="40">
        <f t="shared" si="7"/>
        <v>9</v>
      </c>
      <c r="AR32" s="43">
        <v>2</v>
      </c>
      <c r="AS32" s="20">
        <v>86</v>
      </c>
      <c r="AT32" s="65">
        <f>VLOOKUP(AS32,المرجع!$B$3:$C$12,2)</f>
        <v>4.5</v>
      </c>
      <c r="AU32" s="44" t="str">
        <f>VLOOKUP(AT32,المرجع!$D$3:$E$12,2)</f>
        <v>ب+</v>
      </c>
      <c r="AV32" s="40">
        <f t="shared" si="8"/>
        <v>9</v>
      </c>
      <c r="AW32" s="43">
        <v>2</v>
      </c>
      <c r="AX32" s="20">
        <v>58</v>
      </c>
      <c r="AY32" s="65">
        <f>VLOOKUP(AX32,المرجع!$B$3:$C$12,2)</f>
        <v>2</v>
      </c>
      <c r="AZ32" s="44" t="str">
        <f>VLOOKUP(AY32,المرجع!$D$3:$E$12,2)</f>
        <v>د</v>
      </c>
      <c r="BA32" s="40">
        <f t="shared" si="9"/>
        <v>4</v>
      </c>
      <c r="BB32" s="48">
        <f t="shared" si="10"/>
        <v>81.5</v>
      </c>
      <c r="BC32" s="49">
        <f t="shared" si="11"/>
        <v>23</v>
      </c>
      <c r="BD32" s="78">
        <f t="shared" si="13"/>
        <v>3.5434782608695654</v>
      </c>
      <c r="BE32" s="87">
        <f>(BB32+'المستوى الثاني 2023'!BB32+'المستوى الأول 2022'!BL32)/('المستوى الأول 2022'!BM32+'المستوى الثاني 2023'!BC32+'المستوى الثالث ح'!BC32)</f>
        <v>3.6029411764705883</v>
      </c>
      <c r="BF32" s="47" t="str">
        <f>VLOOKUP(BD32,المرجع!$D$3:$F$12,3)</f>
        <v xml:space="preserve">جيد مرتفع </v>
      </c>
      <c r="BG32" s="42">
        <f t="shared" si="12"/>
        <v>30</v>
      </c>
    </row>
    <row r="33" spans="2:59" ht="22.75" customHeight="1">
      <c r="B33" s="20">
        <v>2023055</v>
      </c>
      <c r="C33" s="34" t="s">
        <v>91</v>
      </c>
      <c r="D33" s="43">
        <v>1</v>
      </c>
      <c r="E33" s="20">
        <v>96</v>
      </c>
      <c r="F33" s="65">
        <f>VLOOKUP(E33,المرجع!$B$3:$C$12,2)</f>
        <v>5</v>
      </c>
      <c r="G33" s="44" t="str">
        <f>VLOOKUP(F33,المرجع!$D$3:$E$12,2)</f>
        <v xml:space="preserve">أ+ </v>
      </c>
      <c r="H33" s="40">
        <f t="shared" si="0"/>
        <v>5</v>
      </c>
      <c r="I33" s="43">
        <v>3</v>
      </c>
      <c r="J33" s="20">
        <v>70</v>
      </c>
      <c r="K33" s="65">
        <f>VLOOKUP(J33,المرجع!$B$3:$C$12,2)</f>
        <v>3</v>
      </c>
      <c r="L33" s="44" t="str">
        <f>VLOOKUP(K33,المرجع!$D$3:$E$12,2)</f>
        <v>ج</v>
      </c>
      <c r="M33" s="40">
        <f t="shared" si="1"/>
        <v>9</v>
      </c>
      <c r="N33" s="43">
        <v>2</v>
      </c>
      <c r="O33" s="20">
        <v>60</v>
      </c>
      <c r="P33" s="65">
        <f>VLOOKUP(O33,المرجع!$B$3:$C$12,2)</f>
        <v>2</v>
      </c>
      <c r="Q33" s="44" t="str">
        <f>VLOOKUP(P33,المرجع!$D$3:$E$12,2)</f>
        <v>د</v>
      </c>
      <c r="R33" s="40">
        <f t="shared" si="2"/>
        <v>4</v>
      </c>
      <c r="S33" s="43">
        <v>2</v>
      </c>
      <c r="T33" s="20">
        <v>90</v>
      </c>
      <c r="U33" s="65">
        <f>VLOOKUP(T33,المرجع!$B$3:$C$12,2)</f>
        <v>4.75</v>
      </c>
      <c r="V33" s="44" t="str">
        <f>VLOOKUP(U33,المرجع!$D$3:$E$12,2)</f>
        <v>أ</v>
      </c>
      <c r="W33" s="40">
        <f t="shared" si="3"/>
        <v>9.5</v>
      </c>
      <c r="X33" s="43">
        <v>3</v>
      </c>
      <c r="Y33" s="20">
        <v>100</v>
      </c>
      <c r="Z33" s="65">
        <f>VLOOKUP(Y33,المرجع!$B$3:$C$12,2)</f>
        <v>5</v>
      </c>
      <c r="AA33" s="44" t="str">
        <f>VLOOKUP(Z33,المرجع!$D$3:$E$12,2)</f>
        <v xml:space="preserve">أ+ </v>
      </c>
      <c r="AB33" s="40">
        <f t="shared" si="4"/>
        <v>15</v>
      </c>
      <c r="AC33" s="43">
        <v>3</v>
      </c>
      <c r="AD33" s="20">
        <v>74</v>
      </c>
      <c r="AE33" s="65">
        <f>VLOOKUP(AD33,المرجع!$B$3:$C$12,2)</f>
        <v>3</v>
      </c>
      <c r="AF33" s="44" t="str">
        <f>VLOOKUP(AE33,المرجع!$D$3:$E$12,2)</f>
        <v>ج</v>
      </c>
      <c r="AG33" s="40">
        <f t="shared" si="5"/>
        <v>9</v>
      </c>
      <c r="AH33" s="43">
        <v>3</v>
      </c>
      <c r="AI33" s="20">
        <v>52</v>
      </c>
      <c r="AJ33" s="65">
        <f>VLOOKUP(AI33,المرجع!$B$3:$C$12,2)</f>
        <v>2</v>
      </c>
      <c r="AK33" s="44" t="str">
        <f>VLOOKUP(AJ33,المرجع!$D$3:$E$12,2)</f>
        <v>د</v>
      </c>
      <c r="AL33" s="40">
        <f t="shared" si="6"/>
        <v>6</v>
      </c>
      <c r="AM33" s="43">
        <v>2</v>
      </c>
      <c r="AN33" s="20">
        <v>80</v>
      </c>
      <c r="AO33" s="65">
        <f>VLOOKUP(AN33,المرجع!$B$3:$C$12,2)</f>
        <v>4</v>
      </c>
      <c r="AP33" s="44" t="str">
        <f>VLOOKUP(AO33,المرجع!$D$3:$E$12,2)</f>
        <v>ب</v>
      </c>
      <c r="AQ33" s="40">
        <f t="shared" si="7"/>
        <v>8</v>
      </c>
      <c r="AR33" s="43">
        <v>2</v>
      </c>
      <c r="AS33" s="20">
        <v>78</v>
      </c>
      <c r="AT33" s="65">
        <f>VLOOKUP(AS33,المرجع!$B$3:$C$12,2)</f>
        <v>3.5</v>
      </c>
      <c r="AU33" s="44" t="str">
        <f>VLOOKUP(AT33,المرجع!$D$3:$E$12,2)</f>
        <v>ج+</v>
      </c>
      <c r="AV33" s="40">
        <f t="shared" si="8"/>
        <v>7</v>
      </c>
      <c r="AW33" s="43">
        <v>2</v>
      </c>
      <c r="AX33" s="20">
        <v>85</v>
      </c>
      <c r="AY33" s="65">
        <f>VLOOKUP(AX33,المرجع!$B$3:$C$12,2)</f>
        <v>4.5</v>
      </c>
      <c r="AZ33" s="44" t="str">
        <f>VLOOKUP(AY33,المرجع!$D$3:$E$12,2)</f>
        <v>ب+</v>
      </c>
      <c r="BA33" s="40">
        <f t="shared" si="9"/>
        <v>9</v>
      </c>
      <c r="BB33" s="48">
        <f t="shared" si="10"/>
        <v>81.5</v>
      </c>
      <c r="BC33" s="49">
        <f t="shared" si="11"/>
        <v>23</v>
      </c>
      <c r="BD33" s="78">
        <f t="shared" si="13"/>
        <v>3.5434782608695654</v>
      </c>
      <c r="BE33" s="87">
        <f>(BB33+'المستوى الثاني 2023'!BB33+'المستوى الأول 2022'!BL33)/('المستوى الأول 2022'!BM33+'المستوى الثاني 2023'!BC33+'المستوى الثالث ح'!BC33)</f>
        <v>3.5735294117647061</v>
      </c>
      <c r="BF33" s="47" t="str">
        <f>VLOOKUP(BD33,المرجع!$D$3:$F$12,3)</f>
        <v xml:space="preserve">جيد مرتفع </v>
      </c>
      <c r="BG33" s="42">
        <f t="shared" si="12"/>
        <v>30</v>
      </c>
    </row>
    <row r="34" spans="2:59" ht="22.75" customHeight="1">
      <c r="B34" s="20">
        <v>2023015</v>
      </c>
      <c r="C34" s="34" t="s">
        <v>15</v>
      </c>
      <c r="D34" s="43">
        <v>1</v>
      </c>
      <c r="E34" s="20">
        <v>96</v>
      </c>
      <c r="F34" s="65">
        <f>VLOOKUP(E34,المرجع!$B$3:$C$12,2)</f>
        <v>5</v>
      </c>
      <c r="G34" s="44" t="str">
        <f>VLOOKUP(F34,المرجع!$D$3:$E$12,2)</f>
        <v xml:space="preserve">أ+ </v>
      </c>
      <c r="H34" s="40">
        <f t="shared" si="0"/>
        <v>5</v>
      </c>
      <c r="I34" s="43">
        <v>3</v>
      </c>
      <c r="J34" s="20">
        <v>89</v>
      </c>
      <c r="K34" s="65">
        <f>VLOOKUP(J34,المرجع!$B$3:$C$12,2)</f>
        <v>4.5</v>
      </c>
      <c r="L34" s="44" t="str">
        <f>VLOOKUP(K34,المرجع!$D$3:$E$12,2)</f>
        <v>ب+</v>
      </c>
      <c r="M34" s="40">
        <f t="shared" si="1"/>
        <v>13.5</v>
      </c>
      <c r="N34" s="43">
        <v>2</v>
      </c>
      <c r="O34" s="20">
        <v>65</v>
      </c>
      <c r="P34" s="65">
        <f>VLOOKUP(O34,المرجع!$B$3:$C$12,2)</f>
        <v>2.5</v>
      </c>
      <c r="Q34" s="44" t="str">
        <f>VLOOKUP(P34,المرجع!$D$3:$E$12,2)</f>
        <v>د+</v>
      </c>
      <c r="R34" s="40">
        <f t="shared" si="2"/>
        <v>5</v>
      </c>
      <c r="S34" s="43">
        <v>2</v>
      </c>
      <c r="T34" s="20">
        <v>95</v>
      </c>
      <c r="U34" s="65">
        <f>VLOOKUP(T34,المرجع!$B$3:$C$12,2)</f>
        <v>5</v>
      </c>
      <c r="V34" s="44" t="str">
        <f>VLOOKUP(U34,المرجع!$D$3:$E$12,2)</f>
        <v xml:space="preserve">أ+ </v>
      </c>
      <c r="W34" s="40">
        <f t="shared" si="3"/>
        <v>10</v>
      </c>
      <c r="X34" s="43">
        <v>3</v>
      </c>
      <c r="Y34" s="20">
        <v>70</v>
      </c>
      <c r="Z34" s="65">
        <f>VLOOKUP(Y34,المرجع!$B$3:$C$12,2)</f>
        <v>3</v>
      </c>
      <c r="AA34" s="44" t="str">
        <f>VLOOKUP(Z34,المرجع!$D$3:$E$12,2)</f>
        <v>ج</v>
      </c>
      <c r="AB34" s="40">
        <f t="shared" si="4"/>
        <v>9</v>
      </c>
      <c r="AC34" s="43">
        <v>3</v>
      </c>
      <c r="AD34" s="20">
        <v>81</v>
      </c>
      <c r="AE34" s="65">
        <f>VLOOKUP(AD34,المرجع!$B$3:$C$12,2)</f>
        <v>4</v>
      </c>
      <c r="AF34" s="44" t="str">
        <f>VLOOKUP(AE34,المرجع!$D$3:$E$12,2)</f>
        <v>ب</v>
      </c>
      <c r="AG34" s="40">
        <f t="shared" si="5"/>
        <v>12</v>
      </c>
      <c r="AH34" s="43">
        <v>3</v>
      </c>
      <c r="AI34" s="20">
        <v>72</v>
      </c>
      <c r="AJ34" s="65">
        <f>VLOOKUP(AI34,المرجع!$B$3:$C$12,2)</f>
        <v>3</v>
      </c>
      <c r="AK34" s="44" t="str">
        <f>VLOOKUP(AJ34,المرجع!$D$3:$E$12,2)</f>
        <v>ج</v>
      </c>
      <c r="AL34" s="40">
        <f t="shared" si="6"/>
        <v>9</v>
      </c>
      <c r="AM34" s="43">
        <v>2</v>
      </c>
      <c r="AN34" s="20">
        <v>65</v>
      </c>
      <c r="AO34" s="65">
        <f>VLOOKUP(AN34,المرجع!$B$3:$C$12,2)</f>
        <v>2.5</v>
      </c>
      <c r="AP34" s="44" t="str">
        <f>VLOOKUP(AO34,المرجع!$D$3:$E$12,2)</f>
        <v>د+</v>
      </c>
      <c r="AQ34" s="40">
        <f t="shared" si="7"/>
        <v>5</v>
      </c>
      <c r="AR34" s="43">
        <v>2</v>
      </c>
      <c r="AS34" s="20">
        <v>60</v>
      </c>
      <c r="AT34" s="65">
        <f>VLOOKUP(AS34,المرجع!$B$3:$C$12,2)</f>
        <v>2</v>
      </c>
      <c r="AU34" s="44" t="str">
        <f>VLOOKUP(AT34,المرجع!$D$3:$E$12,2)</f>
        <v>د</v>
      </c>
      <c r="AV34" s="40">
        <f t="shared" si="8"/>
        <v>4</v>
      </c>
      <c r="AW34" s="43">
        <v>2</v>
      </c>
      <c r="AX34" s="20">
        <v>87</v>
      </c>
      <c r="AY34" s="65">
        <f>VLOOKUP(AX34,المرجع!$B$3:$C$12,2)</f>
        <v>4.5</v>
      </c>
      <c r="AZ34" s="44" t="str">
        <f>VLOOKUP(AY34,المرجع!$D$3:$E$12,2)</f>
        <v>ب+</v>
      </c>
      <c r="BA34" s="40">
        <f t="shared" si="9"/>
        <v>9</v>
      </c>
      <c r="BB34" s="48">
        <f t="shared" si="10"/>
        <v>81.5</v>
      </c>
      <c r="BC34" s="49">
        <f t="shared" si="11"/>
        <v>23</v>
      </c>
      <c r="BD34" s="78">
        <f t="shared" si="13"/>
        <v>3.5434782608695654</v>
      </c>
      <c r="BE34" s="87">
        <f>(BB34+'المستوى الثاني 2023'!BB34+'المستوى الأول 2022'!BL34)/('المستوى الأول 2022'!BM34+'المستوى الثاني 2023'!BC34+'المستوى الثالث ح'!BC34)</f>
        <v>3.4485294117647061</v>
      </c>
      <c r="BF34" s="47" t="str">
        <f>VLOOKUP(BD34,المرجع!$D$3:$F$12,3)</f>
        <v xml:space="preserve">جيد مرتفع </v>
      </c>
      <c r="BG34" s="42">
        <f t="shared" si="12"/>
        <v>30</v>
      </c>
    </row>
    <row r="35" spans="2:59" ht="22.75" customHeight="1">
      <c r="B35" s="20">
        <v>2023089</v>
      </c>
      <c r="C35" s="34" t="s">
        <v>55</v>
      </c>
      <c r="D35" s="43">
        <v>1</v>
      </c>
      <c r="E35" s="20">
        <v>95</v>
      </c>
      <c r="F35" s="65">
        <f>VLOOKUP(E35,المرجع!$B$3:$C$12,2)</f>
        <v>5</v>
      </c>
      <c r="G35" s="44" t="str">
        <f>VLOOKUP(F35,المرجع!$D$3:$E$12,2)</f>
        <v xml:space="preserve">أ+ </v>
      </c>
      <c r="H35" s="40">
        <f t="shared" ref="H35:H66" si="14">F35*D35</f>
        <v>5</v>
      </c>
      <c r="I35" s="43">
        <v>3</v>
      </c>
      <c r="J35" s="20">
        <v>85</v>
      </c>
      <c r="K35" s="65">
        <f>VLOOKUP(J35,المرجع!$B$3:$C$12,2)</f>
        <v>4.5</v>
      </c>
      <c r="L35" s="44" t="str">
        <f>VLOOKUP(K35,المرجع!$D$3:$E$12,2)</f>
        <v>ب+</v>
      </c>
      <c r="M35" s="40">
        <f t="shared" ref="M35:M66" si="15">K35*I35</f>
        <v>13.5</v>
      </c>
      <c r="N35" s="43">
        <v>2</v>
      </c>
      <c r="O35" s="20">
        <v>67</v>
      </c>
      <c r="P35" s="65">
        <f>VLOOKUP(O35,المرجع!$B$3:$C$12,2)</f>
        <v>2.5</v>
      </c>
      <c r="Q35" s="44" t="str">
        <f>VLOOKUP(P35,المرجع!$D$3:$E$12,2)</f>
        <v>د+</v>
      </c>
      <c r="R35" s="40">
        <f t="shared" ref="R35:R66" si="16">P35*N35</f>
        <v>5</v>
      </c>
      <c r="S35" s="43">
        <v>2</v>
      </c>
      <c r="T35" s="20">
        <v>90</v>
      </c>
      <c r="U35" s="65">
        <f>VLOOKUP(T35,المرجع!$B$3:$C$12,2)</f>
        <v>4.75</v>
      </c>
      <c r="V35" s="44" t="str">
        <f>VLOOKUP(U35,المرجع!$D$3:$E$12,2)</f>
        <v>أ</v>
      </c>
      <c r="W35" s="40">
        <f t="shared" ref="W35:W66" si="17">U35*S35</f>
        <v>9.5</v>
      </c>
      <c r="X35" s="43">
        <v>3</v>
      </c>
      <c r="Y35" s="20">
        <v>71</v>
      </c>
      <c r="Z35" s="65">
        <f>VLOOKUP(Y35,المرجع!$B$3:$C$12,2)</f>
        <v>3</v>
      </c>
      <c r="AA35" s="44" t="str">
        <f>VLOOKUP(Z35,المرجع!$D$3:$E$12,2)</f>
        <v>ج</v>
      </c>
      <c r="AB35" s="40">
        <f t="shared" ref="AB35:AB66" si="18">Z35*X35</f>
        <v>9</v>
      </c>
      <c r="AC35" s="43">
        <v>3</v>
      </c>
      <c r="AD35" s="20">
        <v>78</v>
      </c>
      <c r="AE35" s="65">
        <f>VLOOKUP(AD35,المرجع!$B$3:$C$12,2)</f>
        <v>3.5</v>
      </c>
      <c r="AF35" s="44" t="str">
        <f>VLOOKUP(AE35,المرجع!$D$3:$E$12,2)</f>
        <v>ج+</v>
      </c>
      <c r="AG35" s="40">
        <f t="shared" ref="AG35:AG66" si="19">AE35*AC35</f>
        <v>10.5</v>
      </c>
      <c r="AH35" s="43">
        <v>3</v>
      </c>
      <c r="AI35" s="20">
        <v>71</v>
      </c>
      <c r="AJ35" s="65">
        <f>VLOOKUP(AI35,المرجع!$B$3:$C$12,2)</f>
        <v>3</v>
      </c>
      <c r="AK35" s="44" t="str">
        <f>VLOOKUP(AJ35,المرجع!$D$3:$E$12,2)</f>
        <v>ج</v>
      </c>
      <c r="AL35" s="40">
        <f t="shared" ref="AL35:AL66" si="20">AJ35*AH35</f>
        <v>9</v>
      </c>
      <c r="AM35" s="43">
        <v>2</v>
      </c>
      <c r="AN35" s="20">
        <v>85</v>
      </c>
      <c r="AO35" s="65">
        <f>VLOOKUP(AN35,المرجع!$B$3:$C$12,2)</f>
        <v>4.5</v>
      </c>
      <c r="AP35" s="44" t="str">
        <f>VLOOKUP(AO35,المرجع!$D$3:$E$12,2)</f>
        <v>ب+</v>
      </c>
      <c r="AQ35" s="40">
        <f t="shared" ref="AQ35:AQ66" si="21">AO35*AM35</f>
        <v>9</v>
      </c>
      <c r="AR35" s="43">
        <v>2</v>
      </c>
      <c r="AS35" s="20">
        <v>77</v>
      </c>
      <c r="AT35" s="65">
        <f>VLOOKUP(AS35,المرجع!$B$3:$C$12,2)</f>
        <v>3.5</v>
      </c>
      <c r="AU35" s="44" t="str">
        <f>VLOOKUP(AT35,المرجع!$D$3:$E$12,2)</f>
        <v>ج+</v>
      </c>
      <c r="AV35" s="40">
        <f t="shared" ref="AV35:AV66" si="22">AT35*AR35</f>
        <v>7</v>
      </c>
      <c r="AW35" s="43">
        <v>2</v>
      </c>
      <c r="AX35" s="20">
        <v>60</v>
      </c>
      <c r="AY35" s="65">
        <f>VLOOKUP(AX35,المرجع!$B$3:$C$12,2)</f>
        <v>2</v>
      </c>
      <c r="AZ35" s="44" t="str">
        <f>VLOOKUP(AY35,المرجع!$D$3:$E$12,2)</f>
        <v>د</v>
      </c>
      <c r="BA35" s="40">
        <f t="shared" ref="BA35:BA66" si="23">AY35*AW35</f>
        <v>4</v>
      </c>
      <c r="BB35" s="48">
        <f t="shared" ref="BB35:BB66" si="24">BA35+AV35+AQ35+AL35+AG35+AB35+W35+R35+M35+H35</f>
        <v>81.5</v>
      </c>
      <c r="BC35" s="49">
        <f t="shared" ref="BC35:BC66" si="25">AW35+AR35+AM35+AH35+AC35+X35+S35+N35+I35+D35</f>
        <v>23</v>
      </c>
      <c r="BD35" s="78">
        <f t="shared" si="13"/>
        <v>3.5434782608695654</v>
      </c>
      <c r="BE35" s="87">
        <f>(BB35+'المستوى الثاني 2023'!BB35+'المستوى الأول 2022'!BL35)/('المستوى الأول 2022'!BM35+'المستوى الثاني 2023'!BC35+'المستوى الثالث ح'!BC35)</f>
        <v>3.5919117647058822</v>
      </c>
      <c r="BF35" s="47" t="str">
        <f>VLOOKUP(BD35,المرجع!$D$3:$F$12,3)</f>
        <v xml:space="preserve">جيد مرتفع </v>
      </c>
      <c r="BG35" s="42">
        <f t="shared" ref="BG35:BG66" si="26">RANK(BD35,$BD$3:$BD$77)</f>
        <v>30</v>
      </c>
    </row>
    <row r="36" spans="2:59" ht="22.75" customHeight="1">
      <c r="B36" s="20">
        <v>2023130</v>
      </c>
      <c r="C36" s="34" t="s">
        <v>60</v>
      </c>
      <c r="D36" s="43">
        <v>1</v>
      </c>
      <c r="E36" s="20">
        <v>92</v>
      </c>
      <c r="F36" s="65">
        <f>VLOOKUP(E36,المرجع!$B$3:$C$12,2)</f>
        <v>4.75</v>
      </c>
      <c r="G36" s="44" t="str">
        <f>VLOOKUP(F36,المرجع!$D$3:$E$12,2)</f>
        <v>أ</v>
      </c>
      <c r="H36" s="40">
        <f t="shared" si="14"/>
        <v>4.75</v>
      </c>
      <c r="I36" s="43">
        <v>3</v>
      </c>
      <c r="J36" s="20">
        <v>90</v>
      </c>
      <c r="K36" s="65">
        <f>VLOOKUP(J36,المرجع!$B$3:$C$12,2)</f>
        <v>4.75</v>
      </c>
      <c r="L36" s="44" t="str">
        <f>VLOOKUP(K36,المرجع!$D$3:$E$12,2)</f>
        <v>أ</v>
      </c>
      <c r="M36" s="40">
        <f t="shared" si="15"/>
        <v>14.25</v>
      </c>
      <c r="N36" s="43">
        <v>2</v>
      </c>
      <c r="O36" s="20">
        <v>77</v>
      </c>
      <c r="P36" s="65">
        <f>VLOOKUP(O36,المرجع!$B$3:$C$12,2)</f>
        <v>3.5</v>
      </c>
      <c r="Q36" s="44" t="str">
        <f>VLOOKUP(P36,المرجع!$D$3:$E$12,2)</f>
        <v>ج+</v>
      </c>
      <c r="R36" s="40">
        <f t="shared" si="16"/>
        <v>7</v>
      </c>
      <c r="S36" s="43">
        <v>2</v>
      </c>
      <c r="T36" s="20">
        <v>90</v>
      </c>
      <c r="U36" s="65">
        <f>VLOOKUP(T36,المرجع!$B$3:$C$12,2)</f>
        <v>4.75</v>
      </c>
      <c r="V36" s="44" t="str">
        <f>VLOOKUP(U36,المرجع!$D$3:$E$12,2)</f>
        <v>أ</v>
      </c>
      <c r="W36" s="40">
        <f t="shared" si="17"/>
        <v>9.5</v>
      </c>
      <c r="X36" s="43">
        <v>3</v>
      </c>
      <c r="Y36" s="20">
        <v>55</v>
      </c>
      <c r="Z36" s="65">
        <f>VLOOKUP(Y36,المرجع!$B$3:$C$12,2)</f>
        <v>2</v>
      </c>
      <c r="AA36" s="44" t="str">
        <f>VLOOKUP(Z36,المرجع!$D$3:$E$12,2)</f>
        <v>د</v>
      </c>
      <c r="AB36" s="40">
        <f t="shared" si="18"/>
        <v>6</v>
      </c>
      <c r="AC36" s="43">
        <v>3</v>
      </c>
      <c r="AD36" s="20">
        <v>65</v>
      </c>
      <c r="AE36" s="65">
        <f>VLOOKUP(AD36,المرجع!$B$3:$C$12,2)</f>
        <v>2.5</v>
      </c>
      <c r="AF36" s="44" t="str">
        <f>VLOOKUP(AE36,المرجع!$D$3:$E$12,2)</f>
        <v>د+</v>
      </c>
      <c r="AG36" s="40">
        <f t="shared" si="19"/>
        <v>7.5</v>
      </c>
      <c r="AH36" s="43">
        <v>3</v>
      </c>
      <c r="AI36" s="20">
        <v>84</v>
      </c>
      <c r="AJ36" s="65">
        <f>VLOOKUP(AI36,المرجع!$B$3:$C$12,2)</f>
        <v>4</v>
      </c>
      <c r="AK36" s="44" t="str">
        <f>VLOOKUP(AJ36,المرجع!$D$3:$E$12,2)</f>
        <v>ب</v>
      </c>
      <c r="AL36" s="40">
        <f t="shared" si="20"/>
        <v>12</v>
      </c>
      <c r="AM36" s="43">
        <v>2</v>
      </c>
      <c r="AN36" s="20">
        <v>85</v>
      </c>
      <c r="AO36" s="65">
        <f>VLOOKUP(AN36,المرجع!$B$3:$C$12,2)</f>
        <v>4.5</v>
      </c>
      <c r="AP36" s="44" t="str">
        <f>VLOOKUP(AO36,المرجع!$D$3:$E$12,2)</f>
        <v>ب+</v>
      </c>
      <c r="AQ36" s="40">
        <f t="shared" si="21"/>
        <v>9</v>
      </c>
      <c r="AR36" s="43">
        <v>2</v>
      </c>
      <c r="AS36" s="20">
        <v>66</v>
      </c>
      <c r="AT36" s="65">
        <f>VLOOKUP(AS36,المرجع!$B$3:$C$12,2)</f>
        <v>2.5</v>
      </c>
      <c r="AU36" s="44" t="str">
        <f>VLOOKUP(AT36,المرجع!$D$3:$E$12,2)</f>
        <v>د+</v>
      </c>
      <c r="AV36" s="40">
        <f t="shared" si="22"/>
        <v>5</v>
      </c>
      <c r="AW36" s="43">
        <v>2</v>
      </c>
      <c r="AX36" s="20">
        <v>74</v>
      </c>
      <c r="AY36" s="65">
        <f>VLOOKUP(AX36,المرجع!$B$3:$C$12,2)</f>
        <v>3</v>
      </c>
      <c r="AZ36" s="44" t="str">
        <f>VLOOKUP(AY36,المرجع!$D$3:$E$12,2)</f>
        <v>ج</v>
      </c>
      <c r="BA36" s="40">
        <f t="shared" si="23"/>
        <v>6</v>
      </c>
      <c r="BB36" s="48">
        <f t="shared" si="24"/>
        <v>81</v>
      </c>
      <c r="BC36" s="49">
        <f t="shared" si="25"/>
        <v>23</v>
      </c>
      <c r="BD36" s="78">
        <f t="shared" si="13"/>
        <v>3.5217391304347827</v>
      </c>
      <c r="BE36" s="87">
        <f>(BB36+'المستوى الثاني 2023'!BB36+'المستوى الأول 2022'!BL36)/('المستوى الأول 2022'!BM36+'المستوى الثاني 2023'!BC36+'المستوى الثالث ح'!BC36)</f>
        <v>3.4264705882352939</v>
      </c>
      <c r="BF36" s="47" t="str">
        <f>VLOOKUP(BD36,المرجع!$D$3:$F$12,3)</f>
        <v xml:space="preserve">جيد مرتفع </v>
      </c>
      <c r="BG36" s="42">
        <f t="shared" si="26"/>
        <v>36</v>
      </c>
    </row>
    <row r="37" spans="2:59" ht="22.75" customHeight="1">
      <c r="B37" s="20">
        <v>2023107</v>
      </c>
      <c r="C37" s="34" t="s">
        <v>93</v>
      </c>
      <c r="D37" s="43">
        <v>1</v>
      </c>
      <c r="E37" s="20">
        <v>80</v>
      </c>
      <c r="F37" s="65">
        <f>VLOOKUP(E37,المرجع!$B$3:$C$12,2)</f>
        <v>4</v>
      </c>
      <c r="G37" s="44" t="str">
        <f>VLOOKUP(F37,المرجع!$D$3:$E$12,2)</f>
        <v>ب</v>
      </c>
      <c r="H37" s="40">
        <f t="shared" si="14"/>
        <v>4</v>
      </c>
      <c r="I37" s="43">
        <v>3</v>
      </c>
      <c r="J37" s="20">
        <v>90</v>
      </c>
      <c r="K37" s="65">
        <f>VLOOKUP(J37,المرجع!$B$3:$C$12,2)</f>
        <v>4.75</v>
      </c>
      <c r="L37" s="44" t="str">
        <f>VLOOKUP(K37,المرجع!$D$3:$E$12,2)</f>
        <v>أ</v>
      </c>
      <c r="M37" s="40">
        <f t="shared" si="15"/>
        <v>14.25</v>
      </c>
      <c r="N37" s="43">
        <v>2</v>
      </c>
      <c r="O37" s="20">
        <v>76</v>
      </c>
      <c r="P37" s="65">
        <f>VLOOKUP(O37,المرجع!$B$3:$C$12,2)</f>
        <v>3.5</v>
      </c>
      <c r="Q37" s="44" t="str">
        <f>VLOOKUP(P37,المرجع!$D$3:$E$12,2)</f>
        <v>ج+</v>
      </c>
      <c r="R37" s="40">
        <f t="shared" si="16"/>
        <v>7</v>
      </c>
      <c r="S37" s="43">
        <v>2</v>
      </c>
      <c r="T37" s="20">
        <v>85</v>
      </c>
      <c r="U37" s="65">
        <f>VLOOKUP(T37,المرجع!$B$3:$C$12,2)</f>
        <v>4.5</v>
      </c>
      <c r="V37" s="44" t="str">
        <f>VLOOKUP(U37,المرجع!$D$3:$E$12,2)</f>
        <v>ب+</v>
      </c>
      <c r="W37" s="40">
        <f t="shared" si="17"/>
        <v>9</v>
      </c>
      <c r="X37" s="43">
        <v>3</v>
      </c>
      <c r="Y37" s="20">
        <v>94</v>
      </c>
      <c r="Z37" s="65">
        <f>VLOOKUP(Y37,المرجع!$B$3:$C$12,2)</f>
        <v>4.75</v>
      </c>
      <c r="AA37" s="44" t="str">
        <f>VLOOKUP(Z37,المرجع!$D$3:$E$12,2)</f>
        <v>أ</v>
      </c>
      <c r="AB37" s="40">
        <f t="shared" si="18"/>
        <v>14.25</v>
      </c>
      <c r="AC37" s="43">
        <v>3</v>
      </c>
      <c r="AD37" s="20">
        <v>56</v>
      </c>
      <c r="AE37" s="65">
        <f>VLOOKUP(AD37,المرجع!$B$3:$C$12,2)</f>
        <v>2</v>
      </c>
      <c r="AF37" s="44" t="str">
        <f>VLOOKUP(AE37,المرجع!$D$3:$E$12,2)</f>
        <v>د</v>
      </c>
      <c r="AG37" s="40">
        <f t="shared" si="19"/>
        <v>6</v>
      </c>
      <c r="AH37" s="43">
        <v>3</v>
      </c>
      <c r="AI37" s="20">
        <v>55</v>
      </c>
      <c r="AJ37" s="65">
        <f>VLOOKUP(AI37,المرجع!$B$3:$C$12,2)</f>
        <v>2</v>
      </c>
      <c r="AK37" s="44" t="str">
        <f>VLOOKUP(AJ37,المرجع!$D$3:$E$12,2)</f>
        <v>د</v>
      </c>
      <c r="AL37" s="40">
        <f t="shared" si="20"/>
        <v>6</v>
      </c>
      <c r="AM37" s="43">
        <v>2</v>
      </c>
      <c r="AN37" s="20">
        <v>88</v>
      </c>
      <c r="AO37" s="65">
        <f>VLOOKUP(AN37,المرجع!$B$3:$C$12,2)</f>
        <v>4.5</v>
      </c>
      <c r="AP37" s="44" t="str">
        <f>VLOOKUP(AO37,المرجع!$D$3:$E$12,2)</f>
        <v>ب+</v>
      </c>
      <c r="AQ37" s="40">
        <f t="shared" si="21"/>
        <v>9</v>
      </c>
      <c r="AR37" s="43">
        <v>2</v>
      </c>
      <c r="AS37" s="20">
        <v>81</v>
      </c>
      <c r="AT37" s="65">
        <f>VLOOKUP(AS37,المرجع!$B$3:$C$12,2)</f>
        <v>4</v>
      </c>
      <c r="AU37" s="44" t="str">
        <f>VLOOKUP(AT37,المرجع!$D$3:$E$12,2)</f>
        <v>ب</v>
      </c>
      <c r="AV37" s="40">
        <f t="shared" si="22"/>
        <v>8</v>
      </c>
      <c r="AW37" s="43">
        <v>2</v>
      </c>
      <c r="AX37" s="20">
        <v>50</v>
      </c>
      <c r="AY37" s="65">
        <f>VLOOKUP(AX37,المرجع!$B$3:$C$12,2)</f>
        <v>2</v>
      </c>
      <c r="AZ37" s="44" t="str">
        <f>VLOOKUP(AY37,المرجع!$D$3:$E$12,2)</f>
        <v>د</v>
      </c>
      <c r="BA37" s="40">
        <f t="shared" si="23"/>
        <v>4</v>
      </c>
      <c r="BB37" s="48">
        <f t="shared" si="24"/>
        <v>81.5</v>
      </c>
      <c r="BC37" s="49">
        <f t="shared" si="25"/>
        <v>23</v>
      </c>
      <c r="BD37" s="78">
        <f t="shared" si="13"/>
        <v>3.5434782608695654</v>
      </c>
      <c r="BE37" s="87">
        <f>(BB37+'المستوى الثاني 2023'!BB37+'المستوى الأول 2022'!BL37)/('المستوى الأول 2022'!BM37+'المستوى الثاني 2023'!BC37+'المستوى الثالث ح'!BC37)</f>
        <v>3.4595588235294117</v>
      </c>
      <c r="BF37" s="47" t="str">
        <f>VLOOKUP(BD37,المرجع!$D$3:$F$12,3)</f>
        <v xml:space="preserve">جيد مرتفع </v>
      </c>
      <c r="BG37" s="42">
        <f t="shared" si="26"/>
        <v>30</v>
      </c>
    </row>
    <row r="38" spans="2:59" ht="22.75" customHeight="1">
      <c r="B38" s="20">
        <v>2023019</v>
      </c>
      <c r="C38" s="34" t="s">
        <v>17</v>
      </c>
      <c r="D38" s="43">
        <v>1</v>
      </c>
      <c r="E38" s="20">
        <v>93</v>
      </c>
      <c r="F38" s="65">
        <f>VLOOKUP(E38,المرجع!$B$3:$C$12,2)</f>
        <v>4.75</v>
      </c>
      <c r="G38" s="44" t="str">
        <f>VLOOKUP(F38,المرجع!$D$3:$E$12,2)</f>
        <v>أ</v>
      </c>
      <c r="H38" s="40">
        <f t="shared" si="14"/>
        <v>4.75</v>
      </c>
      <c r="I38" s="43">
        <v>3</v>
      </c>
      <c r="J38" s="20">
        <v>70</v>
      </c>
      <c r="K38" s="65">
        <f>VLOOKUP(J38,المرجع!$B$3:$C$12,2)</f>
        <v>3</v>
      </c>
      <c r="L38" s="44" t="str">
        <f>VLOOKUP(K38,المرجع!$D$3:$E$12,2)</f>
        <v>ج</v>
      </c>
      <c r="M38" s="40">
        <f t="shared" si="15"/>
        <v>9</v>
      </c>
      <c r="N38" s="43">
        <v>2</v>
      </c>
      <c r="O38" s="20">
        <v>77</v>
      </c>
      <c r="P38" s="65">
        <f>VLOOKUP(O38,المرجع!$B$3:$C$12,2)</f>
        <v>3.5</v>
      </c>
      <c r="Q38" s="44" t="str">
        <f>VLOOKUP(P38,المرجع!$D$3:$E$12,2)</f>
        <v>ج+</v>
      </c>
      <c r="R38" s="40">
        <f t="shared" si="16"/>
        <v>7</v>
      </c>
      <c r="S38" s="43">
        <v>2</v>
      </c>
      <c r="T38" s="20">
        <v>91</v>
      </c>
      <c r="U38" s="65">
        <f>VLOOKUP(T38,المرجع!$B$3:$C$12,2)</f>
        <v>4.75</v>
      </c>
      <c r="V38" s="44" t="str">
        <f>VLOOKUP(U38,المرجع!$D$3:$E$12,2)</f>
        <v>أ</v>
      </c>
      <c r="W38" s="40">
        <f t="shared" si="17"/>
        <v>9.5</v>
      </c>
      <c r="X38" s="43">
        <v>3</v>
      </c>
      <c r="Y38" s="20">
        <v>68</v>
      </c>
      <c r="Z38" s="65">
        <f>VLOOKUP(Y38,المرجع!$B$3:$C$12,2)</f>
        <v>2.5</v>
      </c>
      <c r="AA38" s="44" t="str">
        <f>VLOOKUP(Z38,المرجع!$D$3:$E$12,2)</f>
        <v>د+</v>
      </c>
      <c r="AB38" s="40">
        <f t="shared" si="18"/>
        <v>7.5</v>
      </c>
      <c r="AC38" s="43">
        <v>3</v>
      </c>
      <c r="AD38" s="20">
        <v>84</v>
      </c>
      <c r="AE38" s="65">
        <f>VLOOKUP(AD38,المرجع!$B$3:$C$12,2)</f>
        <v>4</v>
      </c>
      <c r="AF38" s="44" t="str">
        <f>VLOOKUP(AE38,المرجع!$D$3:$E$12,2)</f>
        <v>ب</v>
      </c>
      <c r="AG38" s="40">
        <f t="shared" si="19"/>
        <v>12</v>
      </c>
      <c r="AH38" s="43">
        <v>3</v>
      </c>
      <c r="AI38" s="20">
        <v>85</v>
      </c>
      <c r="AJ38" s="65">
        <f>VLOOKUP(AI38,المرجع!$B$3:$C$12,2)</f>
        <v>4.5</v>
      </c>
      <c r="AK38" s="44" t="str">
        <f>VLOOKUP(AJ38,المرجع!$D$3:$E$12,2)</f>
        <v>ب+</v>
      </c>
      <c r="AL38" s="40">
        <f t="shared" si="20"/>
        <v>13.5</v>
      </c>
      <c r="AM38" s="43">
        <v>2</v>
      </c>
      <c r="AN38" s="20">
        <v>73</v>
      </c>
      <c r="AO38" s="65">
        <f>VLOOKUP(AN38,المرجع!$B$3:$C$12,2)</f>
        <v>3</v>
      </c>
      <c r="AP38" s="44" t="str">
        <f>VLOOKUP(AO38,المرجع!$D$3:$E$12,2)</f>
        <v>ج</v>
      </c>
      <c r="AQ38" s="40">
        <f t="shared" si="21"/>
        <v>6</v>
      </c>
      <c r="AR38" s="43">
        <v>2</v>
      </c>
      <c r="AS38" s="20">
        <v>60</v>
      </c>
      <c r="AT38" s="65">
        <f>VLOOKUP(AS38,المرجع!$B$3:$C$12,2)</f>
        <v>2</v>
      </c>
      <c r="AU38" s="44" t="str">
        <f>VLOOKUP(AT38,المرجع!$D$3:$E$12,2)</f>
        <v>د</v>
      </c>
      <c r="AV38" s="40">
        <f t="shared" si="22"/>
        <v>4</v>
      </c>
      <c r="AW38" s="43">
        <v>2</v>
      </c>
      <c r="AX38" s="20">
        <v>75</v>
      </c>
      <c r="AY38" s="65">
        <f>VLOOKUP(AX38,المرجع!$B$3:$C$12,2)</f>
        <v>3.5</v>
      </c>
      <c r="AZ38" s="44" t="str">
        <f>VLOOKUP(AY38,المرجع!$D$3:$E$12,2)</f>
        <v>ج+</v>
      </c>
      <c r="BA38" s="40">
        <f t="shared" si="23"/>
        <v>7</v>
      </c>
      <c r="BB38" s="48">
        <f t="shared" si="24"/>
        <v>80.25</v>
      </c>
      <c r="BC38" s="49">
        <f t="shared" si="25"/>
        <v>23</v>
      </c>
      <c r="BD38" s="78">
        <f t="shared" si="13"/>
        <v>3.4891304347826089</v>
      </c>
      <c r="BE38" s="87">
        <f>(BB38+'المستوى الثاني 2023'!BB38+'المستوى الأول 2022'!BL38)/('المستوى الأول 2022'!BM38+'المستوى الثاني 2023'!BC38+'المستوى الثالث ح'!BC38)</f>
        <v>3.4669117647058822</v>
      </c>
      <c r="BF38" s="47" t="str">
        <f>VLOOKUP(BD38,المرجع!$D$3:$F$12,3)</f>
        <v xml:space="preserve">جيد مرتفع </v>
      </c>
      <c r="BG38" s="42">
        <f t="shared" si="26"/>
        <v>37</v>
      </c>
    </row>
    <row r="39" spans="2:59" ht="22.75" customHeight="1">
      <c r="B39" s="20">
        <v>2023030</v>
      </c>
      <c r="C39" s="34" t="s">
        <v>6</v>
      </c>
      <c r="D39" s="43">
        <v>1</v>
      </c>
      <c r="E39" s="20">
        <v>93</v>
      </c>
      <c r="F39" s="65">
        <f>VLOOKUP(E39,المرجع!$B$3:$C$12,2)</f>
        <v>4.75</v>
      </c>
      <c r="G39" s="44" t="str">
        <f>VLOOKUP(F39,المرجع!$D$3:$E$12,2)</f>
        <v>أ</v>
      </c>
      <c r="H39" s="40">
        <f t="shared" si="14"/>
        <v>4.75</v>
      </c>
      <c r="I39" s="43">
        <v>3</v>
      </c>
      <c r="J39" s="20">
        <v>83</v>
      </c>
      <c r="K39" s="65">
        <f>VLOOKUP(J39,المرجع!$B$3:$C$12,2)</f>
        <v>4</v>
      </c>
      <c r="L39" s="44" t="str">
        <f>VLOOKUP(K39,المرجع!$D$3:$E$12,2)</f>
        <v>ب</v>
      </c>
      <c r="M39" s="40">
        <f t="shared" si="15"/>
        <v>12</v>
      </c>
      <c r="N39" s="43">
        <v>2</v>
      </c>
      <c r="O39" s="20">
        <v>76</v>
      </c>
      <c r="P39" s="65">
        <f>VLOOKUP(O39,المرجع!$B$3:$C$12,2)</f>
        <v>3.5</v>
      </c>
      <c r="Q39" s="44" t="str">
        <f>VLOOKUP(P39,المرجع!$D$3:$E$12,2)</f>
        <v>ج+</v>
      </c>
      <c r="R39" s="40">
        <f t="shared" si="16"/>
        <v>7</v>
      </c>
      <c r="S39" s="43">
        <v>2</v>
      </c>
      <c r="T39" s="20">
        <v>91</v>
      </c>
      <c r="U39" s="65">
        <f>VLOOKUP(T39,المرجع!$B$3:$C$12,2)</f>
        <v>4.75</v>
      </c>
      <c r="V39" s="44" t="str">
        <f>VLOOKUP(U39,المرجع!$D$3:$E$12,2)</f>
        <v>أ</v>
      </c>
      <c r="W39" s="40">
        <f t="shared" si="17"/>
        <v>9.5</v>
      </c>
      <c r="X39" s="43">
        <v>3</v>
      </c>
      <c r="Y39" s="20">
        <v>72</v>
      </c>
      <c r="Z39" s="65">
        <f>VLOOKUP(Y39,المرجع!$B$3:$C$12,2)</f>
        <v>3</v>
      </c>
      <c r="AA39" s="44" t="str">
        <f>VLOOKUP(Z39,المرجع!$D$3:$E$12,2)</f>
        <v>ج</v>
      </c>
      <c r="AB39" s="40">
        <f t="shared" si="18"/>
        <v>9</v>
      </c>
      <c r="AC39" s="43">
        <v>3</v>
      </c>
      <c r="AD39" s="20">
        <v>69</v>
      </c>
      <c r="AE39" s="65">
        <f>VLOOKUP(AD39,المرجع!$B$3:$C$12,2)</f>
        <v>2.5</v>
      </c>
      <c r="AF39" s="44" t="str">
        <f>VLOOKUP(AE39,المرجع!$D$3:$E$12,2)</f>
        <v>د+</v>
      </c>
      <c r="AG39" s="40">
        <f t="shared" si="19"/>
        <v>7.5</v>
      </c>
      <c r="AH39" s="43">
        <v>3</v>
      </c>
      <c r="AI39" s="20">
        <v>74</v>
      </c>
      <c r="AJ39" s="65">
        <f>VLOOKUP(AI39,المرجع!$B$3:$C$12,2)</f>
        <v>3</v>
      </c>
      <c r="AK39" s="44" t="str">
        <f>VLOOKUP(AJ39,المرجع!$D$3:$E$12,2)</f>
        <v>ج</v>
      </c>
      <c r="AL39" s="40">
        <f t="shared" si="20"/>
        <v>9</v>
      </c>
      <c r="AM39" s="43">
        <v>2</v>
      </c>
      <c r="AN39" s="20">
        <v>73</v>
      </c>
      <c r="AO39" s="65">
        <f>VLOOKUP(AN39,المرجع!$B$3:$C$12,2)</f>
        <v>3</v>
      </c>
      <c r="AP39" s="44" t="str">
        <f>VLOOKUP(AO39,المرجع!$D$3:$E$12,2)</f>
        <v>ج</v>
      </c>
      <c r="AQ39" s="40">
        <f t="shared" si="21"/>
        <v>6</v>
      </c>
      <c r="AR39" s="43">
        <v>2</v>
      </c>
      <c r="AS39" s="20">
        <v>69</v>
      </c>
      <c r="AT39" s="65">
        <f>VLOOKUP(AS39,المرجع!$B$3:$C$12,2)</f>
        <v>2.5</v>
      </c>
      <c r="AU39" s="44" t="str">
        <f>VLOOKUP(AT39,المرجع!$D$3:$E$12,2)</f>
        <v>د+</v>
      </c>
      <c r="AV39" s="40">
        <f t="shared" si="22"/>
        <v>5</v>
      </c>
      <c r="AW39" s="43">
        <v>2</v>
      </c>
      <c r="AX39" s="20">
        <v>85</v>
      </c>
      <c r="AY39" s="65">
        <f>VLOOKUP(AX39,المرجع!$B$3:$C$12,2)</f>
        <v>4.5</v>
      </c>
      <c r="AZ39" s="44" t="str">
        <f>VLOOKUP(AY39,المرجع!$D$3:$E$12,2)</f>
        <v>ب+</v>
      </c>
      <c r="BA39" s="40">
        <f t="shared" si="23"/>
        <v>9</v>
      </c>
      <c r="BB39" s="48">
        <f t="shared" si="24"/>
        <v>78.75</v>
      </c>
      <c r="BC39" s="49">
        <f t="shared" si="25"/>
        <v>23</v>
      </c>
      <c r="BD39" s="78">
        <f t="shared" si="13"/>
        <v>3.4239130434782608</v>
      </c>
      <c r="BE39" s="87">
        <f>(BB39+'المستوى الثاني 2023'!BB39+'المستوى الأول 2022'!BL39)/('المستوى الأول 2022'!BM39+'المستوى الثاني 2023'!BC39+'المستوى الثالث ح'!BC39)</f>
        <v>3.3492647058823528</v>
      </c>
      <c r="BF39" s="47" t="str">
        <f>VLOOKUP(BD39,المرجع!$D$3:$F$12,3)</f>
        <v xml:space="preserve">جيد مرتفع </v>
      </c>
      <c r="BG39" s="42">
        <f t="shared" si="26"/>
        <v>38</v>
      </c>
    </row>
    <row r="40" spans="2:59" ht="22.75" customHeight="1">
      <c r="B40" s="20">
        <v>2023039</v>
      </c>
      <c r="C40" s="34" t="s">
        <v>89</v>
      </c>
      <c r="D40" s="43">
        <v>1</v>
      </c>
      <c r="E40" s="20">
        <v>59</v>
      </c>
      <c r="F40" s="65">
        <f>VLOOKUP(E40,المرجع!$B$3:$C$12,2)</f>
        <v>2</v>
      </c>
      <c r="G40" s="44" t="str">
        <f>VLOOKUP(F40,المرجع!$D$3:$E$12,2)</f>
        <v>د</v>
      </c>
      <c r="H40" s="40">
        <f t="shared" si="14"/>
        <v>2</v>
      </c>
      <c r="I40" s="43">
        <v>3</v>
      </c>
      <c r="J40" s="20">
        <v>90</v>
      </c>
      <c r="K40" s="65">
        <f>VLOOKUP(J40,المرجع!$B$3:$C$12,2)</f>
        <v>4.75</v>
      </c>
      <c r="L40" s="44" t="str">
        <f>VLOOKUP(K40,المرجع!$D$3:$E$12,2)</f>
        <v>أ</v>
      </c>
      <c r="M40" s="40">
        <f t="shared" si="15"/>
        <v>14.25</v>
      </c>
      <c r="N40" s="43">
        <v>2</v>
      </c>
      <c r="O40" s="20">
        <v>62</v>
      </c>
      <c r="P40" s="65">
        <f>VLOOKUP(O40,المرجع!$B$3:$C$12,2)</f>
        <v>2</v>
      </c>
      <c r="Q40" s="44" t="str">
        <f>VLOOKUP(P40,المرجع!$D$3:$E$12,2)</f>
        <v>د</v>
      </c>
      <c r="R40" s="40">
        <f t="shared" si="16"/>
        <v>4</v>
      </c>
      <c r="S40" s="43">
        <v>2</v>
      </c>
      <c r="T40" s="20">
        <v>90</v>
      </c>
      <c r="U40" s="65">
        <f>VLOOKUP(T40,المرجع!$B$3:$C$12,2)</f>
        <v>4.75</v>
      </c>
      <c r="V40" s="44" t="str">
        <f>VLOOKUP(U40,المرجع!$D$3:$E$12,2)</f>
        <v>أ</v>
      </c>
      <c r="W40" s="40">
        <f t="shared" si="17"/>
        <v>9.5</v>
      </c>
      <c r="X40" s="43">
        <v>3</v>
      </c>
      <c r="Y40" s="20">
        <v>90</v>
      </c>
      <c r="Z40" s="65">
        <f>VLOOKUP(Y40,المرجع!$B$3:$C$12,2)</f>
        <v>4.75</v>
      </c>
      <c r="AA40" s="44" t="str">
        <f>VLOOKUP(Z40,المرجع!$D$3:$E$12,2)</f>
        <v>أ</v>
      </c>
      <c r="AB40" s="40">
        <f t="shared" si="18"/>
        <v>14.25</v>
      </c>
      <c r="AC40" s="43">
        <v>3</v>
      </c>
      <c r="AD40" s="20">
        <v>68</v>
      </c>
      <c r="AE40" s="65">
        <f>VLOOKUP(AD40,المرجع!$B$3:$C$12,2)</f>
        <v>2.5</v>
      </c>
      <c r="AF40" s="44" t="str">
        <f>VLOOKUP(AE40,المرجع!$D$3:$E$12,2)</f>
        <v>د+</v>
      </c>
      <c r="AG40" s="40">
        <f t="shared" si="19"/>
        <v>7.5</v>
      </c>
      <c r="AH40" s="43">
        <v>3</v>
      </c>
      <c r="AI40" s="20">
        <v>80</v>
      </c>
      <c r="AJ40" s="65">
        <f>VLOOKUP(AI40,المرجع!$B$3:$C$12,2)</f>
        <v>4</v>
      </c>
      <c r="AK40" s="44" t="str">
        <f>VLOOKUP(AJ40,المرجع!$D$3:$E$12,2)</f>
        <v>ب</v>
      </c>
      <c r="AL40" s="40">
        <f t="shared" si="20"/>
        <v>12</v>
      </c>
      <c r="AM40" s="43">
        <v>2</v>
      </c>
      <c r="AN40" s="20">
        <v>85</v>
      </c>
      <c r="AO40" s="65">
        <f>VLOOKUP(AN40,المرجع!$B$3:$C$12,2)</f>
        <v>4.5</v>
      </c>
      <c r="AP40" s="44" t="str">
        <f>VLOOKUP(AO40,المرجع!$D$3:$E$12,2)</f>
        <v>ب+</v>
      </c>
      <c r="AQ40" s="40">
        <f t="shared" si="21"/>
        <v>9</v>
      </c>
      <c r="AR40" s="43">
        <v>2</v>
      </c>
      <c r="AS40" s="20">
        <v>67</v>
      </c>
      <c r="AT40" s="65">
        <f>VLOOKUP(AS40,المرجع!$B$3:$C$12,2)</f>
        <v>2.5</v>
      </c>
      <c r="AU40" s="44" t="str">
        <f>VLOOKUP(AT40,المرجع!$D$3:$E$12,2)</f>
        <v>د+</v>
      </c>
      <c r="AV40" s="40">
        <f t="shared" si="22"/>
        <v>5</v>
      </c>
      <c r="AW40" s="43">
        <v>2</v>
      </c>
      <c r="AX40" s="20">
        <v>52</v>
      </c>
      <c r="AY40" s="65">
        <f>VLOOKUP(AX40,المرجع!$B$3:$C$12,2)</f>
        <v>2</v>
      </c>
      <c r="AZ40" s="44" t="str">
        <f>VLOOKUP(AY40,المرجع!$D$3:$E$12,2)</f>
        <v>د</v>
      </c>
      <c r="BA40" s="40">
        <f t="shared" si="23"/>
        <v>4</v>
      </c>
      <c r="BB40" s="48">
        <f t="shared" si="24"/>
        <v>81.5</v>
      </c>
      <c r="BC40" s="49">
        <f t="shared" si="25"/>
        <v>23</v>
      </c>
      <c r="BD40" s="78">
        <f t="shared" si="13"/>
        <v>3.5434782608695654</v>
      </c>
      <c r="BE40" s="87">
        <f>(BB40+'المستوى الثاني 2023'!BB40+'المستوى الأول 2022'!BL40)/('المستوى الأول 2022'!BM40+'المستوى الثاني 2023'!BC40+'المستوى الثالث ح'!BC40)</f>
        <v>3.3639705882352939</v>
      </c>
      <c r="BF40" s="47" t="str">
        <f>VLOOKUP(BD40,المرجع!$D$3:$F$12,3)</f>
        <v xml:space="preserve">جيد مرتفع </v>
      </c>
      <c r="BG40" s="42">
        <f t="shared" si="26"/>
        <v>30</v>
      </c>
    </row>
    <row r="41" spans="2:59" ht="22.75" customHeight="1">
      <c r="B41" s="20">
        <v>2023009</v>
      </c>
      <c r="C41" s="34" t="s">
        <v>19</v>
      </c>
      <c r="D41" s="43">
        <v>1</v>
      </c>
      <c r="E41" s="20">
        <v>96</v>
      </c>
      <c r="F41" s="65">
        <f>VLOOKUP(E41,المرجع!$B$3:$C$12,2)</f>
        <v>5</v>
      </c>
      <c r="G41" s="44" t="str">
        <f>VLOOKUP(F41,المرجع!$D$3:$E$12,2)</f>
        <v xml:space="preserve">أ+ </v>
      </c>
      <c r="H41" s="40">
        <f t="shared" si="14"/>
        <v>5</v>
      </c>
      <c r="I41" s="43">
        <v>3</v>
      </c>
      <c r="J41" s="20">
        <v>75</v>
      </c>
      <c r="K41" s="65">
        <f>VLOOKUP(J41,المرجع!$B$3:$C$12,2)</f>
        <v>3.5</v>
      </c>
      <c r="L41" s="44" t="str">
        <f>VLOOKUP(K41,المرجع!$D$3:$E$12,2)</f>
        <v>ج+</v>
      </c>
      <c r="M41" s="40">
        <f t="shared" si="15"/>
        <v>10.5</v>
      </c>
      <c r="N41" s="43">
        <v>2</v>
      </c>
      <c r="O41" s="20">
        <v>72</v>
      </c>
      <c r="P41" s="65">
        <f>VLOOKUP(O41,المرجع!$B$3:$C$12,2)</f>
        <v>3</v>
      </c>
      <c r="Q41" s="44" t="str">
        <f>VLOOKUP(P41,المرجع!$D$3:$E$12,2)</f>
        <v>ج</v>
      </c>
      <c r="R41" s="40">
        <f t="shared" si="16"/>
        <v>6</v>
      </c>
      <c r="S41" s="43">
        <v>2</v>
      </c>
      <c r="T41" s="20">
        <v>98</v>
      </c>
      <c r="U41" s="65">
        <f>VLOOKUP(T41,المرجع!$B$3:$C$12,2)</f>
        <v>5</v>
      </c>
      <c r="V41" s="44" t="str">
        <f>VLOOKUP(U41,المرجع!$D$3:$E$12,2)</f>
        <v xml:space="preserve">أ+ </v>
      </c>
      <c r="W41" s="40">
        <f t="shared" si="17"/>
        <v>10</v>
      </c>
      <c r="X41" s="43">
        <v>3</v>
      </c>
      <c r="Y41" s="20">
        <v>75</v>
      </c>
      <c r="Z41" s="65">
        <f>VLOOKUP(Y41,المرجع!$B$3:$C$12,2)</f>
        <v>3.5</v>
      </c>
      <c r="AA41" s="44" t="str">
        <f>VLOOKUP(Z41,المرجع!$D$3:$E$12,2)</f>
        <v>ج+</v>
      </c>
      <c r="AB41" s="40">
        <f t="shared" si="18"/>
        <v>10.5</v>
      </c>
      <c r="AC41" s="43">
        <v>3</v>
      </c>
      <c r="AD41" s="20">
        <v>64</v>
      </c>
      <c r="AE41" s="65">
        <f>VLOOKUP(AD41,المرجع!$B$3:$C$12,2)</f>
        <v>2</v>
      </c>
      <c r="AF41" s="44" t="str">
        <f>VLOOKUP(AE41,المرجع!$D$3:$E$12,2)</f>
        <v>د</v>
      </c>
      <c r="AG41" s="40">
        <f t="shared" si="19"/>
        <v>6</v>
      </c>
      <c r="AH41" s="43">
        <v>3</v>
      </c>
      <c r="AI41" s="20">
        <v>72</v>
      </c>
      <c r="AJ41" s="65">
        <f>VLOOKUP(AI41,المرجع!$B$3:$C$12,2)</f>
        <v>3</v>
      </c>
      <c r="AK41" s="44" t="str">
        <f>VLOOKUP(AJ41,المرجع!$D$3:$E$12,2)</f>
        <v>ج</v>
      </c>
      <c r="AL41" s="40">
        <f t="shared" si="20"/>
        <v>9</v>
      </c>
      <c r="AM41" s="43">
        <v>2</v>
      </c>
      <c r="AN41" s="20">
        <v>80</v>
      </c>
      <c r="AO41" s="65">
        <f>VLOOKUP(AN41,المرجع!$B$3:$C$12,2)</f>
        <v>4</v>
      </c>
      <c r="AP41" s="44" t="str">
        <f>VLOOKUP(AO41,المرجع!$D$3:$E$12,2)</f>
        <v>ب</v>
      </c>
      <c r="AQ41" s="40">
        <f t="shared" si="21"/>
        <v>8</v>
      </c>
      <c r="AR41" s="43">
        <v>2</v>
      </c>
      <c r="AS41" s="20">
        <v>78</v>
      </c>
      <c r="AT41" s="65">
        <f>VLOOKUP(AS41,المرجع!$B$3:$C$12,2)</f>
        <v>3.5</v>
      </c>
      <c r="AU41" s="44" t="str">
        <f>VLOOKUP(AT41,المرجع!$D$3:$E$12,2)</f>
        <v>ج+</v>
      </c>
      <c r="AV41" s="40">
        <f t="shared" si="22"/>
        <v>7</v>
      </c>
      <c r="AW41" s="43">
        <v>2</v>
      </c>
      <c r="AX41" s="20">
        <v>50</v>
      </c>
      <c r="AY41" s="65">
        <f>VLOOKUP(AX41,المرجع!$B$3:$C$12,2)</f>
        <v>2</v>
      </c>
      <c r="AZ41" s="44" t="str">
        <f>VLOOKUP(AY41,المرجع!$D$3:$E$12,2)</f>
        <v>د</v>
      </c>
      <c r="BA41" s="40">
        <f t="shared" si="23"/>
        <v>4</v>
      </c>
      <c r="BB41" s="48">
        <f t="shared" si="24"/>
        <v>76</v>
      </c>
      <c r="BC41" s="49">
        <f t="shared" si="25"/>
        <v>23</v>
      </c>
      <c r="BD41" s="78">
        <f t="shared" si="13"/>
        <v>3.3043478260869565</v>
      </c>
      <c r="BE41" s="87">
        <f>(BB41+'المستوى الثاني 2023'!BB41+'المستوى الأول 2022'!BL41)/('المستوى الأول 2022'!BM41+'المستوى الثاني 2023'!BC41+'المستوى الثالث ح'!BC41)</f>
        <v>3.3566176470588234</v>
      </c>
      <c r="BF41" s="47" t="str">
        <f>VLOOKUP(BD41,المرجع!$D$3:$F$12,3)</f>
        <v xml:space="preserve">جيد مرتفع </v>
      </c>
      <c r="BG41" s="42">
        <f t="shared" si="26"/>
        <v>39</v>
      </c>
    </row>
    <row r="42" spans="2:59" ht="22.75" customHeight="1">
      <c r="B42" s="20">
        <v>2023038</v>
      </c>
      <c r="C42" s="34" t="s">
        <v>5</v>
      </c>
      <c r="D42" s="43">
        <v>1</v>
      </c>
      <c r="E42" s="20">
        <v>96</v>
      </c>
      <c r="F42" s="65">
        <f>VLOOKUP(E42,المرجع!$B$3:$C$12,2)</f>
        <v>5</v>
      </c>
      <c r="G42" s="44" t="str">
        <f>VLOOKUP(F42,المرجع!$D$3:$E$12,2)</f>
        <v xml:space="preserve">أ+ </v>
      </c>
      <c r="H42" s="40">
        <f t="shared" si="14"/>
        <v>5</v>
      </c>
      <c r="I42" s="43">
        <v>3</v>
      </c>
      <c r="J42" s="20">
        <v>80</v>
      </c>
      <c r="K42" s="65">
        <f>VLOOKUP(J42,المرجع!$B$3:$C$12,2)</f>
        <v>4</v>
      </c>
      <c r="L42" s="44" t="str">
        <f>VLOOKUP(K42,المرجع!$D$3:$E$12,2)</f>
        <v>ب</v>
      </c>
      <c r="M42" s="40">
        <f t="shared" si="15"/>
        <v>12</v>
      </c>
      <c r="N42" s="43">
        <v>2</v>
      </c>
      <c r="O42" s="20">
        <v>81</v>
      </c>
      <c r="P42" s="65">
        <f>VLOOKUP(O42,المرجع!$B$3:$C$12,2)</f>
        <v>4</v>
      </c>
      <c r="Q42" s="44" t="str">
        <f>VLOOKUP(P42,المرجع!$D$3:$E$12,2)</f>
        <v>ب</v>
      </c>
      <c r="R42" s="40">
        <f t="shared" si="16"/>
        <v>8</v>
      </c>
      <c r="S42" s="43">
        <v>2</v>
      </c>
      <c r="T42" s="20">
        <v>30</v>
      </c>
      <c r="U42" s="65">
        <f>VLOOKUP(T42,المرجع!$B$3:$C$12,2)</f>
        <v>0</v>
      </c>
      <c r="V42" s="44" t="str">
        <f>VLOOKUP(U42,المرجع!$D$3:$E$12,2)</f>
        <v>ه</v>
      </c>
      <c r="W42" s="40">
        <f t="shared" si="17"/>
        <v>0</v>
      </c>
      <c r="X42" s="43">
        <v>3</v>
      </c>
      <c r="Y42" s="20">
        <v>70</v>
      </c>
      <c r="Z42" s="65">
        <f>VLOOKUP(Y42,المرجع!$B$3:$C$12,2)</f>
        <v>3</v>
      </c>
      <c r="AA42" s="44" t="str">
        <f>VLOOKUP(Z42,المرجع!$D$3:$E$12,2)</f>
        <v>ج</v>
      </c>
      <c r="AB42" s="40">
        <f t="shared" si="18"/>
        <v>9</v>
      </c>
      <c r="AC42" s="43">
        <v>3</v>
      </c>
      <c r="AD42" s="20">
        <v>100</v>
      </c>
      <c r="AE42" s="65">
        <f>VLOOKUP(AD42,المرجع!$B$3:$C$12,2)</f>
        <v>5</v>
      </c>
      <c r="AF42" s="44" t="str">
        <f>VLOOKUP(AE42,المرجع!$D$3:$E$12,2)</f>
        <v xml:space="preserve">أ+ </v>
      </c>
      <c r="AG42" s="40">
        <f t="shared" si="19"/>
        <v>15</v>
      </c>
      <c r="AH42" s="43">
        <v>3</v>
      </c>
      <c r="AI42" s="20">
        <v>78</v>
      </c>
      <c r="AJ42" s="65">
        <f>VLOOKUP(AI42,المرجع!$B$3:$C$12,2)</f>
        <v>3.5</v>
      </c>
      <c r="AK42" s="44" t="str">
        <f>VLOOKUP(AJ42,المرجع!$D$3:$E$12,2)</f>
        <v>ج+</v>
      </c>
      <c r="AL42" s="40">
        <f t="shared" si="20"/>
        <v>10.5</v>
      </c>
      <c r="AM42" s="43">
        <v>2</v>
      </c>
      <c r="AN42" s="20">
        <v>85</v>
      </c>
      <c r="AO42" s="65">
        <f>VLOOKUP(AN42,المرجع!$B$3:$C$12,2)</f>
        <v>4.5</v>
      </c>
      <c r="AP42" s="44" t="str">
        <f>VLOOKUP(AO42,المرجع!$D$3:$E$12,2)</f>
        <v>ب+</v>
      </c>
      <c r="AQ42" s="40">
        <f t="shared" si="21"/>
        <v>9</v>
      </c>
      <c r="AR42" s="43">
        <v>2</v>
      </c>
      <c r="AS42" s="20">
        <v>20</v>
      </c>
      <c r="AT42" s="65">
        <f>VLOOKUP(AS42,المرجع!$B$3:$C$12,2)</f>
        <v>0</v>
      </c>
      <c r="AU42" s="44" t="str">
        <f>VLOOKUP(AT42,المرجع!$D$3:$E$12,2)</f>
        <v>ه</v>
      </c>
      <c r="AV42" s="40">
        <f t="shared" si="22"/>
        <v>0</v>
      </c>
      <c r="AW42" s="43">
        <v>2</v>
      </c>
      <c r="AX42" s="20">
        <v>75</v>
      </c>
      <c r="AY42" s="65">
        <f>VLOOKUP(AX42,المرجع!$B$3:$C$12,2)</f>
        <v>3.5</v>
      </c>
      <c r="AZ42" s="44" t="str">
        <f>VLOOKUP(AY42,المرجع!$D$3:$E$12,2)</f>
        <v>ج+</v>
      </c>
      <c r="BA42" s="40">
        <f t="shared" si="23"/>
        <v>7</v>
      </c>
      <c r="BB42" s="48">
        <f t="shared" si="24"/>
        <v>75.5</v>
      </c>
      <c r="BC42" s="49">
        <f t="shared" si="25"/>
        <v>23</v>
      </c>
      <c r="BD42" s="78">
        <f t="shared" si="13"/>
        <v>3.2826086956521738</v>
      </c>
      <c r="BE42" s="87">
        <f>(BB42+'المستوى الثاني 2023'!BB42+'المستوى الأول 2022'!BL42)/('المستوى الأول 2022'!BM42+'المستوى الثاني 2023'!BC42+'المستوى الثالث ح'!BC42)</f>
        <v>3.2389705882352939</v>
      </c>
      <c r="BF42" s="47" t="str">
        <f>VLOOKUP(BD42,المرجع!$D$3:$F$12,3)</f>
        <v xml:space="preserve">جيد مرتفع </v>
      </c>
      <c r="BG42" s="42">
        <f t="shared" si="26"/>
        <v>40</v>
      </c>
    </row>
    <row r="43" spans="2:59" ht="22.75" customHeight="1">
      <c r="B43" s="20">
        <v>2023047</v>
      </c>
      <c r="C43" s="34" t="s">
        <v>21</v>
      </c>
      <c r="D43" s="43">
        <v>1</v>
      </c>
      <c r="E43" s="20">
        <v>84</v>
      </c>
      <c r="F43" s="65">
        <f>VLOOKUP(E43,المرجع!$B$3:$C$12,2)</f>
        <v>4</v>
      </c>
      <c r="G43" s="44" t="str">
        <f>VLOOKUP(F43,المرجع!$D$3:$E$12,2)</f>
        <v>ب</v>
      </c>
      <c r="H43" s="40">
        <f t="shared" si="14"/>
        <v>4</v>
      </c>
      <c r="I43" s="43">
        <v>3</v>
      </c>
      <c r="J43" s="20">
        <v>67</v>
      </c>
      <c r="K43" s="65">
        <f>VLOOKUP(J43,المرجع!$B$3:$C$12,2)</f>
        <v>2.5</v>
      </c>
      <c r="L43" s="44" t="str">
        <f>VLOOKUP(K43,المرجع!$D$3:$E$12,2)</f>
        <v>د+</v>
      </c>
      <c r="M43" s="40">
        <f t="shared" si="15"/>
        <v>7.5</v>
      </c>
      <c r="N43" s="43">
        <v>2</v>
      </c>
      <c r="O43" s="20">
        <v>60</v>
      </c>
      <c r="P43" s="65">
        <f>VLOOKUP(O43,المرجع!$B$3:$C$12,2)</f>
        <v>2</v>
      </c>
      <c r="Q43" s="44" t="str">
        <f>VLOOKUP(P43,المرجع!$D$3:$E$12,2)</f>
        <v>د</v>
      </c>
      <c r="R43" s="40">
        <f t="shared" si="16"/>
        <v>4</v>
      </c>
      <c r="S43" s="43">
        <v>2</v>
      </c>
      <c r="T43" s="20">
        <v>95</v>
      </c>
      <c r="U43" s="65">
        <f>VLOOKUP(T43,المرجع!$B$3:$C$12,2)</f>
        <v>5</v>
      </c>
      <c r="V43" s="44" t="str">
        <f>VLOOKUP(U43,المرجع!$D$3:$E$12,2)</f>
        <v xml:space="preserve">أ+ </v>
      </c>
      <c r="W43" s="40">
        <f t="shared" si="17"/>
        <v>10</v>
      </c>
      <c r="X43" s="43">
        <v>3</v>
      </c>
      <c r="Y43" s="20">
        <v>72</v>
      </c>
      <c r="Z43" s="65">
        <f>VLOOKUP(Y43,المرجع!$B$3:$C$12,2)</f>
        <v>3</v>
      </c>
      <c r="AA43" s="44" t="str">
        <f>VLOOKUP(Z43,المرجع!$D$3:$E$12,2)</f>
        <v>ج</v>
      </c>
      <c r="AB43" s="40">
        <f t="shared" si="18"/>
        <v>9</v>
      </c>
      <c r="AC43" s="43">
        <v>3</v>
      </c>
      <c r="AD43" s="20">
        <v>83</v>
      </c>
      <c r="AE43" s="65">
        <f>VLOOKUP(AD43,المرجع!$B$3:$C$12,2)</f>
        <v>4</v>
      </c>
      <c r="AF43" s="44" t="str">
        <f>VLOOKUP(AE43,المرجع!$D$3:$E$12,2)</f>
        <v>ب</v>
      </c>
      <c r="AG43" s="40">
        <f t="shared" si="19"/>
        <v>12</v>
      </c>
      <c r="AH43" s="43">
        <v>3</v>
      </c>
      <c r="AI43" s="20">
        <v>72</v>
      </c>
      <c r="AJ43" s="65">
        <f>VLOOKUP(AI43,المرجع!$B$3:$C$12,2)</f>
        <v>3</v>
      </c>
      <c r="AK43" s="44" t="str">
        <f>VLOOKUP(AJ43,المرجع!$D$3:$E$12,2)</f>
        <v>ج</v>
      </c>
      <c r="AL43" s="40">
        <f t="shared" si="20"/>
        <v>9</v>
      </c>
      <c r="AM43" s="43">
        <v>2</v>
      </c>
      <c r="AN43" s="20">
        <v>75</v>
      </c>
      <c r="AO43" s="65">
        <f>VLOOKUP(AN43,المرجع!$B$3:$C$12,2)</f>
        <v>3.5</v>
      </c>
      <c r="AP43" s="44" t="str">
        <f>VLOOKUP(AO43,المرجع!$D$3:$E$12,2)</f>
        <v>ج+</v>
      </c>
      <c r="AQ43" s="40">
        <f t="shared" si="21"/>
        <v>7</v>
      </c>
      <c r="AR43" s="43">
        <v>2</v>
      </c>
      <c r="AS43" s="20">
        <v>78</v>
      </c>
      <c r="AT43" s="65">
        <f>VLOOKUP(AS43,المرجع!$B$3:$C$12,2)</f>
        <v>3.5</v>
      </c>
      <c r="AU43" s="44" t="str">
        <f>VLOOKUP(AT43,المرجع!$D$3:$E$12,2)</f>
        <v>ج+</v>
      </c>
      <c r="AV43" s="40">
        <f t="shared" si="22"/>
        <v>7</v>
      </c>
      <c r="AW43" s="43">
        <v>2</v>
      </c>
      <c r="AX43" s="20">
        <v>67</v>
      </c>
      <c r="AY43" s="65">
        <f>VLOOKUP(AX43,المرجع!$B$3:$C$12,2)</f>
        <v>2.5</v>
      </c>
      <c r="AZ43" s="44" t="str">
        <f>VLOOKUP(AY43,المرجع!$D$3:$E$12,2)</f>
        <v>د+</v>
      </c>
      <c r="BA43" s="40">
        <f t="shared" si="23"/>
        <v>5</v>
      </c>
      <c r="BB43" s="48">
        <f t="shared" si="24"/>
        <v>74.5</v>
      </c>
      <c r="BC43" s="49">
        <f t="shared" si="25"/>
        <v>23</v>
      </c>
      <c r="BD43" s="78">
        <f t="shared" si="13"/>
        <v>3.2391304347826089</v>
      </c>
      <c r="BE43" s="87">
        <f>(BB43+'المستوى الثاني 2023'!BB43+'المستوى الأول 2022'!BL43)/('المستوى الأول 2022'!BM43+'المستوى الثاني 2023'!BC43+'المستوى الثالث ح'!BC43)</f>
        <v>3.1764705882352939</v>
      </c>
      <c r="BF43" s="47" t="str">
        <f>VLOOKUP(BD43,المرجع!$D$3:$F$12,3)</f>
        <v xml:space="preserve">جيد مرتفع </v>
      </c>
      <c r="BG43" s="42">
        <f t="shared" si="26"/>
        <v>41</v>
      </c>
    </row>
    <row r="44" spans="2:59" ht="22.75" customHeight="1">
      <c r="B44" s="20">
        <v>2023021</v>
      </c>
      <c r="C44" s="34" t="s">
        <v>11</v>
      </c>
      <c r="D44" s="43">
        <v>1</v>
      </c>
      <c r="E44" s="20">
        <v>95</v>
      </c>
      <c r="F44" s="65">
        <f>VLOOKUP(E44,المرجع!$B$3:$C$12,2)</f>
        <v>5</v>
      </c>
      <c r="G44" s="44" t="str">
        <f>VLOOKUP(F44,المرجع!$D$3:$E$12,2)</f>
        <v xml:space="preserve">أ+ </v>
      </c>
      <c r="H44" s="40">
        <f t="shared" si="14"/>
        <v>5</v>
      </c>
      <c r="I44" s="43">
        <v>3</v>
      </c>
      <c r="J44" s="20">
        <v>84</v>
      </c>
      <c r="K44" s="65">
        <f>VLOOKUP(J44,المرجع!$B$3:$C$12,2)</f>
        <v>4</v>
      </c>
      <c r="L44" s="44" t="str">
        <f>VLOOKUP(K44,المرجع!$D$3:$E$12,2)</f>
        <v>ب</v>
      </c>
      <c r="M44" s="40">
        <f t="shared" si="15"/>
        <v>12</v>
      </c>
      <c r="N44" s="43">
        <v>2</v>
      </c>
      <c r="O44" s="20">
        <v>94</v>
      </c>
      <c r="P44" s="65">
        <f>VLOOKUP(O44,المرجع!$B$3:$C$12,2)</f>
        <v>4.75</v>
      </c>
      <c r="Q44" s="44" t="str">
        <f>VLOOKUP(P44,المرجع!$D$3:$E$12,2)</f>
        <v>أ</v>
      </c>
      <c r="R44" s="40">
        <f t="shared" si="16"/>
        <v>9.5</v>
      </c>
      <c r="S44" s="43">
        <v>2</v>
      </c>
      <c r="T44" s="20">
        <v>98</v>
      </c>
      <c r="U44" s="65">
        <f>VLOOKUP(T44,المرجع!$B$3:$C$12,2)</f>
        <v>5</v>
      </c>
      <c r="V44" s="44" t="str">
        <f>VLOOKUP(U44,المرجع!$D$3:$E$12,2)</f>
        <v xml:space="preserve">أ+ </v>
      </c>
      <c r="W44" s="40">
        <f t="shared" si="17"/>
        <v>10</v>
      </c>
      <c r="X44" s="43">
        <v>3</v>
      </c>
      <c r="Y44" s="20">
        <v>60</v>
      </c>
      <c r="Z44" s="65">
        <f>VLOOKUP(Y44,المرجع!$B$3:$C$12,2)</f>
        <v>2</v>
      </c>
      <c r="AA44" s="44" t="str">
        <f>VLOOKUP(Z44,المرجع!$D$3:$E$12,2)</f>
        <v>د</v>
      </c>
      <c r="AB44" s="40">
        <f t="shared" si="18"/>
        <v>6</v>
      </c>
      <c r="AC44" s="43">
        <v>3</v>
      </c>
      <c r="AD44" s="20">
        <v>57</v>
      </c>
      <c r="AE44" s="65">
        <f>VLOOKUP(AD44,المرجع!$B$3:$C$12,2)</f>
        <v>2</v>
      </c>
      <c r="AF44" s="44" t="str">
        <f>VLOOKUP(AE44,المرجع!$D$3:$E$12,2)</f>
        <v>د</v>
      </c>
      <c r="AG44" s="40">
        <f t="shared" si="19"/>
        <v>6</v>
      </c>
      <c r="AH44" s="43">
        <v>3</v>
      </c>
      <c r="AI44" s="20">
        <v>59</v>
      </c>
      <c r="AJ44" s="65">
        <f>VLOOKUP(AI44,المرجع!$B$3:$C$12,2)</f>
        <v>2</v>
      </c>
      <c r="AK44" s="44" t="str">
        <f>VLOOKUP(AJ44,المرجع!$D$3:$E$12,2)</f>
        <v>د</v>
      </c>
      <c r="AL44" s="40">
        <f t="shared" si="20"/>
        <v>6</v>
      </c>
      <c r="AM44" s="43">
        <v>2</v>
      </c>
      <c r="AN44" s="20">
        <v>68</v>
      </c>
      <c r="AO44" s="65">
        <f>VLOOKUP(AN44,المرجع!$B$3:$C$12,2)</f>
        <v>2.5</v>
      </c>
      <c r="AP44" s="44" t="str">
        <f>VLOOKUP(AO44,المرجع!$D$3:$E$12,2)</f>
        <v>د+</v>
      </c>
      <c r="AQ44" s="40">
        <f t="shared" si="21"/>
        <v>5</v>
      </c>
      <c r="AR44" s="43">
        <v>2</v>
      </c>
      <c r="AS44" s="20">
        <v>75</v>
      </c>
      <c r="AT44" s="65">
        <f>VLOOKUP(AS44,المرجع!$B$3:$C$12,2)</f>
        <v>3.5</v>
      </c>
      <c r="AU44" s="44" t="str">
        <f>VLOOKUP(AT44,المرجع!$D$3:$E$12,2)</f>
        <v>ج+</v>
      </c>
      <c r="AV44" s="40">
        <f t="shared" si="22"/>
        <v>7</v>
      </c>
      <c r="AW44" s="43">
        <v>2</v>
      </c>
      <c r="AX44" s="20">
        <v>75</v>
      </c>
      <c r="AY44" s="65">
        <f>VLOOKUP(AX44,المرجع!$B$3:$C$12,2)</f>
        <v>3.5</v>
      </c>
      <c r="AZ44" s="44" t="str">
        <f>VLOOKUP(AY44,المرجع!$D$3:$E$12,2)</f>
        <v>ج+</v>
      </c>
      <c r="BA44" s="40">
        <f t="shared" si="23"/>
        <v>7</v>
      </c>
      <c r="BB44" s="48">
        <f t="shared" si="24"/>
        <v>73.5</v>
      </c>
      <c r="BC44" s="49">
        <f t="shared" si="25"/>
        <v>23</v>
      </c>
      <c r="BD44" s="78">
        <f t="shared" si="13"/>
        <v>3.1956521739130435</v>
      </c>
      <c r="BE44" s="87">
        <f>(BB44+'المستوى الثاني 2023'!BB44+'المستوى الأول 2022'!BL44)/('المستوى الأول 2022'!BM44+'المستوى الثاني 2023'!BC44+'المستوى الثالث ح'!BC44)</f>
        <v>3.1433823529411766</v>
      </c>
      <c r="BF44" s="47" t="str">
        <f>VLOOKUP(BD44,المرجع!$D$3:$F$12,3)</f>
        <v xml:space="preserve">جيد مرتفع </v>
      </c>
      <c r="BG44" s="42">
        <f t="shared" si="26"/>
        <v>42</v>
      </c>
    </row>
    <row r="45" spans="2:59" ht="22.75" customHeight="1">
      <c r="B45" s="20">
        <v>2023017</v>
      </c>
      <c r="C45" s="34" t="s">
        <v>23</v>
      </c>
      <c r="D45" s="43">
        <v>1</v>
      </c>
      <c r="E45" s="20">
        <v>50</v>
      </c>
      <c r="F45" s="65">
        <f>VLOOKUP(E45,المرجع!$B$3:$C$12,2)</f>
        <v>2</v>
      </c>
      <c r="G45" s="44" t="str">
        <f>VLOOKUP(F45,المرجع!$D$3:$E$12,2)</f>
        <v>د</v>
      </c>
      <c r="H45" s="40">
        <f t="shared" si="14"/>
        <v>2</v>
      </c>
      <c r="I45" s="43">
        <v>3</v>
      </c>
      <c r="J45" s="20">
        <v>82</v>
      </c>
      <c r="K45" s="65">
        <f>VLOOKUP(J45,المرجع!$B$3:$C$12,2)</f>
        <v>4</v>
      </c>
      <c r="L45" s="44" t="str">
        <f>VLOOKUP(K45,المرجع!$D$3:$E$12,2)</f>
        <v>ب</v>
      </c>
      <c r="M45" s="40">
        <f t="shared" si="15"/>
        <v>12</v>
      </c>
      <c r="N45" s="43">
        <v>2</v>
      </c>
      <c r="O45" s="20">
        <v>50</v>
      </c>
      <c r="P45" s="65">
        <f>VLOOKUP(O45,المرجع!$B$3:$C$12,2)</f>
        <v>2</v>
      </c>
      <c r="Q45" s="44" t="str">
        <f>VLOOKUP(P45,المرجع!$D$3:$E$12,2)</f>
        <v>د</v>
      </c>
      <c r="R45" s="40">
        <f t="shared" si="16"/>
        <v>4</v>
      </c>
      <c r="S45" s="43">
        <v>2</v>
      </c>
      <c r="T45" s="20">
        <v>89</v>
      </c>
      <c r="U45" s="65">
        <f>VLOOKUP(T45,المرجع!$B$3:$C$12,2)</f>
        <v>4.5</v>
      </c>
      <c r="V45" s="44" t="str">
        <f>VLOOKUP(U45,المرجع!$D$3:$E$12,2)</f>
        <v>ب+</v>
      </c>
      <c r="W45" s="40">
        <f t="shared" si="17"/>
        <v>9</v>
      </c>
      <c r="X45" s="43">
        <v>3</v>
      </c>
      <c r="Y45" s="20">
        <v>67</v>
      </c>
      <c r="Z45" s="65">
        <f>VLOOKUP(Y45,المرجع!$B$3:$C$12,2)</f>
        <v>2.5</v>
      </c>
      <c r="AA45" s="44" t="str">
        <f>VLOOKUP(Z45,المرجع!$D$3:$E$12,2)</f>
        <v>د+</v>
      </c>
      <c r="AB45" s="40">
        <f t="shared" si="18"/>
        <v>7.5</v>
      </c>
      <c r="AC45" s="43">
        <v>3</v>
      </c>
      <c r="AD45" s="20">
        <v>68</v>
      </c>
      <c r="AE45" s="65">
        <f>VLOOKUP(AD45,المرجع!$B$3:$C$12,2)</f>
        <v>2.5</v>
      </c>
      <c r="AF45" s="44" t="str">
        <f>VLOOKUP(AE45,المرجع!$D$3:$E$12,2)</f>
        <v>د+</v>
      </c>
      <c r="AG45" s="40">
        <f t="shared" si="19"/>
        <v>7.5</v>
      </c>
      <c r="AH45" s="43">
        <v>3</v>
      </c>
      <c r="AI45" s="20">
        <v>90</v>
      </c>
      <c r="AJ45" s="65">
        <f>VLOOKUP(AI45,المرجع!$B$3:$C$12,2)</f>
        <v>4.75</v>
      </c>
      <c r="AK45" s="44" t="str">
        <f>VLOOKUP(AJ45,المرجع!$D$3:$E$12,2)</f>
        <v>أ</v>
      </c>
      <c r="AL45" s="40">
        <f t="shared" si="20"/>
        <v>14.25</v>
      </c>
      <c r="AM45" s="43">
        <v>2</v>
      </c>
      <c r="AN45" s="20">
        <v>65</v>
      </c>
      <c r="AO45" s="65">
        <f>VLOOKUP(AN45,المرجع!$B$3:$C$12,2)</f>
        <v>2.5</v>
      </c>
      <c r="AP45" s="44" t="str">
        <f>VLOOKUP(AO45,المرجع!$D$3:$E$12,2)</f>
        <v>د+</v>
      </c>
      <c r="AQ45" s="40">
        <f t="shared" si="21"/>
        <v>5</v>
      </c>
      <c r="AR45" s="43">
        <v>2</v>
      </c>
      <c r="AS45" s="20">
        <v>80</v>
      </c>
      <c r="AT45" s="65">
        <f>VLOOKUP(AS45,المرجع!$B$3:$C$12,2)</f>
        <v>4</v>
      </c>
      <c r="AU45" s="44" t="str">
        <f>VLOOKUP(AT45,المرجع!$D$3:$E$12,2)</f>
        <v>ب</v>
      </c>
      <c r="AV45" s="40">
        <f t="shared" si="22"/>
        <v>8</v>
      </c>
      <c r="AW45" s="43">
        <v>2</v>
      </c>
      <c r="AX45" s="20">
        <v>54</v>
      </c>
      <c r="AY45" s="65">
        <f>VLOOKUP(AX45,المرجع!$B$3:$C$12,2)</f>
        <v>2</v>
      </c>
      <c r="AZ45" s="44" t="str">
        <f>VLOOKUP(AY45,المرجع!$D$3:$E$12,2)</f>
        <v>د</v>
      </c>
      <c r="BA45" s="40">
        <f t="shared" si="23"/>
        <v>4</v>
      </c>
      <c r="BB45" s="48">
        <f t="shared" si="24"/>
        <v>73.25</v>
      </c>
      <c r="BC45" s="49">
        <f t="shared" si="25"/>
        <v>23</v>
      </c>
      <c r="BD45" s="78">
        <f t="shared" si="13"/>
        <v>3.1847826086956523</v>
      </c>
      <c r="BE45" s="87">
        <f>(BB45+'المستوى الثاني 2023'!BB45+'المستوى الأول 2022'!BL45)/('المستوى الأول 2022'!BM45+'المستوى الثاني 2023'!BC45+'المستوى الثالث ح'!BC45)</f>
        <v>3.2683823529411766</v>
      </c>
      <c r="BF45" s="47" t="str">
        <f>VLOOKUP(BD45,المرجع!$D$3:$F$12,3)</f>
        <v xml:space="preserve">جيد مرتفع </v>
      </c>
      <c r="BG45" s="42">
        <f t="shared" si="26"/>
        <v>43</v>
      </c>
    </row>
    <row r="46" spans="2:59" ht="22.75" customHeight="1">
      <c r="B46" s="20">
        <v>2023103</v>
      </c>
      <c r="C46" s="34" t="s">
        <v>75</v>
      </c>
      <c r="D46" s="43">
        <v>1</v>
      </c>
      <c r="E46" s="20">
        <v>85</v>
      </c>
      <c r="F46" s="65">
        <f>VLOOKUP(E46,المرجع!$B$3:$C$12,2)</f>
        <v>4.5</v>
      </c>
      <c r="G46" s="44" t="str">
        <f>VLOOKUP(F46,المرجع!$D$3:$E$12,2)</f>
        <v>ب+</v>
      </c>
      <c r="H46" s="40">
        <f t="shared" si="14"/>
        <v>4.5</v>
      </c>
      <c r="I46" s="43">
        <v>3</v>
      </c>
      <c r="J46" s="20">
        <v>87</v>
      </c>
      <c r="K46" s="65">
        <f>VLOOKUP(J46,المرجع!$B$3:$C$12,2)</f>
        <v>4.5</v>
      </c>
      <c r="L46" s="44" t="str">
        <f>VLOOKUP(K46,المرجع!$D$3:$E$12,2)</f>
        <v>ب+</v>
      </c>
      <c r="M46" s="40">
        <f t="shared" si="15"/>
        <v>13.5</v>
      </c>
      <c r="N46" s="43">
        <v>2</v>
      </c>
      <c r="O46" s="20">
        <v>50</v>
      </c>
      <c r="P46" s="65">
        <f>VLOOKUP(O46,المرجع!$B$3:$C$12,2)</f>
        <v>2</v>
      </c>
      <c r="Q46" s="44" t="str">
        <f>VLOOKUP(P46,المرجع!$D$3:$E$12,2)</f>
        <v>د</v>
      </c>
      <c r="R46" s="40">
        <f t="shared" si="16"/>
        <v>4</v>
      </c>
      <c r="S46" s="43">
        <v>2</v>
      </c>
      <c r="T46" s="20">
        <v>90</v>
      </c>
      <c r="U46" s="65">
        <f>VLOOKUP(T46,المرجع!$B$3:$C$12,2)</f>
        <v>4.75</v>
      </c>
      <c r="V46" s="44" t="str">
        <f>VLOOKUP(U46,المرجع!$D$3:$E$12,2)</f>
        <v>أ</v>
      </c>
      <c r="W46" s="40">
        <f t="shared" si="17"/>
        <v>9.5</v>
      </c>
      <c r="X46" s="43">
        <v>3</v>
      </c>
      <c r="Y46" s="20">
        <v>60</v>
      </c>
      <c r="Z46" s="65">
        <f>VLOOKUP(Y46,المرجع!$B$3:$C$12,2)</f>
        <v>2</v>
      </c>
      <c r="AA46" s="44" t="str">
        <f>VLOOKUP(Z46,المرجع!$D$3:$E$12,2)</f>
        <v>د</v>
      </c>
      <c r="AB46" s="40">
        <f t="shared" si="18"/>
        <v>6</v>
      </c>
      <c r="AC46" s="43">
        <v>3</v>
      </c>
      <c r="AD46" s="20">
        <v>50</v>
      </c>
      <c r="AE46" s="65">
        <f>VLOOKUP(AD46,المرجع!$B$3:$C$12,2)</f>
        <v>2</v>
      </c>
      <c r="AF46" s="44" t="str">
        <f>VLOOKUP(AE46,المرجع!$D$3:$E$12,2)</f>
        <v>د</v>
      </c>
      <c r="AG46" s="40">
        <f t="shared" si="19"/>
        <v>6</v>
      </c>
      <c r="AH46" s="43">
        <v>3</v>
      </c>
      <c r="AI46" s="20">
        <v>50</v>
      </c>
      <c r="AJ46" s="65">
        <f>VLOOKUP(AI46,المرجع!$B$3:$C$12,2)</f>
        <v>2</v>
      </c>
      <c r="AK46" s="44" t="str">
        <f>VLOOKUP(AJ46,المرجع!$D$3:$E$12,2)</f>
        <v>د</v>
      </c>
      <c r="AL46" s="40">
        <f t="shared" si="20"/>
        <v>6</v>
      </c>
      <c r="AM46" s="43">
        <v>2</v>
      </c>
      <c r="AN46" s="20">
        <v>55</v>
      </c>
      <c r="AO46" s="65">
        <f>VLOOKUP(AN46,المرجع!$B$3:$C$12,2)</f>
        <v>2</v>
      </c>
      <c r="AP46" s="44" t="str">
        <f>VLOOKUP(AO46,المرجع!$D$3:$E$12,2)</f>
        <v>د</v>
      </c>
      <c r="AQ46" s="40">
        <f t="shared" si="21"/>
        <v>4</v>
      </c>
      <c r="AR46" s="43">
        <v>2</v>
      </c>
      <c r="AS46" s="20">
        <v>80</v>
      </c>
      <c r="AT46" s="65">
        <f>VLOOKUP(AS46,المرجع!$B$3:$C$12,2)</f>
        <v>4</v>
      </c>
      <c r="AU46" s="44" t="str">
        <f>VLOOKUP(AT46,المرجع!$D$3:$E$12,2)</f>
        <v>ب</v>
      </c>
      <c r="AV46" s="40">
        <f t="shared" si="22"/>
        <v>8</v>
      </c>
      <c r="AW46" s="43">
        <v>2</v>
      </c>
      <c r="AX46" s="20">
        <v>87</v>
      </c>
      <c r="AY46" s="65">
        <f>VLOOKUP(AX46,المرجع!$B$3:$C$12,2)</f>
        <v>4.5</v>
      </c>
      <c r="AZ46" s="44" t="str">
        <f>VLOOKUP(AY46,المرجع!$D$3:$E$12,2)</f>
        <v>ب+</v>
      </c>
      <c r="BA46" s="40">
        <f t="shared" si="23"/>
        <v>9</v>
      </c>
      <c r="BB46" s="48">
        <f t="shared" si="24"/>
        <v>70.5</v>
      </c>
      <c r="BC46" s="49">
        <f t="shared" si="25"/>
        <v>23</v>
      </c>
      <c r="BD46" s="78">
        <f t="shared" si="13"/>
        <v>3.0652173913043477</v>
      </c>
      <c r="BE46" s="87">
        <f>(BB46+'المستوى الثاني 2023'!BB46+'المستوى الأول 2022'!BL46)/('المستوى الأول 2022'!BM46+'المستوى الثاني 2023'!BC46+'المستوى الثالث ح'!BC46)</f>
        <v>3.1139705882352939</v>
      </c>
      <c r="BF46" s="47" t="str">
        <f>VLOOKUP(BD46,المرجع!$D$3:$F$12,3)</f>
        <v xml:space="preserve">جيد </v>
      </c>
      <c r="BG46" s="42">
        <f t="shared" si="26"/>
        <v>44</v>
      </c>
    </row>
    <row r="47" spans="2:59" ht="22.75" customHeight="1">
      <c r="B47" s="20">
        <v>2023041</v>
      </c>
      <c r="C47" s="34" t="s">
        <v>14</v>
      </c>
      <c r="D47" s="43">
        <v>1</v>
      </c>
      <c r="E47" s="20">
        <v>88</v>
      </c>
      <c r="F47" s="65">
        <f>VLOOKUP(E47,المرجع!$B$3:$C$12,2)</f>
        <v>4.5</v>
      </c>
      <c r="G47" s="44" t="str">
        <f>VLOOKUP(F47,المرجع!$D$3:$E$12,2)</f>
        <v>ب+</v>
      </c>
      <c r="H47" s="40">
        <f t="shared" si="14"/>
        <v>4.5</v>
      </c>
      <c r="I47" s="43">
        <v>3</v>
      </c>
      <c r="J47" s="20">
        <v>84</v>
      </c>
      <c r="K47" s="65">
        <f>VLOOKUP(J47,المرجع!$B$3:$C$12,2)</f>
        <v>4</v>
      </c>
      <c r="L47" s="44" t="str">
        <f>VLOOKUP(K47,المرجع!$D$3:$E$12,2)</f>
        <v>ب</v>
      </c>
      <c r="M47" s="40">
        <f t="shared" si="15"/>
        <v>12</v>
      </c>
      <c r="N47" s="43">
        <v>2</v>
      </c>
      <c r="O47" s="20">
        <v>57</v>
      </c>
      <c r="P47" s="65">
        <f>VLOOKUP(O47,المرجع!$B$3:$C$12,2)</f>
        <v>2</v>
      </c>
      <c r="Q47" s="44" t="str">
        <f>VLOOKUP(P47,المرجع!$D$3:$E$12,2)</f>
        <v>د</v>
      </c>
      <c r="R47" s="40">
        <f t="shared" si="16"/>
        <v>4</v>
      </c>
      <c r="S47" s="43">
        <v>2</v>
      </c>
      <c r="T47" s="20">
        <v>90</v>
      </c>
      <c r="U47" s="65">
        <f>VLOOKUP(T47,المرجع!$B$3:$C$12,2)</f>
        <v>4.75</v>
      </c>
      <c r="V47" s="44" t="str">
        <f>VLOOKUP(U47,المرجع!$D$3:$E$12,2)</f>
        <v>أ</v>
      </c>
      <c r="W47" s="40">
        <f t="shared" si="17"/>
        <v>9.5</v>
      </c>
      <c r="X47" s="43">
        <v>3</v>
      </c>
      <c r="Y47" s="20">
        <v>71</v>
      </c>
      <c r="Z47" s="65">
        <f>VLOOKUP(Y47,المرجع!$B$3:$C$12,2)</f>
        <v>3</v>
      </c>
      <c r="AA47" s="44" t="str">
        <f>VLOOKUP(Z47,المرجع!$D$3:$E$12,2)</f>
        <v>ج</v>
      </c>
      <c r="AB47" s="40">
        <f t="shared" si="18"/>
        <v>9</v>
      </c>
      <c r="AC47" s="43">
        <v>3</v>
      </c>
      <c r="AD47" s="20">
        <v>59</v>
      </c>
      <c r="AE47" s="65">
        <f>VLOOKUP(AD47,المرجع!$B$3:$C$12,2)</f>
        <v>2</v>
      </c>
      <c r="AF47" s="44" t="str">
        <f>VLOOKUP(AE47,المرجع!$D$3:$E$12,2)</f>
        <v>د</v>
      </c>
      <c r="AG47" s="40">
        <f t="shared" si="19"/>
        <v>6</v>
      </c>
      <c r="AH47" s="43">
        <v>3</v>
      </c>
      <c r="AI47" s="20">
        <v>66</v>
      </c>
      <c r="AJ47" s="65">
        <f>VLOOKUP(AI47,المرجع!$B$3:$C$12,2)</f>
        <v>2.5</v>
      </c>
      <c r="AK47" s="44" t="str">
        <f>VLOOKUP(AJ47,المرجع!$D$3:$E$12,2)</f>
        <v>د+</v>
      </c>
      <c r="AL47" s="40">
        <f t="shared" si="20"/>
        <v>7.5</v>
      </c>
      <c r="AM47" s="43">
        <v>2</v>
      </c>
      <c r="AN47" s="20">
        <v>70</v>
      </c>
      <c r="AO47" s="65">
        <f>VLOOKUP(AN47,المرجع!$B$3:$C$12,2)</f>
        <v>3</v>
      </c>
      <c r="AP47" s="44" t="str">
        <f>VLOOKUP(AO47,المرجع!$D$3:$E$12,2)</f>
        <v>ج</v>
      </c>
      <c r="AQ47" s="40">
        <f t="shared" si="21"/>
        <v>6</v>
      </c>
      <c r="AR47" s="43">
        <v>2</v>
      </c>
      <c r="AS47" s="20">
        <v>71</v>
      </c>
      <c r="AT47" s="65">
        <f>VLOOKUP(AS47,المرجع!$B$3:$C$12,2)</f>
        <v>3</v>
      </c>
      <c r="AU47" s="44" t="str">
        <f>VLOOKUP(AT47,المرجع!$D$3:$E$12,2)</f>
        <v>ج</v>
      </c>
      <c r="AV47" s="40">
        <f t="shared" si="22"/>
        <v>6</v>
      </c>
      <c r="AW47" s="43">
        <v>2</v>
      </c>
      <c r="AX47" s="20">
        <v>51</v>
      </c>
      <c r="AY47" s="65">
        <f>VLOOKUP(AX47,المرجع!$B$3:$C$12,2)</f>
        <v>2</v>
      </c>
      <c r="AZ47" s="44" t="str">
        <f>VLOOKUP(AY47,المرجع!$D$3:$E$12,2)</f>
        <v>د</v>
      </c>
      <c r="BA47" s="40">
        <f t="shared" si="23"/>
        <v>4</v>
      </c>
      <c r="BB47" s="48">
        <f t="shared" si="24"/>
        <v>68.5</v>
      </c>
      <c r="BC47" s="49">
        <f t="shared" si="25"/>
        <v>23</v>
      </c>
      <c r="BD47" s="78">
        <f t="shared" si="13"/>
        <v>2.9782608695652173</v>
      </c>
      <c r="BE47" s="87">
        <f>(BB47+'المستوى الثاني 2023'!BB47+'المستوى الأول 2022'!BL47)/('المستوى الأول 2022'!BM47+'المستوى الثاني 2023'!BC47+'المستوى الثالث ح'!BC47)</f>
        <v>3.0036764705882355</v>
      </c>
      <c r="BF47" s="47" t="str">
        <f>VLOOKUP(BD47,المرجع!$D$3:$F$12,3)</f>
        <v xml:space="preserve">جيد </v>
      </c>
      <c r="BG47" s="42">
        <f t="shared" si="26"/>
        <v>45</v>
      </c>
    </row>
    <row r="48" spans="2:59" ht="22.75" customHeight="1">
      <c r="B48" s="20">
        <v>2023088</v>
      </c>
      <c r="C48" s="34" t="s">
        <v>73</v>
      </c>
      <c r="D48" s="43">
        <v>1</v>
      </c>
      <c r="E48" s="20">
        <v>90</v>
      </c>
      <c r="F48" s="65">
        <f>VLOOKUP(E48,المرجع!$B$3:$C$12,2)</f>
        <v>4.75</v>
      </c>
      <c r="G48" s="44" t="str">
        <f>VLOOKUP(F48,المرجع!$D$3:$E$12,2)</f>
        <v>أ</v>
      </c>
      <c r="H48" s="40">
        <f t="shared" si="14"/>
        <v>4.75</v>
      </c>
      <c r="I48" s="43">
        <v>3</v>
      </c>
      <c r="J48" s="20">
        <v>80</v>
      </c>
      <c r="K48" s="65">
        <f>VLOOKUP(J48,المرجع!$B$3:$C$12,2)</f>
        <v>4</v>
      </c>
      <c r="L48" s="44" t="str">
        <f>VLOOKUP(K48,المرجع!$D$3:$E$12,2)</f>
        <v>ب</v>
      </c>
      <c r="M48" s="40">
        <f t="shared" si="15"/>
        <v>12</v>
      </c>
      <c r="N48" s="43">
        <v>2</v>
      </c>
      <c r="O48" s="20">
        <v>57</v>
      </c>
      <c r="P48" s="65">
        <f>VLOOKUP(O48,المرجع!$B$3:$C$12,2)</f>
        <v>2</v>
      </c>
      <c r="Q48" s="44" t="str">
        <f>VLOOKUP(P48,المرجع!$D$3:$E$12,2)</f>
        <v>د</v>
      </c>
      <c r="R48" s="40">
        <f t="shared" si="16"/>
        <v>4</v>
      </c>
      <c r="S48" s="43">
        <v>2</v>
      </c>
      <c r="T48" s="20">
        <v>89</v>
      </c>
      <c r="U48" s="65">
        <f>VLOOKUP(T48,المرجع!$B$3:$C$12,2)</f>
        <v>4.5</v>
      </c>
      <c r="V48" s="44" t="str">
        <f>VLOOKUP(U48,المرجع!$D$3:$E$12,2)</f>
        <v>ب+</v>
      </c>
      <c r="W48" s="40">
        <f t="shared" si="17"/>
        <v>9</v>
      </c>
      <c r="X48" s="43">
        <v>3</v>
      </c>
      <c r="Y48" s="20">
        <v>50</v>
      </c>
      <c r="Z48" s="65">
        <f>VLOOKUP(Y48,المرجع!$B$3:$C$12,2)</f>
        <v>2</v>
      </c>
      <c r="AA48" s="44" t="str">
        <f>VLOOKUP(Z48,المرجع!$D$3:$E$12,2)</f>
        <v>د</v>
      </c>
      <c r="AB48" s="40">
        <f t="shared" si="18"/>
        <v>6</v>
      </c>
      <c r="AC48" s="43">
        <v>3</v>
      </c>
      <c r="AD48" s="20">
        <v>50</v>
      </c>
      <c r="AE48" s="65">
        <f>VLOOKUP(AD48,المرجع!$B$3:$C$12,2)</f>
        <v>2</v>
      </c>
      <c r="AF48" s="44" t="str">
        <f>VLOOKUP(AE48,المرجع!$D$3:$E$12,2)</f>
        <v>د</v>
      </c>
      <c r="AG48" s="40">
        <f t="shared" si="19"/>
        <v>6</v>
      </c>
      <c r="AH48" s="43">
        <v>3</v>
      </c>
      <c r="AI48" s="20">
        <v>50</v>
      </c>
      <c r="AJ48" s="65">
        <f>VLOOKUP(AI48,المرجع!$B$3:$C$12,2)</f>
        <v>2</v>
      </c>
      <c r="AK48" s="44" t="str">
        <f>VLOOKUP(AJ48,المرجع!$D$3:$E$12,2)</f>
        <v>د</v>
      </c>
      <c r="AL48" s="40">
        <f t="shared" si="20"/>
        <v>6</v>
      </c>
      <c r="AM48" s="43">
        <v>2</v>
      </c>
      <c r="AN48" s="20">
        <v>75</v>
      </c>
      <c r="AO48" s="65">
        <f>VLOOKUP(AN48,المرجع!$B$3:$C$12,2)</f>
        <v>3.5</v>
      </c>
      <c r="AP48" s="44" t="str">
        <f>VLOOKUP(AO48,المرجع!$D$3:$E$12,2)</f>
        <v>ج+</v>
      </c>
      <c r="AQ48" s="40">
        <f t="shared" si="21"/>
        <v>7</v>
      </c>
      <c r="AR48" s="43">
        <v>2</v>
      </c>
      <c r="AS48" s="20">
        <v>80</v>
      </c>
      <c r="AT48" s="65">
        <f>VLOOKUP(AS48,المرجع!$B$3:$C$12,2)</f>
        <v>4</v>
      </c>
      <c r="AU48" s="44" t="str">
        <f>VLOOKUP(AT48,المرجع!$D$3:$E$12,2)</f>
        <v>ب</v>
      </c>
      <c r="AV48" s="40">
        <f t="shared" si="22"/>
        <v>8</v>
      </c>
      <c r="AW48" s="43">
        <v>2</v>
      </c>
      <c r="AX48" s="20">
        <v>63</v>
      </c>
      <c r="AY48" s="65">
        <f>VLOOKUP(AX48,المرجع!$B$3:$C$12,2)</f>
        <v>2</v>
      </c>
      <c r="AZ48" s="44" t="str">
        <f>VLOOKUP(AY48,المرجع!$D$3:$E$12,2)</f>
        <v>د</v>
      </c>
      <c r="BA48" s="40">
        <f t="shared" si="23"/>
        <v>4</v>
      </c>
      <c r="BB48" s="48">
        <f t="shared" si="24"/>
        <v>66.75</v>
      </c>
      <c r="BC48" s="49">
        <f t="shared" si="25"/>
        <v>23</v>
      </c>
      <c r="BD48" s="78">
        <f t="shared" si="13"/>
        <v>2.902173913043478</v>
      </c>
      <c r="BE48" s="87">
        <f>(BB48+'المستوى الثاني 2023'!BB48+'المستوى الأول 2022'!BL48)/('المستوى الأول 2022'!BM48+'المستوى الثاني 2023'!BC48+'المستوى الثالث ح'!BC48)</f>
        <v>2.9411764705882355</v>
      </c>
      <c r="BF48" s="47" t="str">
        <f>VLOOKUP(BD48,المرجع!$D$3:$F$12,3)</f>
        <v xml:space="preserve">جيد </v>
      </c>
      <c r="BG48" s="42">
        <f t="shared" si="26"/>
        <v>47</v>
      </c>
    </row>
    <row r="49" spans="2:59" ht="22.75" customHeight="1">
      <c r="B49" s="20">
        <v>2023079</v>
      </c>
      <c r="C49" s="34" t="s">
        <v>66</v>
      </c>
      <c r="D49" s="43">
        <v>1</v>
      </c>
      <c r="E49" s="20">
        <v>80</v>
      </c>
      <c r="F49" s="65">
        <f>VLOOKUP(E49,المرجع!$B$3:$C$12,2)</f>
        <v>4</v>
      </c>
      <c r="G49" s="44" t="str">
        <f>VLOOKUP(F49,المرجع!$D$3:$E$12,2)</f>
        <v>ب</v>
      </c>
      <c r="H49" s="40">
        <f t="shared" si="14"/>
        <v>4</v>
      </c>
      <c r="I49" s="43">
        <v>3</v>
      </c>
      <c r="J49" s="20">
        <v>50</v>
      </c>
      <c r="K49" s="65">
        <f>VLOOKUP(J49,المرجع!$B$3:$C$12,2)</f>
        <v>2</v>
      </c>
      <c r="L49" s="44" t="str">
        <f>VLOOKUP(K49,المرجع!$D$3:$E$12,2)</f>
        <v>د</v>
      </c>
      <c r="M49" s="40">
        <f t="shared" si="15"/>
        <v>6</v>
      </c>
      <c r="N49" s="43">
        <v>2</v>
      </c>
      <c r="O49" s="20">
        <v>69</v>
      </c>
      <c r="P49" s="65">
        <f>VLOOKUP(O49,المرجع!$B$3:$C$12,2)</f>
        <v>2.5</v>
      </c>
      <c r="Q49" s="44" t="str">
        <f>VLOOKUP(P49,المرجع!$D$3:$E$12,2)</f>
        <v>د+</v>
      </c>
      <c r="R49" s="40">
        <f t="shared" si="16"/>
        <v>5</v>
      </c>
      <c r="S49" s="43">
        <v>2</v>
      </c>
      <c r="T49" s="20">
        <v>83</v>
      </c>
      <c r="U49" s="65">
        <f>VLOOKUP(T49,المرجع!$B$3:$C$12,2)</f>
        <v>4</v>
      </c>
      <c r="V49" s="44" t="str">
        <f>VLOOKUP(U49,المرجع!$D$3:$E$12,2)</f>
        <v>ب</v>
      </c>
      <c r="W49" s="40">
        <f t="shared" si="17"/>
        <v>8</v>
      </c>
      <c r="X49" s="43">
        <v>3</v>
      </c>
      <c r="Y49" s="20">
        <v>70</v>
      </c>
      <c r="Z49" s="65">
        <f>VLOOKUP(Y49,المرجع!$B$3:$C$12,2)</f>
        <v>3</v>
      </c>
      <c r="AA49" s="44" t="str">
        <f>VLOOKUP(Z49,المرجع!$D$3:$E$12,2)</f>
        <v>ج</v>
      </c>
      <c r="AB49" s="40">
        <f t="shared" si="18"/>
        <v>9</v>
      </c>
      <c r="AC49" s="43">
        <v>3</v>
      </c>
      <c r="AD49" s="20">
        <v>50</v>
      </c>
      <c r="AE49" s="65">
        <f>VLOOKUP(AD49,المرجع!$B$3:$C$12,2)</f>
        <v>2</v>
      </c>
      <c r="AF49" s="44" t="str">
        <f>VLOOKUP(AE49,المرجع!$D$3:$E$12,2)</f>
        <v>د</v>
      </c>
      <c r="AG49" s="40">
        <f t="shared" si="19"/>
        <v>6</v>
      </c>
      <c r="AH49" s="43">
        <v>3</v>
      </c>
      <c r="AI49" s="20">
        <v>50</v>
      </c>
      <c r="AJ49" s="65">
        <f>VLOOKUP(AI49,المرجع!$B$3:$C$12,2)</f>
        <v>2</v>
      </c>
      <c r="AK49" s="44" t="str">
        <f>VLOOKUP(AJ49,المرجع!$D$3:$E$12,2)</f>
        <v>د</v>
      </c>
      <c r="AL49" s="40">
        <f t="shared" si="20"/>
        <v>6</v>
      </c>
      <c r="AM49" s="43">
        <v>2</v>
      </c>
      <c r="AN49" s="20">
        <v>80</v>
      </c>
      <c r="AO49" s="65">
        <f>VLOOKUP(AN49,المرجع!$B$3:$C$12,2)</f>
        <v>4</v>
      </c>
      <c r="AP49" s="44" t="str">
        <f>VLOOKUP(AO49,المرجع!$D$3:$E$12,2)</f>
        <v>ب</v>
      </c>
      <c r="AQ49" s="40">
        <f t="shared" si="21"/>
        <v>8</v>
      </c>
      <c r="AR49" s="43">
        <v>2</v>
      </c>
      <c r="AS49" s="20">
        <v>80</v>
      </c>
      <c r="AT49" s="65">
        <f>VLOOKUP(AS49,المرجع!$B$3:$C$12,2)</f>
        <v>4</v>
      </c>
      <c r="AU49" s="44" t="str">
        <f>VLOOKUP(AT49,المرجع!$D$3:$E$12,2)</f>
        <v>ب</v>
      </c>
      <c r="AV49" s="40">
        <f t="shared" si="22"/>
        <v>8</v>
      </c>
      <c r="AW49" s="43">
        <v>2</v>
      </c>
      <c r="AX49" s="20">
        <v>75</v>
      </c>
      <c r="AY49" s="65">
        <f>VLOOKUP(AX49,المرجع!$B$3:$C$12,2)</f>
        <v>3.5</v>
      </c>
      <c r="AZ49" s="44" t="str">
        <f>VLOOKUP(AY49,المرجع!$D$3:$E$12,2)</f>
        <v>ج+</v>
      </c>
      <c r="BA49" s="40">
        <f t="shared" si="23"/>
        <v>7</v>
      </c>
      <c r="BB49" s="48">
        <f t="shared" si="24"/>
        <v>67</v>
      </c>
      <c r="BC49" s="49">
        <f t="shared" si="25"/>
        <v>23</v>
      </c>
      <c r="BD49" s="78">
        <f t="shared" si="13"/>
        <v>2.9130434782608696</v>
      </c>
      <c r="BE49" s="87">
        <f>(BB49+'المستوى الثاني 2023'!BB49+'المستوى الأول 2022'!BL49)/('المستوى الأول 2022'!BM49+'المستوى الثاني 2023'!BC49+'المستوى الثالث ح'!BC49)</f>
        <v>3.0588235294117645</v>
      </c>
      <c r="BF49" s="47" t="str">
        <f>VLOOKUP(BD49,المرجع!$D$3:$F$12,3)</f>
        <v xml:space="preserve">جيد </v>
      </c>
      <c r="BG49" s="42">
        <f t="shared" si="26"/>
        <v>46</v>
      </c>
    </row>
    <row r="50" spans="2:59" ht="22.75" customHeight="1">
      <c r="B50" s="20">
        <v>2023096</v>
      </c>
      <c r="C50" s="34" t="s">
        <v>64</v>
      </c>
      <c r="D50" s="43">
        <v>1</v>
      </c>
      <c r="E50" s="20">
        <v>90</v>
      </c>
      <c r="F50" s="65">
        <f>VLOOKUP(E50,المرجع!$B$3:$C$12,2)</f>
        <v>4.75</v>
      </c>
      <c r="G50" s="44" t="str">
        <f>VLOOKUP(F50,المرجع!$D$3:$E$12,2)</f>
        <v>أ</v>
      </c>
      <c r="H50" s="40">
        <f t="shared" si="14"/>
        <v>4.75</v>
      </c>
      <c r="I50" s="43">
        <v>3</v>
      </c>
      <c r="J50" s="20">
        <v>70</v>
      </c>
      <c r="K50" s="65">
        <f>VLOOKUP(J50,المرجع!$B$3:$C$12,2)</f>
        <v>3</v>
      </c>
      <c r="L50" s="44" t="str">
        <f>VLOOKUP(K50,المرجع!$D$3:$E$12,2)</f>
        <v>ج</v>
      </c>
      <c r="M50" s="40">
        <f t="shared" si="15"/>
        <v>9</v>
      </c>
      <c r="N50" s="43">
        <v>2</v>
      </c>
      <c r="O50" s="20">
        <v>52</v>
      </c>
      <c r="P50" s="65">
        <f>VLOOKUP(O50,المرجع!$B$3:$C$12,2)</f>
        <v>2</v>
      </c>
      <c r="Q50" s="44" t="str">
        <f>VLOOKUP(P50,المرجع!$D$3:$E$12,2)</f>
        <v>د</v>
      </c>
      <c r="R50" s="40">
        <f t="shared" si="16"/>
        <v>4</v>
      </c>
      <c r="S50" s="43">
        <v>2</v>
      </c>
      <c r="T50" s="20">
        <v>90</v>
      </c>
      <c r="U50" s="65">
        <f>VLOOKUP(T50,المرجع!$B$3:$C$12,2)</f>
        <v>4.75</v>
      </c>
      <c r="V50" s="44" t="str">
        <f>VLOOKUP(U50,المرجع!$D$3:$E$12,2)</f>
        <v>أ</v>
      </c>
      <c r="W50" s="40">
        <f t="shared" si="17"/>
        <v>9.5</v>
      </c>
      <c r="X50" s="43">
        <v>3</v>
      </c>
      <c r="Y50" s="20">
        <v>69</v>
      </c>
      <c r="Z50" s="65">
        <f>VLOOKUP(Y50,المرجع!$B$3:$C$12,2)</f>
        <v>2.5</v>
      </c>
      <c r="AA50" s="44" t="str">
        <f>VLOOKUP(Z50,المرجع!$D$3:$E$12,2)</f>
        <v>د+</v>
      </c>
      <c r="AB50" s="40">
        <f t="shared" si="18"/>
        <v>7.5</v>
      </c>
      <c r="AC50" s="43">
        <v>3</v>
      </c>
      <c r="AD50" s="20">
        <v>61</v>
      </c>
      <c r="AE50" s="65">
        <f>VLOOKUP(AD50,المرجع!$B$3:$C$12,2)</f>
        <v>2</v>
      </c>
      <c r="AF50" s="44" t="str">
        <f>VLOOKUP(AE50,المرجع!$D$3:$E$12,2)</f>
        <v>د</v>
      </c>
      <c r="AG50" s="40">
        <f t="shared" si="19"/>
        <v>6</v>
      </c>
      <c r="AH50" s="43">
        <v>3</v>
      </c>
      <c r="AI50" s="20">
        <v>58</v>
      </c>
      <c r="AJ50" s="65">
        <f>VLOOKUP(AI50,المرجع!$B$3:$C$12,2)</f>
        <v>2</v>
      </c>
      <c r="AK50" s="44" t="str">
        <f>VLOOKUP(AJ50,المرجع!$D$3:$E$12,2)</f>
        <v>د</v>
      </c>
      <c r="AL50" s="40">
        <f t="shared" si="20"/>
        <v>6</v>
      </c>
      <c r="AM50" s="43">
        <v>2</v>
      </c>
      <c r="AN50" s="20">
        <v>65</v>
      </c>
      <c r="AO50" s="65">
        <f>VLOOKUP(AN50,المرجع!$B$3:$C$12,2)</f>
        <v>2.5</v>
      </c>
      <c r="AP50" s="44" t="str">
        <f>VLOOKUP(AO50,المرجع!$D$3:$E$12,2)</f>
        <v>د+</v>
      </c>
      <c r="AQ50" s="40">
        <f t="shared" si="21"/>
        <v>5</v>
      </c>
      <c r="AR50" s="43">
        <v>2</v>
      </c>
      <c r="AS50" s="20">
        <v>79</v>
      </c>
      <c r="AT50" s="65">
        <f>VLOOKUP(AS50,المرجع!$B$3:$C$12,2)</f>
        <v>3.5</v>
      </c>
      <c r="AU50" s="44" t="str">
        <f>VLOOKUP(AT50,المرجع!$D$3:$E$12,2)</f>
        <v>ج+</v>
      </c>
      <c r="AV50" s="40">
        <f t="shared" si="22"/>
        <v>7</v>
      </c>
      <c r="AW50" s="43">
        <v>2</v>
      </c>
      <c r="AX50" s="20">
        <v>76</v>
      </c>
      <c r="AY50" s="65">
        <f>VLOOKUP(AX50,المرجع!$B$3:$C$12,2)</f>
        <v>3.5</v>
      </c>
      <c r="AZ50" s="44" t="str">
        <f>VLOOKUP(AY50,المرجع!$D$3:$E$12,2)</f>
        <v>ج+</v>
      </c>
      <c r="BA50" s="40">
        <f t="shared" si="23"/>
        <v>7</v>
      </c>
      <c r="BB50" s="48">
        <f t="shared" si="24"/>
        <v>65.75</v>
      </c>
      <c r="BC50" s="49">
        <f t="shared" si="25"/>
        <v>23</v>
      </c>
      <c r="BD50" s="78">
        <f t="shared" si="13"/>
        <v>2.8586956521739131</v>
      </c>
      <c r="BE50" s="87">
        <f>(BB50+'المستوى الثاني 2023'!BB50+'المستوى الأول 2022'!BL50)/('المستوى الأول 2022'!BM50+'المستوى الثاني 2023'!BC50+'المستوى الثالث ح'!BC50)</f>
        <v>3.0441176470588234</v>
      </c>
      <c r="BF50" s="47" t="str">
        <f>VLOOKUP(BD50,المرجع!$D$3:$F$12,3)</f>
        <v xml:space="preserve">جيد </v>
      </c>
      <c r="BG50" s="42">
        <f t="shared" si="26"/>
        <v>48</v>
      </c>
    </row>
    <row r="51" spans="2:59" ht="22.75" customHeight="1">
      <c r="B51" s="20">
        <v>2023022</v>
      </c>
      <c r="C51" s="34" t="s">
        <v>139</v>
      </c>
      <c r="D51" s="43">
        <v>1</v>
      </c>
      <c r="E51" s="20">
        <v>87</v>
      </c>
      <c r="F51" s="65">
        <f>VLOOKUP(E51,المرجع!$B$3:$C$12,2)</f>
        <v>4.5</v>
      </c>
      <c r="G51" s="44" t="str">
        <f>VLOOKUP(F51,المرجع!$D$3:$E$12,2)</f>
        <v>ب+</v>
      </c>
      <c r="H51" s="40">
        <f t="shared" si="14"/>
        <v>4.5</v>
      </c>
      <c r="I51" s="43">
        <v>3</v>
      </c>
      <c r="J51" s="20">
        <v>57</v>
      </c>
      <c r="K51" s="65">
        <f>VLOOKUP(J51,المرجع!$B$3:$C$12,2)</f>
        <v>2</v>
      </c>
      <c r="L51" s="44" t="str">
        <f>VLOOKUP(K51,المرجع!$D$3:$E$12,2)</f>
        <v>د</v>
      </c>
      <c r="M51" s="40">
        <f t="shared" si="15"/>
        <v>6</v>
      </c>
      <c r="N51" s="43">
        <v>2</v>
      </c>
      <c r="O51" s="20">
        <v>61</v>
      </c>
      <c r="P51" s="65">
        <f>VLOOKUP(O51,المرجع!$B$3:$C$12,2)</f>
        <v>2</v>
      </c>
      <c r="Q51" s="44" t="str">
        <f>VLOOKUP(P51,المرجع!$D$3:$E$12,2)</f>
        <v>د</v>
      </c>
      <c r="R51" s="40">
        <f t="shared" si="16"/>
        <v>4</v>
      </c>
      <c r="S51" s="43">
        <v>2</v>
      </c>
      <c r="T51" s="20">
        <v>88</v>
      </c>
      <c r="U51" s="65">
        <f>VLOOKUP(T51,المرجع!$B$3:$C$12,2)</f>
        <v>4.5</v>
      </c>
      <c r="V51" s="44" t="str">
        <f>VLOOKUP(U51,المرجع!$D$3:$E$12,2)</f>
        <v>ب+</v>
      </c>
      <c r="W51" s="40">
        <f t="shared" si="17"/>
        <v>9</v>
      </c>
      <c r="X51" s="43">
        <v>3</v>
      </c>
      <c r="Y51" s="20">
        <v>68</v>
      </c>
      <c r="Z51" s="65">
        <f>VLOOKUP(Y51,المرجع!$B$3:$C$12,2)</f>
        <v>2.5</v>
      </c>
      <c r="AA51" s="44" t="str">
        <f>VLOOKUP(Z51,المرجع!$D$3:$E$12,2)</f>
        <v>د+</v>
      </c>
      <c r="AB51" s="40">
        <f t="shared" si="18"/>
        <v>7.5</v>
      </c>
      <c r="AC51" s="43">
        <v>3</v>
      </c>
      <c r="AD51" s="20">
        <v>63</v>
      </c>
      <c r="AE51" s="65">
        <f>VLOOKUP(AD51,المرجع!$B$3:$C$12,2)</f>
        <v>2</v>
      </c>
      <c r="AF51" s="44" t="str">
        <f>VLOOKUP(AE51,المرجع!$D$3:$E$12,2)</f>
        <v>د</v>
      </c>
      <c r="AG51" s="40">
        <f t="shared" si="19"/>
        <v>6</v>
      </c>
      <c r="AH51" s="43">
        <v>3</v>
      </c>
      <c r="AI51" s="20">
        <v>75</v>
      </c>
      <c r="AJ51" s="65">
        <f>VLOOKUP(AI51,المرجع!$B$3:$C$12,2)</f>
        <v>3.5</v>
      </c>
      <c r="AK51" s="44" t="str">
        <f>VLOOKUP(AJ51,المرجع!$D$3:$E$12,2)</f>
        <v>ج+</v>
      </c>
      <c r="AL51" s="40">
        <f t="shared" si="20"/>
        <v>10.5</v>
      </c>
      <c r="AM51" s="43">
        <v>2</v>
      </c>
      <c r="AN51" s="20">
        <v>60</v>
      </c>
      <c r="AO51" s="65">
        <f>VLOOKUP(AN51,المرجع!$B$3:$C$12,2)</f>
        <v>2</v>
      </c>
      <c r="AP51" s="44" t="str">
        <f>VLOOKUP(AO51,المرجع!$D$3:$E$12,2)</f>
        <v>د</v>
      </c>
      <c r="AQ51" s="40">
        <f t="shared" si="21"/>
        <v>4</v>
      </c>
      <c r="AR51" s="43">
        <v>2</v>
      </c>
      <c r="AS51" s="20">
        <v>73</v>
      </c>
      <c r="AT51" s="65">
        <f>VLOOKUP(AS51,المرجع!$B$3:$C$12,2)</f>
        <v>3</v>
      </c>
      <c r="AU51" s="44" t="str">
        <f>VLOOKUP(AT51,المرجع!$D$3:$E$12,2)</f>
        <v>ج</v>
      </c>
      <c r="AV51" s="40">
        <f t="shared" si="22"/>
        <v>6</v>
      </c>
      <c r="AW51" s="43">
        <v>2</v>
      </c>
      <c r="AX51" s="20">
        <v>75</v>
      </c>
      <c r="AY51" s="65">
        <f>VLOOKUP(AX51,المرجع!$B$3:$C$12,2)</f>
        <v>3.5</v>
      </c>
      <c r="AZ51" s="44" t="str">
        <f>VLOOKUP(AY51,المرجع!$D$3:$E$12,2)</f>
        <v>ج+</v>
      </c>
      <c r="BA51" s="40">
        <f t="shared" si="23"/>
        <v>7</v>
      </c>
      <c r="BB51" s="48">
        <f t="shared" si="24"/>
        <v>64.5</v>
      </c>
      <c r="BC51" s="49">
        <f t="shared" si="25"/>
        <v>23</v>
      </c>
      <c r="BD51" s="78">
        <f t="shared" si="13"/>
        <v>2.8043478260869565</v>
      </c>
      <c r="BE51" s="87">
        <f>(BB51+'المستوى الثاني 2023'!BB51+'المستوى الأول 2022'!BL51)/('المستوى الأول 2022'!BM51+'المستوى الثاني 2023'!BC51+'المستوى الثالث ح'!BC51)</f>
        <v>2.9779411764705883</v>
      </c>
      <c r="BF51" s="47" t="str">
        <f>VLOOKUP(BD51,المرجع!$D$3:$F$12,3)</f>
        <v xml:space="preserve">جيد </v>
      </c>
      <c r="BG51" s="42">
        <f t="shared" si="26"/>
        <v>50</v>
      </c>
    </row>
    <row r="52" spans="2:59" ht="22.75" customHeight="1">
      <c r="B52" s="20">
        <v>2023025</v>
      </c>
      <c r="C52" s="34" t="s">
        <v>94</v>
      </c>
      <c r="D52" s="43">
        <v>1</v>
      </c>
      <c r="E52" s="20">
        <v>72</v>
      </c>
      <c r="F52" s="65">
        <f>VLOOKUP(E52,المرجع!$B$3:$C$12,2)</f>
        <v>3</v>
      </c>
      <c r="G52" s="44" t="str">
        <f>VLOOKUP(F52,المرجع!$D$3:$E$12,2)</f>
        <v>ج</v>
      </c>
      <c r="H52" s="40">
        <f t="shared" si="14"/>
        <v>3</v>
      </c>
      <c r="I52" s="43">
        <v>3</v>
      </c>
      <c r="J52" s="20">
        <v>78</v>
      </c>
      <c r="K52" s="65">
        <f>VLOOKUP(J52,المرجع!$B$3:$C$12,2)</f>
        <v>3.5</v>
      </c>
      <c r="L52" s="44" t="str">
        <f>VLOOKUP(K52,المرجع!$D$3:$E$12,2)</f>
        <v>ج+</v>
      </c>
      <c r="M52" s="40">
        <f t="shared" si="15"/>
        <v>10.5</v>
      </c>
      <c r="N52" s="43">
        <v>2</v>
      </c>
      <c r="O52" s="20">
        <v>53</v>
      </c>
      <c r="P52" s="65">
        <f>VLOOKUP(O52,المرجع!$B$3:$C$12,2)</f>
        <v>2</v>
      </c>
      <c r="Q52" s="44" t="str">
        <f>VLOOKUP(P52,المرجع!$D$3:$E$12,2)</f>
        <v>د</v>
      </c>
      <c r="R52" s="40">
        <f t="shared" si="16"/>
        <v>4</v>
      </c>
      <c r="S52" s="43">
        <v>2</v>
      </c>
      <c r="T52" s="20">
        <v>65</v>
      </c>
      <c r="U52" s="65">
        <f>VLOOKUP(T52,المرجع!$B$3:$C$12,2)</f>
        <v>2.5</v>
      </c>
      <c r="V52" s="44" t="str">
        <f>VLOOKUP(U52,المرجع!$D$3:$E$12,2)</f>
        <v>د+</v>
      </c>
      <c r="W52" s="40">
        <f t="shared" si="17"/>
        <v>5</v>
      </c>
      <c r="X52" s="43">
        <v>3</v>
      </c>
      <c r="Y52" s="20">
        <v>92</v>
      </c>
      <c r="Z52" s="65">
        <f>VLOOKUP(Y52,المرجع!$B$3:$C$12,2)</f>
        <v>4.75</v>
      </c>
      <c r="AA52" s="44" t="str">
        <f>VLOOKUP(Z52,المرجع!$D$3:$E$12,2)</f>
        <v>أ</v>
      </c>
      <c r="AB52" s="40">
        <f t="shared" si="18"/>
        <v>14.25</v>
      </c>
      <c r="AC52" s="43">
        <v>3</v>
      </c>
      <c r="AD52" s="20">
        <v>50</v>
      </c>
      <c r="AE52" s="65">
        <f>VLOOKUP(AD52,المرجع!$B$3:$C$12,2)</f>
        <v>2</v>
      </c>
      <c r="AF52" s="44" t="str">
        <f>VLOOKUP(AE52,المرجع!$D$3:$E$12,2)</f>
        <v>د</v>
      </c>
      <c r="AG52" s="40">
        <f t="shared" si="19"/>
        <v>6</v>
      </c>
      <c r="AH52" s="43">
        <v>3</v>
      </c>
      <c r="AI52" s="20">
        <v>50</v>
      </c>
      <c r="AJ52" s="65">
        <f>VLOOKUP(AI52,المرجع!$B$3:$C$12,2)</f>
        <v>2</v>
      </c>
      <c r="AK52" s="44" t="str">
        <f>VLOOKUP(AJ52,المرجع!$D$3:$E$12,2)</f>
        <v>د</v>
      </c>
      <c r="AL52" s="40">
        <f t="shared" si="20"/>
        <v>6</v>
      </c>
      <c r="AM52" s="43">
        <v>2</v>
      </c>
      <c r="AN52" s="20">
        <v>55</v>
      </c>
      <c r="AO52" s="65">
        <f>VLOOKUP(AN52,المرجع!$B$3:$C$12,2)</f>
        <v>2</v>
      </c>
      <c r="AP52" s="44" t="str">
        <f>VLOOKUP(AO52,المرجع!$D$3:$E$12,2)</f>
        <v>د</v>
      </c>
      <c r="AQ52" s="40">
        <f t="shared" si="21"/>
        <v>4</v>
      </c>
      <c r="AR52" s="43">
        <v>2</v>
      </c>
      <c r="AS52" s="20">
        <v>63</v>
      </c>
      <c r="AT52" s="65">
        <f>VLOOKUP(AS52,المرجع!$B$3:$C$12,2)</f>
        <v>2</v>
      </c>
      <c r="AU52" s="44" t="str">
        <f>VLOOKUP(AT52,المرجع!$D$3:$E$12,2)</f>
        <v>د</v>
      </c>
      <c r="AV52" s="40">
        <f t="shared" si="22"/>
        <v>4</v>
      </c>
      <c r="AW52" s="43">
        <v>2</v>
      </c>
      <c r="AX52" s="20">
        <v>86</v>
      </c>
      <c r="AY52" s="65">
        <f>VLOOKUP(AX52,المرجع!$B$3:$C$12,2)</f>
        <v>4.5</v>
      </c>
      <c r="AZ52" s="44" t="str">
        <f>VLOOKUP(AY52,المرجع!$D$3:$E$12,2)</f>
        <v>ب+</v>
      </c>
      <c r="BA52" s="40">
        <f t="shared" si="23"/>
        <v>9</v>
      </c>
      <c r="BB52" s="48">
        <f t="shared" si="24"/>
        <v>65.75</v>
      </c>
      <c r="BC52" s="49">
        <f t="shared" si="25"/>
        <v>23</v>
      </c>
      <c r="BD52" s="78">
        <f t="shared" si="13"/>
        <v>2.8586956521739131</v>
      </c>
      <c r="BE52" s="87">
        <f>(BB52+'المستوى الثاني 2023'!BB52+'المستوى الأول 2022'!BL52)/('المستوى الأول 2022'!BM52+'المستوى الثاني 2023'!BC52+'المستوى الثالث ح'!BC52)</f>
        <v>2.9338235294117645</v>
      </c>
      <c r="BF52" s="47" t="str">
        <f>VLOOKUP(BD52,المرجع!$D$3:$F$12,3)</f>
        <v xml:space="preserve">جيد </v>
      </c>
      <c r="BG52" s="42">
        <f t="shared" si="26"/>
        <v>48</v>
      </c>
    </row>
    <row r="53" spans="2:59" ht="22.75" customHeight="1">
      <c r="B53" s="20">
        <v>2023091</v>
      </c>
      <c r="C53" s="34" t="s">
        <v>70</v>
      </c>
      <c r="D53" s="43">
        <v>1</v>
      </c>
      <c r="E53" s="20">
        <v>90</v>
      </c>
      <c r="F53" s="65">
        <f>VLOOKUP(E53,المرجع!$B$3:$C$12,2)</f>
        <v>4.75</v>
      </c>
      <c r="G53" s="44" t="str">
        <f>VLOOKUP(F53,المرجع!$D$3:$E$12,2)</f>
        <v>أ</v>
      </c>
      <c r="H53" s="40">
        <f t="shared" si="14"/>
        <v>4.75</v>
      </c>
      <c r="I53" s="43">
        <v>3</v>
      </c>
      <c r="J53" s="20">
        <v>50</v>
      </c>
      <c r="K53" s="65">
        <f>VLOOKUP(J53,المرجع!$B$3:$C$12,2)</f>
        <v>2</v>
      </c>
      <c r="L53" s="44" t="str">
        <f>VLOOKUP(K53,المرجع!$D$3:$E$12,2)</f>
        <v>د</v>
      </c>
      <c r="M53" s="40">
        <f t="shared" si="15"/>
        <v>6</v>
      </c>
      <c r="N53" s="43">
        <v>2</v>
      </c>
      <c r="O53" s="20">
        <v>52</v>
      </c>
      <c r="P53" s="65">
        <f>VLOOKUP(O53,المرجع!$B$3:$C$12,2)</f>
        <v>2</v>
      </c>
      <c r="Q53" s="44" t="str">
        <f>VLOOKUP(P53,المرجع!$D$3:$E$12,2)</f>
        <v>د</v>
      </c>
      <c r="R53" s="40">
        <f t="shared" si="16"/>
        <v>4</v>
      </c>
      <c r="S53" s="43">
        <v>2</v>
      </c>
      <c r="T53" s="20">
        <v>90</v>
      </c>
      <c r="U53" s="65">
        <f>VLOOKUP(T53,المرجع!$B$3:$C$12,2)</f>
        <v>4.75</v>
      </c>
      <c r="V53" s="44" t="str">
        <f>VLOOKUP(U53,المرجع!$D$3:$E$12,2)</f>
        <v>أ</v>
      </c>
      <c r="W53" s="40">
        <f t="shared" si="17"/>
        <v>9.5</v>
      </c>
      <c r="X53" s="43">
        <v>3</v>
      </c>
      <c r="Y53" s="20">
        <v>60</v>
      </c>
      <c r="Z53" s="65">
        <f>VLOOKUP(Y53,المرجع!$B$3:$C$12,2)</f>
        <v>2</v>
      </c>
      <c r="AA53" s="44" t="str">
        <f>VLOOKUP(Z53,المرجع!$D$3:$E$12,2)</f>
        <v>د</v>
      </c>
      <c r="AB53" s="40">
        <f t="shared" si="18"/>
        <v>6</v>
      </c>
      <c r="AC53" s="43">
        <v>3</v>
      </c>
      <c r="AD53" s="20">
        <v>70</v>
      </c>
      <c r="AE53" s="65">
        <f>VLOOKUP(AD53,المرجع!$B$3:$C$12,2)</f>
        <v>3</v>
      </c>
      <c r="AF53" s="44" t="str">
        <f>VLOOKUP(AE53,المرجع!$D$3:$E$12,2)</f>
        <v>ج</v>
      </c>
      <c r="AG53" s="40">
        <f t="shared" si="19"/>
        <v>9</v>
      </c>
      <c r="AH53" s="43">
        <v>3</v>
      </c>
      <c r="AI53" s="20">
        <v>67</v>
      </c>
      <c r="AJ53" s="65">
        <f>VLOOKUP(AI53,المرجع!$B$3:$C$12,2)</f>
        <v>2.5</v>
      </c>
      <c r="AK53" s="44" t="str">
        <f>VLOOKUP(AJ53,المرجع!$D$3:$E$12,2)</f>
        <v>د+</v>
      </c>
      <c r="AL53" s="40">
        <f t="shared" si="20"/>
        <v>7.5</v>
      </c>
      <c r="AM53" s="43">
        <v>2</v>
      </c>
      <c r="AN53" s="20">
        <v>50</v>
      </c>
      <c r="AO53" s="65">
        <f>VLOOKUP(AN53,المرجع!$B$3:$C$12,2)</f>
        <v>2</v>
      </c>
      <c r="AP53" s="44" t="str">
        <f>VLOOKUP(AO53,المرجع!$D$3:$E$12,2)</f>
        <v>د</v>
      </c>
      <c r="AQ53" s="40">
        <f t="shared" si="21"/>
        <v>4</v>
      </c>
      <c r="AR53" s="43">
        <v>2</v>
      </c>
      <c r="AS53" s="20">
        <v>77</v>
      </c>
      <c r="AT53" s="65">
        <f>VLOOKUP(AS53,المرجع!$B$3:$C$12,2)</f>
        <v>3.5</v>
      </c>
      <c r="AU53" s="44" t="str">
        <f>VLOOKUP(AT53,المرجع!$D$3:$E$12,2)</f>
        <v>ج+</v>
      </c>
      <c r="AV53" s="40">
        <f t="shared" si="22"/>
        <v>7</v>
      </c>
      <c r="AW53" s="43">
        <v>2</v>
      </c>
      <c r="AX53" s="20">
        <v>61</v>
      </c>
      <c r="AY53" s="65">
        <f>VLOOKUP(AX53,المرجع!$B$3:$C$12,2)</f>
        <v>2</v>
      </c>
      <c r="AZ53" s="44" t="str">
        <f>VLOOKUP(AY53,المرجع!$D$3:$E$12,2)</f>
        <v>د</v>
      </c>
      <c r="BA53" s="40">
        <f t="shared" si="23"/>
        <v>4</v>
      </c>
      <c r="BB53" s="48">
        <f t="shared" si="24"/>
        <v>61.75</v>
      </c>
      <c r="BC53" s="49">
        <f t="shared" si="25"/>
        <v>23</v>
      </c>
      <c r="BD53" s="78">
        <f t="shared" si="13"/>
        <v>2.6847826086956523</v>
      </c>
      <c r="BE53" s="87">
        <f>(BB53+'المستوى الثاني 2023'!BB53+'المستوى الأول 2022'!BL53)/('المستوى الأول 2022'!BM53+'المستوى الثاني 2023'!BC53+'المستوى الثالث ح'!BC53)</f>
        <v>2.9301470588235294</v>
      </c>
      <c r="BF53" s="47" t="str">
        <f>VLOOKUP(BD53,المرجع!$D$3:$F$12,3)</f>
        <v xml:space="preserve">جيد </v>
      </c>
      <c r="BG53" s="42">
        <f t="shared" si="26"/>
        <v>51</v>
      </c>
    </row>
    <row r="54" spans="2:59" ht="22.75" customHeight="1">
      <c r="B54" s="20">
        <v>2023067</v>
      </c>
      <c r="C54" s="34" t="s">
        <v>71</v>
      </c>
      <c r="D54" s="43">
        <v>1</v>
      </c>
      <c r="E54" s="20">
        <v>87</v>
      </c>
      <c r="F54" s="65">
        <f>VLOOKUP(E54,المرجع!$B$3:$C$12,2)</f>
        <v>4.5</v>
      </c>
      <c r="G54" s="44" t="str">
        <f>VLOOKUP(F54,المرجع!$D$3:$E$12,2)</f>
        <v>ب+</v>
      </c>
      <c r="H54" s="40">
        <f t="shared" si="14"/>
        <v>4.5</v>
      </c>
      <c r="I54" s="43">
        <v>3</v>
      </c>
      <c r="J54" s="20">
        <v>65</v>
      </c>
      <c r="K54" s="65">
        <f>VLOOKUP(J54,المرجع!$B$3:$C$12,2)</f>
        <v>2.5</v>
      </c>
      <c r="L54" s="44" t="str">
        <f>VLOOKUP(K54,المرجع!$D$3:$E$12,2)</f>
        <v>د+</v>
      </c>
      <c r="M54" s="40">
        <f t="shared" si="15"/>
        <v>7.5</v>
      </c>
      <c r="N54" s="43">
        <v>2</v>
      </c>
      <c r="O54" s="20">
        <v>76</v>
      </c>
      <c r="P54" s="65">
        <f>VLOOKUP(O54,المرجع!$B$3:$C$12,2)</f>
        <v>3.5</v>
      </c>
      <c r="Q54" s="44" t="str">
        <f>VLOOKUP(P54,المرجع!$D$3:$E$12,2)</f>
        <v>ج+</v>
      </c>
      <c r="R54" s="40">
        <f t="shared" si="16"/>
        <v>7</v>
      </c>
      <c r="S54" s="43">
        <v>2</v>
      </c>
      <c r="T54" s="20">
        <v>89</v>
      </c>
      <c r="U54" s="65">
        <f>VLOOKUP(T54,المرجع!$B$3:$C$12,2)</f>
        <v>4.5</v>
      </c>
      <c r="V54" s="44" t="str">
        <f>VLOOKUP(U54,المرجع!$D$3:$E$12,2)</f>
        <v>ب+</v>
      </c>
      <c r="W54" s="40">
        <f t="shared" si="17"/>
        <v>9</v>
      </c>
      <c r="X54" s="43">
        <v>3</v>
      </c>
      <c r="Y54" s="20">
        <v>64</v>
      </c>
      <c r="Z54" s="65">
        <f>VLOOKUP(Y54,المرجع!$B$3:$C$12,2)</f>
        <v>2</v>
      </c>
      <c r="AA54" s="44" t="str">
        <f>VLOOKUP(Z54,المرجع!$D$3:$E$12,2)</f>
        <v>د</v>
      </c>
      <c r="AB54" s="40">
        <f t="shared" si="18"/>
        <v>6</v>
      </c>
      <c r="AC54" s="43">
        <v>3</v>
      </c>
      <c r="AD54" s="20">
        <v>52</v>
      </c>
      <c r="AE54" s="65">
        <f>VLOOKUP(AD54,المرجع!$B$3:$C$12,2)</f>
        <v>2</v>
      </c>
      <c r="AF54" s="44" t="str">
        <f>VLOOKUP(AE54,المرجع!$D$3:$E$12,2)</f>
        <v>د</v>
      </c>
      <c r="AG54" s="40">
        <f t="shared" si="19"/>
        <v>6</v>
      </c>
      <c r="AH54" s="43">
        <v>3</v>
      </c>
      <c r="AI54" s="20">
        <v>52</v>
      </c>
      <c r="AJ54" s="65">
        <f>VLOOKUP(AI54,المرجع!$B$3:$C$12,2)</f>
        <v>2</v>
      </c>
      <c r="AK54" s="44" t="str">
        <f>VLOOKUP(AJ54,المرجع!$D$3:$E$12,2)</f>
        <v>د</v>
      </c>
      <c r="AL54" s="40">
        <f t="shared" si="20"/>
        <v>6</v>
      </c>
      <c r="AM54" s="43">
        <v>2</v>
      </c>
      <c r="AN54" s="20">
        <v>70</v>
      </c>
      <c r="AO54" s="65">
        <f>VLOOKUP(AN54,المرجع!$B$3:$C$12,2)</f>
        <v>3</v>
      </c>
      <c r="AP54" s="44" t="str">
        <f>VLOOKUP(AO54,المرجع!$D$3:$E$12,2)</f>
        <v>ج</v>
      </c>
      <c r="AQ54" s="40">
        <f t="shared" si="21"/>
        <v>6</v>
      </c>
      <c r="AR54" s="43">
        <v>2</v>
      </c>
      <c r="AS54" s="20">
        <v>64</v>
      </c>
      <c r="AT54" s="65">
        <f>VLOOKUP(AS54,المرجع!$B$3:$C$12,2)</f>
        <v>2</v>
      </c>
      <c r="AU54" s="44" t="str">
        <f>VLOOKUP(AT54,المرجع!$D$3:$E$12,2)</f>
        <v>د</v>
      </c>
      <c r="AV54" s="40">
        <f t="shared" si="22"/>
        <v>4</v>
      </c>
      <c r="AW54" s="43">
        <v>2</v>
      </c>
      <c r="AX54" s="20">
        <v>54</v>
      </c>
      <c r="AY54" s="65">
        <f>VLOOKUP(AX54,المرجع!$B$3:$C$12,2)</f>
        <v>2</v>
      </c>
      <c r="AZ54" s="44" t="str">
        <f>VLOOKUP(AY54,المرجع!$D$3:$E$12,2)</f>
        <v>د</v>
      </c>
      <c r="BA54" s="40">
        <f t="shared" si="23"/>
        <v>4</v>
      </c>
      <c r="BB54" s="48">
        <f t="shared" si="24"/>
        <v>60</v>
      </c>
      <c r="BC54" s="49">
        <f t="shared" si="25"/>
        <v>23</v>
      </c>
      <c r="BD54" s="78">
        <f t="shared" si="13"/>
        <v>2.6086956521739131</v>
      </c>
      <c r="BE54" s="87">
        <f>(BB54+'المستوى الثاني 2023'!BB54+'المستوى الأول 2022'!BL54)/('المستوى الأول 2022'!BM54+'المستوى الثاني 2023'!BC54+'المستوى الثالث ح'!BC54)</f>
        <v>2.8639705882352939</v>
      </c>
      <c r="BF54" s="47" t="str">
        <f>VLOOKUP(BD54,المرجع!$D$3:$F$12,3)</f>
        <v xml:space="preserve">جيد </v>
      </c>
      <c r="BG54" s="42">
        <f t="shared" si="26"/>
        <v>54</v>
      </c>
    </row>
    <row r="55" spans="2:59" ht="22.75" customHeight="1">
      <c r="B55" s="20">
        <v>2023100</v>
      </c>
      <c r="C55" s="34" t="s">
        <v>72</v>
      </c>
      <c r="D55" s="43">
        <v>1</v>
      </c>
      <c r="E55" s="20">
        <v>71</v>
      </c>
      <c r="F55" s="65">
        <f>VLOOKUP(E55,المرجع!$B$3:$C$12,2)</f>
        <v>3</v>
      </c>
      <c r="G55" s="44" t="str">
        <f>VLOOKUP(F55,المرجع!$D$3:$E$12,2)</f>
        <v>ج</v>
      </c>
      <c r="H55" s="40">
        <f t="shared" si="14"/>
        <v>3</v>
      </c>
      <c r="I55" s="43">
        <v>3</v>
      </c>
      <c r="J55" s="20">
        <v>73</v>
      </c>
      <c r="K55" s="65">
        <f>VLOOKUP(J55,المرجع!$B$3:$C$12,2)</f>
        <v>3</v>
      </c>
      <c r="L55" s="44" t="str">
        <f>VLOOKUP(K55,المرجع!$D$3:$E$12,2)</f>
        <v>ج</v>
      </c>
      <c r="M55" s="40">
        <f t="shared" si="15"/>
        <v>9</v>
      </c>
      <c r="N55" s="43">
        <v>2</v>
      </c>
      <c r="O55" s="20">
        <v>50</v>
      </c>
      <c r="P55" s="65">
        <f>VLOOKUP(O55,المرجع!$B$3:$C$12,2)</f>
        <v>2</v>
      </c>
      <c r="Q55" s="44" t="str">
        <f>VLOOKUP(P55,المرجع!$D$3:$E$12,2)</f>
        <v>د</v>
      </c>
      <c r="R55" s="40">
        <f t="shared" si="16"/>
        <v>4</v>
      </c>
      <c r="S55" s="43">
        <v>2</v>
      </c>
      <c r="T55" s="20">
        <v>80</v>
      </c>
      <c r="U55" s="65">
        <f>VLOOKUP(T55,المرجع!$B$3:$C$12,2)</f>
        <v>4</v>
      </c>
      <c r="V55" s="44" t="str">
        <f>VLOOKUP(U55,المرجع!$D$3:$E$12,2)</f>
        <v>ب</v>
      </c>
      <c r="W55" s="40">
        <f t="shared" si="17"/>
        <v>8</v>
      </c>
      <c r="X55" s="43">
        <v>3</v>
      </c>
      <c r="Y55" s="20">
        <v>69</v>
      </c>
      <c r="Z55" s="65">
        <f>VLOOKUP(Y55,المرجع!$B$3:$C$12,2)</f>
        <v>2.5</v>
      </c>
      <c r="AA55" s="44" t="str">
        <f>VLOOKUP(Z55,المرجع!$D$3:$E$12,2)</f>
        <v>د+</v>
      </c>
      <c r="AB55" s="40">
        <f t="shared" si="18"/>
        <v>7.5</v>
      </c>
      <c r="AC55" s="43">
        <v>3</v>
      </c>
      <c r="AD55" s="20">
        <v>50</v>
      </c>
      <c r="AE55" s="65">
        <f>VLOOKUP(AD55,المرجع!$B$3:$C$12,2)</f>
        <v>2</v>
      </c>
      <c r="AF55" s="44" t="str">
        <f>VLOOKUP(AE55,المرجع!$D$3:$E$12,2)</f>
        <v>د</v>
      </c>
      <c r="AG55" s="40">
        <f t="shared" si="19"/>
        <v>6</v>
      </c>
      <c r="AH55" s="43">
        <v>3</v>
      </c>
      <c r="AI55" s="20">
        <v>51</v>
      </c>
      <c r="AJ55" s="65">
        <f>VLOOKUP(AI55,المرجع!$B$3:$C$12,2)</f>
        <v>2</v>
      </c>
      <c r="AK55" s="44" t="str">
        <f>VLOOKUP(AJ55,المرجع!$D$3:$E$12,2)</f>
        <v>د</v>
      </c>
      <c r="AL55" s="40">
        <f t="shared" si="20"/>
        <v>6</v>
      </c>
      <c r="AM55" s="43">
        <v>2</v>
      </c>
      <c r="AN55" s="20">
        <v>55</v>
      </c>
      <c r="AO55" s="65">
        <f>VLOOKUP(AN55,المرجع!$B$3:$C$12,2)</f>
        <v>2</v>
      </c>
      <c r="AP55" s="44" t="str">
        <f>VLOOKUP(AO55,المرجع!$D$3:$E$12,2)</f>
        <v>د</v>
      </c>
      <c r="AQ55" s="40">
        <f t="shared" si="21"/>
        <v>4</v>
      </c>
      <c r="AR55" s="43">
        <v>2</v>
      </c>
      <c r="AS55" s="20">
        <v>80</v>
      </c>
      <c r="AT55" s="65">
        <f>VLOOKUP(AS55,المرجع!$B$3:$C$12,2)</f>
        <v>4</v>
      </c>
      <c r="AU55" s="44" t="str">
        <f>VLOOKUP(AT55,المرجع!$D$3:$E$12,2)</f>
        <v>ب</v>
      </c>
      <c r="AV55" s="40">
        <f t="shared" si="22"/>
        <v>8</v>
      </c>
      <c r="AW55" s="43">
        <v>2</v>
      </c>
      <c r="AX55" s="20">
        <v>74</v>
      </c>
      <c r="AY55" s="65">
        <f>VLOOKUP(AX55,المرجع!$B$3:$C$12,2)</f>
        <v>3</v>
      </c>
      <c r="AZ55" s="44" t="str">
        <f>VLOOKUP(AY55,المرجع!$D$3:$E$12,2)</f>
        <v>ج</v>
      </c>
      <c r="BA55" s="40">
        <f t="shared" si="23"/>
        <v>6</v>
      </c>
      <c r="BB55" s="48">
        <f t="shared" si="24"/>
        <v>61.5</v>
      </c>
      <c r="BC55" s="49">
        <f t="shared" si="25"/>
        <v>23</v>
      </c>
      <c r="BD55" s="78">
        <f t="shared" si="13"/>
        <v>2.6739130434782608</v>
      </c>
      <c r="BE55" s="87">
        <f>(BB55+'المستوى الثاني 2023'!BB55+'المستوى الأول 2022'!BL55)/('المستوى الأول 2022'!BM55+'المستوى الثاني 2023'!BC55+'المستوى الثالث ح'!BC55)</f>
        <v>2.7720588235294117</v>
      </c>
      <c r="BF55" s="47" t="str">
        <f>VLOOKUP(BD55,المرجع!$D$3:$F$12,3)</f>
        <v xml:space="preserve">جيد </v>
      </c>
      <c r="BG55" s="42">
        <f t="shared" si="26"/>
        <v>52</v>
      </c>
    </row>
    <row r="56" spans="2:59" ht="22.75" customHeight="1">
      <c r="B56" s="20">
        <v>2023094</v>
      </c>
      <c r="C56" s="34" t="s">
        <v>74</v>
      </c>
      <c r="D56" s="43">
        <v>1</v>
      </c>
      <c r="E56" s="20">
        <v>74</v>
      </c>
      <c r="F56" s="65">
        <f>VLOOKUP(E56,المرجع!$B$3:$C$12,2)</f>
        <v>3</v>
      </c>
      <c r="G56" s="44" t="str">
        <f>VLOOKUP(F56,المرجع!$D$3:$E$12,2)</f>
        <v>ج</v>
      </c>
      <c r="H56" s="40">
        <f t="shared" si="14"/>
        <v>3</v>
      </c>
      <c r="I56" s="43">
        <v>3</v>
      </c>
      <c r="J56" s="20">
        <v>70</v>
      </c>
      <c r="K56" s="65">
        <f>VLOOKUP(J56,المرجع!$B$3:$C$12,2)</f>
        <v>3</v>
      </c>
      <c r="L56" s="44" t="str">
        <f>VLOOKUP(K56,المرجع!$D$3:$E$12,2)</f>
        <v>ج</v>
      </c>
      <c r="M56" s="40">
        <f t="shared" si="15"/>
        <v>9</v>
      </c>
      <c r="N56" s="43">
        <v>2</v>
      </c>
      <c r="O56" s="20">
        <v>50</v>
      </c>
      <c r="P56" s="65">
        <f>VLOOKUP(O56,المرجع!$B$3:$C$12,2)</f>
        <v>2</v>
      </c>
      <c r="Q56" s="44" t="str">
        <f>VLOOKUP(P56,المرجع!$D$3:$E$12,2)</f>
        <v>د</v>
      </c>
      <c r="R56" s="40">
        <f t="shared" si="16"/>
        <v>4</v>
      </c>
      <c r="S56" s="43">
        <v>2</v>
      </c>
      <c r="T56" s="20">
        <v>95</v>
      </c>
      <c r="U56" s="65">
        <f>VLOOKUP(T56,المرجع!$B$3:$C$12,2)</f>
        <v>5</v>
      </c>
      <c r="V56" s="44" t="str">
        <f>VLOOKUP(U56,المرجع!$D$3:$E$12,2)</f>
        <v xml:space="preserve">أ+ </v>
      </c>
      <c r="W56" s="40">
        <f t="shared" si="17"/>
        <v>10</v>
      </c>
      <c r="X56" s="43">
        <v>3</v>
      </c>
      <c r="Y56" s="20">
        <v>69</v>
      </c>
      <c r="Z56" s="65">
        <f>VLOOKUP(Y56,المرجع!$B$3:$C$12,2)</f>
        <v>2.5</v>
      </c>
      <c r="AA56" s="44" t="str">
        <f>VLOOKUP(Z56,المرجع!$D$3:$E$12,2)</f>
        <v>د+</v>
      </c>
      <c r="AB56" s="40">
        <f t="shared" si="18"/>
        <v>7.5</v>
      </c>
      <c r="AC56" s="43">
        <v>3</v>
      </c>
      <c r="AD56" s="20">
        <v>50</v>
      </c>
      <c r="AE56" s="65">
        <f>VLOOKUP(AD56,المرجع!$B$3:$C$12,2)</f>
        <v>2</v>
      </c>
      <c r="AF56" s="44" t="str">
        <f>VLOOKUP(AE56,المرجع!$D$3:$E$12,2)</f>
        <v>د</v>
      </c>
      <c r="AG56" s="40">
        <f t="shared" si="19"/>
        <v>6</v>
      </c>
      <c r="AH56" s="43">
        <v>3</v>
      </c>
      <c r="AI56" s="20">
        <v>50</v>
      </c>
      <c r="AJ56" s="65">
        <f>VLOOKUP(AI56,المرجع!$B$3:$C$12,2)</f>
        <v>2</v>
      </c>
      <c r="AK56" s="44" t="str">
        <f>VLOOKUP(AJ56,المرجع!$D$3:$E$12,2)</f>
        <v>د</v>
      </c>
      <c r="AL56" s="40">
        <f t="shared" si="20"/>
        <v>6</v>
      </c>
      <c r="AM56" s="43">
        <v>2</v>
      </c>
      <c r="AN56" s="20">
        <v>60</v>
      </c>
      <c r="AO56" s="65">
        <f>VLOOKUP(AN56,المرجع!$B$3:$C$12,2)</f>
        <v>2</v>
      </c>
      <c r="AP56" s="44" t="str">
        <f>VLOOKUP(AO56,المرجع!$D$3:$E$12,2)</f>
        <v>د</v>
      </c>
      <c r="AQ56" s="40">
        <f t="shared" si="21"/>
        <v>4</v>
      </c>
      <c r="AR56" s="43">
        <v>2</v>
      </c>
      <c r="AS56" s="20">
        <v>70</v>
      </c>
      <c r="AT56" s="65">
        <f>VLOOKUP(AS56,المرجع!$B$3:$C$12,2)</f>
        <v>3</v>
      </c>
      <c r="AU56" s="44" t="str">
        <f>VLOOKUP(AT56,المرجع!$D$3:$E$12,2)</f>
        <v>ج</v>
      </c>
      <c r="AV56" s="40">
        <f t="shared" si="22"/>
        <v>6</v>
      </c>
      <c r="AW56" s="43">
        <v>2</v>
      </c>
      <c r="AX56" s="20">
        <v>50</v>
      </c>
      <c r="AY56" s="65">
        <f>VLOOKUP(AX56,المرجع!$B$3:$C$12,2)</f>
        <v>2</v>
      </c>
      <c r="AZ56" s="44" t="str">
        <f>VLOOKUP(AY56,المرجع!$D$3:$E$12,2)</f>
        <v>د</v>
      </c>
      <c r="BA56" s="40">
        <f t="shared" si="23"/>
        <v>4</v>
      </c>
      <c r="BB56" s="48">
        <f t="shared" si="24"/>
        <v>59.5</v>
      </c>
      <c r="BC56" s="49">
        <f t="shared" si="25"/>
        <v>23</v>
      </c>
      <c r="BD56" s="78">
        <f t="shared" si="13"/>
        <v>2.5869565217391304</v>
      </c>
      <c r="BE56" s="87">
        <f>(BB56+'المستوى الثاني 2023'!BB56+'المستوى الأول 2022'!BL56)/('المستوى الأول 2022'!BM56+'المستوى الثاني 2023'!BC56+'المستوى الثالث ح'!BC56)</f>
        <v>2.8529411764705883</v>
      </c>
      <c r="BF56" s="47" t="str">
        <f>VLOOKUP(BD56,المرجع!$D$3:$F$12,3)</f>
        <v xml:space="preserve">مقبول مرتفع </v>
      </c>
      <c r="BG56" s="42">
        <f t="shared" si="26"/>
        <v>55</v>
      </c>
    </row>
    <row r="57" spans="2:59" ht="22.75" customHeight="1">
      <c r="B57" s="20">
        <v>2023099</v>
      </c>
      <c r="C57" s="34" t="s">
        <v>69</v>
      </c>
      <c r="D57" s="43">
        <v>1</v>
      </c>
      <c r="E57" s="20">
        <v>63</v>
      </c>
      <c r="F57" s="65">
        <f>VLOOKUP(E57,المرجع!$B$3:$C$12,2)</f>
        <v>2</v>
      </c>
      <c r="G57" s="44" t="str">
        <f>VLOOKUP(F57,المرجع!$D$3:$E$12,2)</f>
        <v>د</v>
      </c>
      <c r="H57" s="40">
        <f t="shared" si="14"/>
        <v>2</v>
      </c>
      <c r="I57" s="43">
        <v>3</v>
      </c>
      <c r="J57" s="20">
        <v>84</v>
      </c>
      <c r="K57" s="65">
        <f>VLOOKUP(J57,المرجع!$B$3:$C$12,2)</f>
        <v>4</v>
      </c>
      <c r="L57" s="44" t="str">
        <f>VLOOKUP(K57,المرجع!$D$3:$E$12,2)</f>
        <v>ب</v>
      </c>
      <c r="M57" s="40">
        <f t="shared" si="15"/>
        <v>12</v>
      </c>
      <c r="N57" s="43">
        <v>2</v>
      </c>
      <c r="O57" s="20">
        <v>59</v>
      </c>
      <c r="P57" s="65">
        <f>VLOOKUP(O57,المرجع!$B$3:$C$12,2)</f>
        <v>2</v>
      </c>
      <c r="Q57" s="44" t="str">
        <f>VLOOKUP(P57,المرجع!$D$3:$E$12,2)</f>
        <v>د</v>
      </c>
      <c r="R57" s="40">
        <f t="shared" si="16"/>
        <v>4</v>
      </c>
      <c r="S57" s="43">
        <v>2</v>
      </c>
      <c r="T57" s="20">
        <v>80</v>
      </c>
      <c r="U57" s="65">
        <f>VLOOKUP(T57,المرجع!$B$3:$C$12,2)</f>
        <v>4</v>
      </c>
      <c r="V57" s="44" t="str">
        <f>VLOOKUP(U57,المرجع!$D$3:$E$12,2)</f>
        <v>ب</v>
      </c>
      <c r="W57" s="40">
        <f t="shared" si="17"/>
        <v>8</v>
      </c>
      <c r="X57" s="43">
        <v>3</v>
      </c>
      <c r="Y57" s="20">
        <v>69</v>
      </c>
      <c r="Z57" s="65">
        <f>VLOOKUP(Y57,المرجع!$B$3:$C$12,2)</f>
        <v>2.5</v>
      </c>
      <c r="AA57" s="44" t="str">
        <f>VLOOKUP(Z57,المرجع!$D$3:$E$12,2)</f>
        <v>د+</v>
      </c>
      <c r="AB57" s="40">
        <f t="shared" si="18"/>
        <v>7.5</v>
      </c>
      <c r="AC57" s="43">
        <v>3</v>
      </c>
      <c r="AD57" s="20">
        <v>52</v>
      </c>
      <c r="AE57" s="65">
        <f>VLOOKUP(AD57,المرجع!$B$3:$C$12,2)</f>
        <v>2</v>
      </c>
      <c r="AF57" s="44" t="str">
        <f>VLOOKUP(AE57,المرجع!$D$3:$E$12,2)</f>
        <v>د</v>
      </c>
      <c r="AG57" s="40">
        <f t="shared" si="19"/>
        <v>6</v>
      </c>
      <c r="AH57" s="43">
        <v>3</v>
      </c>
      <c r="AI57" s="20">
        <v>50</v>
      </c>
      <c r="AJ57" s="65">
        <f>VLOOKUP(AI57,المرجع!$B$3:$C$12,2)</f>
        <v>2</v>
      </c>
      <c r="AK57" s="44" t="str">
        <f>VLOOKUP(AJ57,المرجع!$D$3:$E$12,2)</f>
        <v>د</v>
      </c>
      <c r="AL57" s="40">
        <f t="shared" si="20"/>
        <v>6</v>
      </c>
      <c r="AM57" s="43">
        <v>2</v>
      </c>
      <c r="AN57" s="20">
        <v>60</v>
      </c>
      <c r="AO57" s="65">
        <f>VLOOKUP(AN57,المرجع!$B$3:$C$12,2)</f>
        <v>2</v>
      </c>
      <c r="AP57" s="44" t="str">
        <f>VLOOKUP(AO57,المرجع!$D$3:$E$12,2)</f>
        <v>د</v>
      </c>
      <c r="AQ57" s="40">
        <f t="shared" si="21"/>
        <v>4</v>
      </c>
      <c r="AR57" s="43">
        <v>2</v>
      </c>
      <c r="AS57" s="20">
        <v>75</v>
      </c>
      <c r="AT57" s="65">
        <f>VLOOKUP(AS57,المرجع!$B$3:$C$12,2)</f>
        <v>3.5</v>
      </c>
      <c r="AU57" s="44" t="str">
        <f>VLOOKUP(AT57,المرجع!$D$3:$E$12,2)</f>
        <v>ج+</v>
      </c>
      <c r="AV57" s="40">
        <f t="shared" si="22"/>
        <v>7</v>
      </c>
      <c r="AW57" s="43">
        <v>2</v>
      </c>
      <c r="AX57" s="20">
        <v>50</v>
      </c>
      <c r="AY57" s="65">
        <f>VLOOKUP(AX57,المرجع!$B$3:$C$12,2)</f>
        <v>2</v>
      </c>
      <c r="AZ57" s="44" t="str">
        <f>VLOOKUP(AY57,المرجع!$D$3:$E$12,2)</f>
        <v>د</v>
      </c>
      <c r="BA57" s="40">
        <f t="shared" si="23"/>
        <v>4</v>
      </c>
      <c r="BB57" s="48">
        <f t="shared" si="24"/>
        <v>60.5</v>
      </c>
      <c r="BC57" s="49">
        <f t="shared" si="25"/>
        <v>23</v>
      </c>
      <c r="BD57" s="78">
        <f t="shared" si="13"/>
        <v>2.6304347826086958</v>
      </c>
      <c r="BE57" s="87">
        <f>(BB57+'المستوى الثاني 2023'!BB57+'المستوى الأول 2022'!BL57)/('المستوى الأول 2022'!BM57+'المستوى الثاني 2023'!BC57+'المستوى الثالث ح'!BC57)</f>
        <v>2.8713235294117645</v>
      </c>
      <c r="BF57" s="47" t="str">
        <f>VLOOKUP(BD57,المرجع!$D$3:$F$12,3)</f>
        <v xml:space="preserve">جيد </v>
      </c>
      <c r="BG57" s="42">
        <f t="shared" si="26"/>
        <v>53</v>
      </c>
    </row>
    <row r="58" spans="2:59" ht="22.75" customHeight="1">
      <c r="B58" s="20">
        <v>2023007</v>
      </c>
      <c r="C58" s="34" t="s">
        <v>140</v>
      </c>
      <c r="D58" s="43">
        <v>1</v>
      </c>
      <c r="E58" s="20">
        <v>90</v>
      </c>
      <c r="F58" s="65">
        <f>VLOOKUP(E58,المرجع!$B$3:$C$12,2)</f>
        <v>4.75</v>
      </c>
      <c r="G58" s="44" t="str">
        <f>VLOOKUP(F58,المرجع!$D$3:$E$12,2)</f>
        <v>أ</v>
      </c>
      <c r="H58" s="40">
        <f t="shared" si="14"/>
        <v>4.75</v>
      </c>
      <c r="I58" s="43">
        <v>3</v>
      </c>
      <c r="J58" s="20">
        <v>60</v>
      </c>
      <c r="K58" s="65">
        <f>VLOOKUP(J58,المرجع!$B$3:$C$12,2)</f>
        <v>2</v>
      </c>
      <c r="L58" s="44" t="str">
        <f>VLOOKUP(K58,المرجع!$D$3:$E$12,2)</f>
        <v>د</v>
      </c>
      <c r="M58" s="40">
        <f t="shared" si="15"/>
        <v>6</v>
      </c>
      <c r="N58" s="43">
        <v>2</v>
      </c>
      <c r="O58" s="20">
        <v>52</v>
      </c>
      <c r="P58" s="65">
        <f>VLOOKUP(O58,المرجع!$B$3:$C$12,2)</f>
        <v>2</v>
      </c>
      <c r="Q58" s="44" t="str">
        <f>VLOOKUP(P58,المرجع!$D$3:$E$12,2)</f>
        <v>د</v>
      </c>
      <c r="R58" s="40">
        <f t="shared" si="16"/>
        <v>4</v>
      </c>
      <c r="S58" s="43">
        <v>2</v>
      </c>
      <c r="T58" s="20">
        <v>93</v>
      </c>
      <c r="U58" s="65">
        <f>VLOOKUP(T58,المرجع!$B$3:$C$12,2)</f>
        <v>4.75</v>
      </c>
      <c r="V58" s="44" t="str">
        <f>VLOOKUP(U58,المرجع!$D$3:$E$12,2)</f>
        <v>أ</v>
      </c>
      <c r="W58" s="40">
        <f t="shared" si="17"/>
        <v>9.5</v>
      </c>
      <c r="X58" s="43">
        <v>3</v>
      </c>
      <c r="Y58" s="20">
        <v>70</v>
      </c>
      <c r="Z58" s="65">
        <f>VLOOKUP(Y58,المرجع!$B$3:$C$12,2)</f>
        <v>3</v>
      </c>
      <c r="AA58" s="44" t="str">
        <f>VLOOKUP(Z58,المرجع!$D$3:$E$12,2)</f>
        <v>ج</v>
      </c>
      <c r="AB58" s="40">
        <f t="shared" si="18"/>
        <v>9</v>
      </c>
      <c r="AC58" s="43">
        <v>3</v>
      </c>
      <c r="AD58" s="20">
        <v>52</v>
      </c>
      <c r="AE58" s="65">
        <f>VLOOKUP(AD58,المرجع!$B$3:$C$12,2)</f>
        <v>2</v>
      </c>
      <c r="AF58" s="44" t="str">
        <f>VLOOKUP(AE58,المرجع!$D$3:$E$12,2)</f>
        <v>د</v>
      </c>
      <c r="AG58" s="40">
        <f t="shared" si="19"/>
        <v>6</v>
      </c>
      <c r="AH58" s="43">
        <v>3</v>
      </c>
      <c r="AI58" s="20">
        <v>50</v>
      </c>
      <c r="AJ58" s="65">
        <f>VLOOKUP(AI58,المرجع!$B$3:$C$12,2)</f>
        <v>2</v>
      </c>
      <c r="AK58" s="44" t="str">
        <f>VLOOKUP(AJ58,المرجع!$D$3:$E$12,2)</f>
        <v>د</v>
      </c>
      <c r="AL58" s="40">
        <f t="shared" si="20"/>
        <v>6</v>
      </c>
      <c r="AM58" s="43">
        <v>2</v>
      </c>
      <c r="AN58" s="20">
        <v>60</v>
      </c>
      <c r="AO58" s="65">
        <f>VLOOKUP(AN58,المرجع!$B$3:$C$12,2)</f>
        <v>2</v>
      </c>
      <c r="AP58" s="44" t="str">
        <f>VLOOKUP(AO58,المرجع!$D$3:$E$12,2)</f>
        <v>د</v>
      </c>
      <c r="AQ58" s="40">
        <f t="shared" si="21"/>
        <v>4</v>
      </c>
      <c r="AR58" s="43">
        <v>2</v>
      </c>
      <c r="AS58" s="20">
        <v>60</v>
      </c>
      <c r="AT58" s="65">
        <f>VLOOKUP(AS58,المرجع!$B$3:$C$12,2)</f>
        <v>2</v>
      </c>
      <c r="AU58" s="44" t="str">
        <f>VLOOKUP(AT58,المرجع!$D$3:$E$12,2)</f>
        <v>د</v>
      </c>
      <c r="AV58" s="40">
        <f t="shared" si="22"/>
        <v>4</v>
      </c>
      <c r="AW58" s="43">
        <v>2</v>
      </c>
      <c r="AX58" s="20">
        <v>50</v>
      </c>
      <c r="AY58" s="65">
        <f>VLOOKUP(AX58,المرجع!$B$3:$C$12,2)</f>
        <v>2</v>
      </c>
      <c r="AZ58" s="44" t="str">
        <f>VLOOKUP(AY58,المرجع!$D$3:$E$12,2)</f>
        <v>د</v>
      </c>
      <c r="BA58" s="40">
        <f t="shared" si="23"/>
        <v>4</v>
      </c>
      <c r="BB58" s="48">
        <f t="shared" si="24"/>
        <v>57.25</v>
      </c>
      <c r="BC58" s="49">
        <f t="shared" si="25"/>
        <v>23</v>
      </c>
      <c r="BD58" s="78">
        <f t="shared" si="13"/>
        <v>2.4891304347826089</v>
      </c>
      <c r="BE58" s="87">
        <f>(BB58+'المستوى الثاني 2023'!BB58+'المستوى الأول 2022'!BL58)/('المستوى الأول 2022'!BM58+'المستوى الثاني 2023'!BC58+'المستوى الثالث ح'!BC58)</f>
        <v>2.8161764705882355</v>
      </c>
      <c r="BF58" s="47" t="str">
        <f>VLOOKUP(BD58,المرجع!$D$3:$F$12,3)</f>
        <v xml:space="preserve">مقبول مرتفع </v>
      </c>
      <c r="BG58" s="42">
        <f t="shared" si="26"/>
        <v>57</v>
      </c>
    </row>
    <row r="59" spans="2:59" ht="22.75" customHeight="1">
      <c r="B59" s="20">
        <v>2023013</v>
      </c>
      <c r="C59" s="34" t="s">
        <v>22</v>
      </c>
      <c r="D59" s="43">
        <v>1</v>
      </c>
      <c r="E59" s="20">
        <v>87</v>
      </c>
      <c r="F59" s="65">
        <f>VLOOKUP(E59,المرجع!$B$3:$C$12,2)</f>
        <v>4.5</v>
      </c>
      <c r="G59" s="44" t="str">
        <f>VLOOKUP(F59,المرجع!$D$3:$E$12,2)</f>
        <v>ب+</v>
      </c>
      <c r="H59" s="40">
        <f t="shared" si="14"/>
        <v>4.5</v>
      </c>
      <c r="I59" s="43">
        <v>3</v>
      </c>
      <c r="J59" s="20">
        <v>56</v>
      </c>
      <c r="K59" s="65">
        <f>VLOOKUP(J59,المرجع!$B$3:$C$12,2)</f>
        <v>2</v>
      </c>
      <c r="L59" s="44" t="str">
        <f>VLOOKUP(K59,المرجع!$D$3:$E$12,2)</f>
        <v>د</v>
      </c>
      <c r="M59" s="40">
        <f t="shared" si="15"/>
        <v>6</v>
      </c>
      <c r="N59" s="43">
        <v>2</v>
      </c>
      <c r="O59" s="20">
        <v>54</v>
      </c>
      <c r="P59" s="65">
        <f>VLOOKUP(O59,المرجع!$B$3:$C$12,2)</f>
        <v>2</v>
      </c>
      <c r="Q59" s="44" t="str">
        <f>VLOOKUP(P59,المرجع!$D$3:$E$12,2)</f>
        <v>د</v>
      </c>
      <c r="R59" s="40">
        <f t="shared" si="16"/>
        <v>4</v>
      </c>
      <c r="S59" s="43">
        <v>2</v>
      </c>
      <c r="T59" s="20">
        <v>85</v>
      </c>
      <c r="U59" s="65">
        <f>VLOOKUP(T59,المرجع!$B$3:$C$12,2)</f>
        <v>4.5</v>
      </c>
      <c r="V59" s="44" t="str">
        <f>VLOOKUP(U59,المرجع!$D$3:$E$12,2)</f>
        <v>ب+</v>
      </c>
      <c r="W59" s="40">
        <f t="shared" si="17"/>
        <v>9</v>
      </c>
      <c r="X59" s="43">
        <v>3</v>
      </c>
      <c r="Y59" s="20">
        <v>65</v>
      </c>
      <c r="Z59" s="65">
        <f>VLOOKUP(Y59,المرجع!$B$3:$C$12,2)</f>
        <v>2.5</v>
      </c>
      <c r="AA59" s="44" t="str">
        <f>VLOOKUP(Z59,المرجع!$D$3:$E$12,2)</f>
        <v>د+</v>
      </c>
      <c r="AB59" s="40">
        <f t="shared" si="18"/>
        <v>7.5</v>
      </c>
      <c r="AC59" s="43">
        <v>3</v>
      </c>
      <c r="AD59" s="20">
        <v>50</v>
      </c>
      <c r="AE59" s="65">
        <f>VLOOKUP(AD59,المرجع!$B$3:$C$12,2)</f>
        <v>2</v>
      </c>
      <c r="AF59" s="44" t="str">
        <f>VLOOKUP(AE59,المرجع!$D$3:$E$12,2)</f>
        <v>د</v>
      </c>
      <c r="AG59" s="40">
        <f t="shared" si="19"/>
        <v>6</v>
      </c>
      <c r="AH59" s="43">
        <v>3</v>
      </c>
      <c r="AI59" s="20">
        <v>50</v>
      </c>
      <c r="AJ59" s="65">
        <f>VLOOKUP(AI59,المرجع!$B$3:$C$12,2)</f>
        <v>2</v>
      </c>
      <c r="AK59" s="44" t="str">
        <f>VLOOKUP(AJ59,المرجع!$D$3:$E$12,2)</f>
        <v>د</v>
      </c>
      <c r="AL59" s="40">
        <f t="shared" si="20"/>
        <v>6</v>
      </c>
      <c r="AM59" s="43">
        <v>2</v>
      </c>
      <c r="AN59" s="20">
        <v>50</v>
      </c>
      <c r="AO59" s="65">
        <f>VLOOKUP(AN59,المرجع!$B$3:$C$12,2)</f>
        <v>2</v>
      </c>
      <c r="AP59" s="44" t="str">
        <f>VLOOKUP(AO59,المرجع!$D$3:$E$12,2)</f>
        <v>د</v>
      </c>
      <c r="AQ59" s="40">
        <f t="shared" si="21"/>
        <v>4</v>
      </c>
      <c r="AR59" s="43">
        <v>2</v>
      </c>
      <c r="AS59" s="20">
        <v>66</v>
      </c>
      <c r="AT59" s="65">
        <f>VLOOKUP(AS59,المرجع!$B$3:$C$12,2)</f>
        <v>2.5</v>
      </c>
      <c r="AU59" s="44" t="str">
        <f>VLOOKUP(AT59,المرجع!$D$3:$E$12,2)</f>
        <v>د+</v>
      </c>
      <c r="AV59" s="40">
        <f t="shared" si="22"/>
        <v>5</v>
      </c>
      <c r="AW59" s="43">
        <v>2</v>
      </c>
      <c r="AX59" s="20">
        <v>50</v>
      </c>
      <c r="AY59" s="65">
        <f>VLOOKUP(AX59,المرجع!$B$3:$C$12,2)</f>
        <v>2</v>
      </c>
      <c r="AZ59" s="44" t="str">
        <f>VLOOKUP(AY59,المرجع!$D$3:$E$12,2)</f>
        <v>د</v>
      </c>
      <c r="BA59" s="40">
        <f t="shared" si="23"/>
        <v>4</v>
      </c>
      <c r="BB59" s="48">
        <f t="shared" si="24"/>
        <v>56</v>
      </c>
      <c r="BC59" s="49">
        <f t="shared" si="25"/>
        <v>23</v>
      </c>
      <c r="BD59" s="78">
        <f t="shared" si="13"/>
        <v>2.4347826086956523</v>
      </c>
      <c r="BE59" s="87">
        <f>(BB59+'المستوى الثاني 2023'!BB59+'المستوى الأول 2022'!BL59)/('المستوى الأول 2022'!BM59+'المستوى الثاني 2023'!BC59+'المستوى الثالث ح'!BC59)</f>
        <v>2.7205882352941178</v>
      </c>
      <c r="BF59" s="47" t="str">
        <f>VLOOKUP(BD59,المرجع!$D$3:$F$12,3)</f>
        <v xml:space="preserve">مقبول مرتفع </v>
      </c>
      <c r="BG59" s="42">
        <f t="shared" si="26"/>
        <v>60</v>
      </c>
    </row>
    <row r="60" spans="2:59" ht="22.75" customHeight="1">
      <c r="B60" s="20">
        <v>2023108</v>
      </c>
      <c r="C60" s="34" t="s">
        <v>68</v>
      </c>
      <c r="D60" s="43">
        <v>1</v>
      </c>
      <c r="E60" s="20">
        <v>80</v>
      </c>
      <c r="F60" s="65">
        <f>VLOOKUP(E60,المرجع!$B$3:$C$12,2)</f>
        <v>4</v>
      </c>
      <c r="G60" s="44" t="str">
        <f>VLOOKUP(F60,المرجع!$D$3:$E$12,2)</f>
        <v>ب</v>
      </c>
      <c r="H60" s="40">
        <f t="shared" si="14"/>
        <v>4</v>
      </c>
      <c r="I60" s="43">
        <v>3</v>
      </c>
      <c r="J60" s="20">
        <v>89</v>
      </c>
      <c r="K60" s="65">
        <f>VLOOKUP(J60,المرجع!$B$3:$C$12,2)</f>
        <v>4.5</v>
      </c>
      <c r="L60" s="44" t="str">
        <f>VLOOKUP(K60,المرجع!$D$3:$E$12,2)</f>
        <v>ب+</v>
      </c>
      <c r="M60" s="40">
        <f t="shared" si="15"/>
        <v>13.5</v>
      </c>
      <c r="N60" s="43">
        <v>2</v>
      </c>
      <c r="O60" s="20">
        <v>59</v>
      </c>
      <c r="P60" s="65">
        <f>VLOOKUP(O60,المرجع!$B$3:$C$12,2)</f>
        <v>2</v>
      </c>
      <c r="Q60" s="44" t="str">
        <f>VLOOKUP(P60,المرجع!$D$3:$E$12,2)</f>
        <v>د</v>
      </c>
      <c r="R60" s="40">
        <f t="shared" si="16"/>
        <v>4</v>
      </c>
      <c r="S60" s="43">
        <v>2</v>
      </c>
      <c r="T60" s="20">
        <v>87</v>
      </c>
      <c r="U60" s="65">
        <f>VLOOKUP(T60,المرجع!$B$3:$C$12,2)</f>
        <v>4.5</v>
      </c>
      <c r="V60" s="44" t="str">
        <f>VLOOKUP(U60,المرجع!$D$3:$E$12,2)</f>
        <v>ب+</v>
      </c>
      <c r="W60" s="40">
        <f t="shared" si="17"/>
        <v>9</v>
      </c>
      <c r="X60" s="43">
        <v>3</v>
      </c>
      <c r="Y60" s="20">
        <v>42</v>
      </c>
      <c r="Z60" s="65">
        <f>VLOOKUP(Y60,المرجع!$B$3:$C$12,2)</f>
        <v>0</v>
      </c>
      <c r="AA60" s="44" t="str">
        <f>VLOOKUP(Z60,المرجع!$D$3:$E$12,2)</f>
        <v>ه</v>
      </c>
      <c r="AB60" s="40">
        <f t="shared" si="18"/>
        <v>0</v>
      </c>
      <c r="AC60" s="43">
        <v>3</v>
      </c>
      <c r="AD60" s="20">
        <v>60</v>
      </c>
      <c r="AE60" s="65">
        <f>VLOOKUP(AD60,المرجع!$B$3:$C$12,2)</f>
        <v>2</v>
      </c>
      <c r="AF60" s="44" t="str">
        <f>VLOOKUP(AE60,المرجع!$D$3:$E$12,2)</f>
        <v>د</v>
      </c>
      <c r="AG60" s="40">
        <f t="shared" si="19"/>
        <v>6</v>
      </c>
      <c r="AH60" s="43">
        <v>3</v>
      </c>
      <c r="AI60" s="20">
        <v>50</v>
      </c>
      <c r="AJ60" s="65">
        <f>VLOOKUP(AI60,المرجع!$B$3:$C$12,2)</f>
        <v>2</v>
      </c>
      <c r="AK60" s="44" t="str">
        <f>VLOOKUP(AJ60,المرجع!$D$3:$E$12,2)</f>
        <v>د</v>
      </c>
      <c r="AL60" s="40">
        <f t="shared" si="20"/>
        <v>6</v>
      </c>
      <c r="AM60" s="43">
        <v>2</v>
      </c>
      <c r="AN60" s="20">
        <v>62</v>
      </c>
      <c r="AO60" s="65">
        <f>VLOOKUP(AN60,المرجع!$B$3:$C$12,2)</f>
        <v>2</v>
      </c>
      <c r="AP60" s="44" t="str">
        <f>VLOOKUP(AO60,المرجع!$D$3:$E$12,2)</f>
        <v>د</v>
      </c>
      <c r="AQ60" s="40">
        <f t="shared" si="21"/>
        <v>4</v>
      </c>
      <c r="AR60" s="43">
        <v>2</v>
      </c>
      <c r="AS60" s="20">
        <v>70</v>
      </c>
      <c r="AT60" s="65">
        <f>VLOOKUP(AS60,المرجع!$B$3:$C$12,2)</f>
        <v>3</v>
      </c>
      <c r="AU60" s="44" t="str">
        <f>VLOOKUP(AT60,المرجع!$D$3:$E$12,2)</f>
        <v>ج</v>
      </c>
      <c r="AV60" s="40">
        <f t="shared" si="22"/>
        <v>6</v>
      </c>
      <c r="AW60" s="43">
        <v>2</v>
      </c>
      <c r="AX60" s="20">
        <v>51</v>
      </c>
      <c r="AY60" s="65">
        <f>VLOOKUP(AX60,المرجع!$B$3:$C$12,2)</f>
        <v>2</v>
      </c>
      <c r="AZ60" s="44" t="str">
        <f>VLOOKUP(AY60,المرجع!$D$3:$E$12,2)</f>
        <v>د</v>
      </c>
      <c r="BA60" s="40">
        <f t="shared" si="23"/>
        <v>4</v>
      </c>
      <c r="BB60" s="48">
        <f t="shared" si="24"/>
        <v>56.5</v>
      </c>
      <c r="BC60" s="49">
        <f t="shared" si="25"/>
        <v>23</v>
      </c>
      <c r="BD60" s="78">
        <f t="shared" si="13"/>
        <v>2.4565217391304346</v>
      </c>
      <c r="BE60" s="87">
        <f>(BB60+'المستوى الثاني 2023'!BB60+'المستوى الأول 2022'!BL60)/('المستوى الأول 2022'!BM60+'المستوى الثاني 2023'!BC60+'المستوى الثالث ح'!BC60)</f>
        <v>2.8308823529411766</v>
      </c>
      <c r="BF60" s="47" t="str">
        <f>VLOOKUP(BD60,المرجع!$D$3:$F$12,3)</f>
        <v xml:space="preserve">مقبول مرتفع </v>
      </c>
      <c r="BG60" s="42">
        <f t="shared" si="26"/>
        <v>58</v>
      </c>
    </row>
    <row r="61" spans="2:59" ht="22.75" customHeight="1">
      <c r="B61" s="20">
        <v>2023070</v>
      </c>
      <c r="C61" s="34" t="s">
        <v>62</v>
      </c>
      <c r="D61" s="43">
        <v>1</v>
      </c>
      <c r="E61" s="20">
        <v>79</v>
      </c>
      <c r="F61" s="65">
        <f>VLOOKUP(E61,المرجع!$B$3:$C$12,2)</f>
        <v>3.5</v>
      </c>
      <c r="G61" s="44" t="str">
        <f>VLOOKUP(F61,المرجع!$D$3:$E$12,2)</f>
        <v>ج+</v>
      </c>
      <c r="H61" s="40">
        <f t="shared" si="14"/>
        <v>3.5</v>
      </c>
      <c r="I61" s="43">
        <v>3</v>
      </c>
      <c r="J61" s="20">
        <v>55</v>
      </c>
      <c r="K61" s="65">
        <f>VLOOKUP(J61,المرجع!$B$3:$C$12,2)</f>
        <v>2</v>
      </c>
      <c r="L61" s="44" t="str">
        <f>VLOOKUP(K61,المرجع!$D$3:$E$12,2)</f>
        <v>د</v>
      </c>
      <c r="M61" s="40">
        <f t="shared" si="15"/>
        <v>6</v>
      </c>
      <c r="N61" s="43">
        <v>2</v>
      </c>
      <c r="O61" s="20">
        <v>50</v>
      </c>
      <c r="P61" s="65">
        <f>VLOOKUP(O61,المرجع!$B$3:$C$12,2)</f>
        <v>2</v>
      </c>
      <c r="Q61" s="44" t="str">
        <f>VLOOKUP(P61,المرجع!$D$3:$E$12,2)</f>
        <v>د</v>
      </c>
      <c r="R61" s="40">
        <f t="shared" si="16"/>
        <v>4</v>
      </c>
      <c r="S61" s="43">
        <v>2</v>
      </c>
      <c r="T61" s="20">
        <v>85</v>
      </c>
      <c r="U61" s="65">
        <f>VLOOKUP(T61,المرجع!$B$3:$C$12,2)</f>
        <v>4.5</v>
      </c>
      <c r="V61" s="44" t="str">
        <f>VLOOKUP(U61,المرجع!$D$3:$E$12,2)</f>
        <v>ب+</v>
      </c>
      <c r="W61" s="40">
        <f t="shared" si="17"/>
        <v>9</v>
      </c>
      <c r="X61" s="43">
        <v>3</v>
      </c>
      <c r="Y61" s="20">
        <v>55</v>
      </c>
      <c r="Z61" s="65">
        <f>VLOOKUP(Y61,المرجع!$B$3:$C$12,2)</f>
        <v>2</v>
      </c>
      <c r="AA61" s="44" t="str">
        <f>VLOOKUP(Z61,المرجع!$D$3:$E$12,2)</f>
        <v>د</v>
      </c>
      <c r="AB61" s="40">
        <f t="shared" si="18"/>
        <v>6</v>
      </c>
      <c r="AC61" s="43">
        <v>3</v>
      </c>
      <c r="AD61" s="20">
        <v>50</v>
      </c>
      <c r="AE61" s="65">
        <f>VLOOKUP(AD61,المرجع!$B$3:$C$12,2)</f>
        <v>2</v>
      </c>
      <c r="AF61" s="44" t="str">
        <f>VLOOKUP(AE61,المرجع!$D$3:$E$12,2)</f>
        <v>د</v>
      </c>
      <c r="AG61" s="40">
        <f t="shared" si="19"/>
        <v>6</v>
      </c>
      <c r="AH61" s="43">
        <v>3</v>
      </c>
      <c r="AI61" s="20">
        <v>50</v>
      </c>
      <c r="AJ61" s="65">
        <f>VLOOKUP(AI61,المرجع!$B$3:$C$12,2)</f>
        <v>2</v>
      </c>
      <c r="AK61" s="44" t="str">
        <f>VLOOKUP(AJ61,المرجع!$D$3:$E$12,2)</f>
        <v>د</v>
      </c>
      <c r="AL61" s="40">
        <f t="shared" si="20"/>
        <v>6</v>
      </c>
      <c r="AM61" s="43">
        <v>2</v>
      </c>
      <c r="AN61" s="20">
        <v>55</v>
      </c>
      <c r="AO61" s="65">
        <f>VLOOKUP(AN61,المرجع!$B$3:$C$12,2)</f>
        <v>2</v>
      </c>
      <c r="AP61" s="44" t="str">
        <f>VLOOKUP(AO61,المرجع!$D$3:$E$12,2)</f>
        <v>د</v>
      </c>
      <c r="AQ61" s="40">
        <f t="shared" si="21"/>
        <v>4</v>
      </c>
      <c r="AR61" s="43">
        <v>2</v>
      </c>
      <c r="AS61" s="20">
        <v>67</v>
      </c>
      <c r="AT61" s="65">
        <f>VLOOKUP(AS61,المرجع!$B$3:$C$12,2)</f>
        <v>2.5</v>
      </c>
      <c r="AU61" s="44" t="str">
        <f>VLOOKUP(AT61,المرجع!$D$3:$E$12,2)</f>
        <v>د+</v>
      </c>
      <c r="AV61" s="40">
        <f t="shared" si="22"/>
        <v>5</v>
      </c>
      <c r="AW61" s="43">
        <v>2</v>
      </c>
      <c r="AX61" s="20">
        <v>79</v>
      </c>
      <c r="AY61" s="65">
        <f>VLOOKUP(AX61,المرجع!$B$3:$C$12,2)</f>
        <v>3.5</v>
      </c>
      <c r="AZ61" s="44" t="str">
        <f>VLOOKUP(AY61,المرجع!$D$3:$E$12,2)</f>
        <v>ج+</v>
      </c>
      <c r="BA61" s="40">
        <f t="shared" si="23"/>
        <v>7</v>
      </c>
      <c r="BB61" s="48">
        <f t="shared" si="24"/>
        <v>56.5</v>
      </c>
      <c r="BC61" s="49">
        <f t="shared" si="25"/>
        <v>23</v>
      </c>
      <c r="BD61" s="78">
        <f t="shared" si="13"/>
        <v>2.4565217391304346</v>
      </c>
      <c r="BE61" s="87">
        <f>(BB61+'المستوى الثاني 2023'!BB61+'المستوى الأول 2022'!BL61)/('المستوى الأول 2022'!BM61+'المستوى الثاني 2023'!BC61+'المستوى الثالث ح'!BC61)</f>
        <v>2.7279411764705883</v>
      </c>
      <c r="BF61" s="47" t="str">
        <f>VLOOKUP(BD61,المرجع!$D$3:$F$12,3)</f>
        <v xml:space="preserve">مقبول مرتفع </v>
      </c>
      <c r="BG61" s="42">
        <f t="shared" si="26"/>
        <v>58</v>
      </c>
    </row>
    <row r="62" spans="2:59" ht="22.75" customHeight="1">
      <c r="B62" s="20">
        <v>2023064</v>
      </c>
      <c r="C62" s="34" t="s">
        <v>77</v>
      </c>
      <c r="D62" s="43">
        <v>1</v>
      </c>
      <c r="E62" s="20">
        <v>87</v>
      </c>
      <c r="F62" s="65">
        <f>VLOOKUP(E62,المرجع!$B$3:$C$12,2)</f>
        <v>4.5</v>
      </c>
      <c r="G62" s="44" t="str">
        <f>VLOOKUP(F62,المرجع!$D$3:$E$12,2)</f>
        <v>ب+</v>
      </c>
      <c r="H62" s="40">
        <f t="shared" si="14"/>
        <v>4.5</v>
      </c>
      <c r="I62" s="43">
        <v>3</v>
      </c>
      <c r="J62" s="20">
        <v>50</v>
      </c>
      <c r="K62" s="65">
        <f>VLOOKUP(J62,المرجع!$B$3:$C$12,2)</f>
        <v>2</v>
      </c>
      <c r="L62" s="44" t="str">
        <f>VLOOKUP(K62,المرجع!$D$3:$E$12,2)</f>
        <v>د</v>
      </c>
      <c r="M62" s="40">
        <f t="shared" si="15"/>
        <v>6</v>
      </c>
      <c r="N62" s="43">
        <v>2</v>
      </c>
      <c r="O62" s="20">
        <v>35</v>
      </c>
      <c r="P62" s="65">
        <f>VLOOKUP(O62,المرجع!$B$3:$C$12,2)</f>
        <v>0</v>
      </c>
      <c r="Q62" s="44" t="str">
        <f>VLOOKUP(P62,المرجع!$D$3:$E$12,2)</f>
        <v>ه</v>
      </c>
      <c r="R62" s="40">
        <f t="shared" si="16"/>
        <v>0</v>
      </c>
      <c r="S62" s="43">
        <v>2</v>
      </c>
      <c r="T62" s="20">
        <v>80</v>
      </c>
      <c r="U62" s="65">
        <f>VLOOKUP(T62,المرجع!$B$3:$C$12,2)</f>
        <v>4</v>
      </c>
      <c r="V62" s="44" t="str">
        <f>VLOOKUP(U62,المرجع!$D$3:$E$12,2)</f>
        <v>ب</v>
      </c>
      <c r="W62" s="40">
        <f t="shared" si="17"/>
        <v>8</v>
      </c>
      <c r="X62" s="43">
        <v>3</v>
      </c>
      <c r="Y62" s="20">
        <v>65</v>
      </c>
      <c r="Z62" s="65">
        <f>VLOOKUP(Y62,المرجع!$B$3:$C$12,2)</f>
        <v>2.5</v>
      </c>
      <c r="AA62" s="44" t="str">
        <f>VLOOKUP(Z62,المرجع!$D$3:$E$12,2)</f>
        <v>د+</v>
      </c>
      <c r="AB62" s="40">
        <f t="shared" si="18"/>
        <v>7.5</v>
      </c>
      <c r="AC62" s="43">
        <v>3</v>
      </c>
      <c r="AD62" s="20">
        <v>50</v>
      </c>
      <c r="AE62" s="65">
        <f>VLOOKUP(AD62,المرجع!$B$3:$C$12,2)</f>
        <v>2</v>
      </c>
      <c r="AF62" s="44" t="str">
        <f>VLOOKUP(AE62,المرجع!$D$3:$E$12,2)</f>
        <v>د</v>
      </c>
      <c r="AG62" s="40">
        <f t="shared" si="19"/>
        <v>6</v>
      </c>
      <c r="AH62" s="43">
        <v>3</v>
      </c>
      <c r="AI62" s="20">
        <v>51</v>
      </c>
      <c r="AJ62" s="65">
        <f>VLOOKUP(AI62,المرجع!$B$3:$C$12,2)</f>
        <v>2</v>
      </c>
      <c r="AK62" s="44" t="str">
        <f>VLOOKUP(AJ62,المرجع!$D$3:$E$12,2)</f>
        <v>د</v>
      </c>
      <c r="AL62" s="40">
        <f t="shared" si="20"/>
        <v>6</v>
      </c>
      <c r="AM62" s="43">
        <v>2</v>
      </c>
      <c r="AN62" s="20">
        <v>50</v>
      </c>
      <c r="AO62" s="65">
        <f>VLOOKUP(AN62,المرجع!$B$3:$C$12,2)</f>
        <v>2</v>
      </c>
      <c r="AP62" s="44" t="str">
        <f>VLOOKUP(AO62,المرجع!$D$3:$E$12,2)</f>
        <v>د</v>
      </c>
      <c r="AQ62" s="40">
        <f t="shared" si="21"/>
        <v>4</v>
      </c>
      <c r="AR62" s="43">
        <v>2</v>
      </c>
      <c r="AS62" s="20">
        <v>76</v>
      </c>
      <c r="AT62" s="65">
        <f>VLOOKUP(AS62,المرجع!$B$3:$C$12,2)</f>
        <v>3.5</v>
      </c>
      <c r="AU62" s="44" t="str">
        <f>VLOOKUP(AT62,المرجع!$D$3:$E$12,2)</f>
        <v>ج+</v>
      </c>
      <c r="AV62" s="40">
        <f t="shared" si="22"/>
        <v>7</v>
      </c>
      <c r="AW62" s="43">
        <v>2</v>
      </c>
      <c r="AX62" s="20">
        <v>72</v>
      </c>
      <c r="AY62" s="65">
        <f>VLOOKUP(AX62,المرجع!$B$3:$C$12,2)</f>
        <v>3</v>
      </c>
      <c r="AZ62" s="44" t="str">
        <f>VLOOKUP(AY62,المرجع!$D$3:$E$12,2)</f>
        <v>ج</v>
      </c>
      <c r="BA62" s="40">
        <f t="shared" si="23"/>
        <v>6</v>
      </c>
      <c r="BB62" s="48">
        <f t="shared" si="24"/>
        <v>55</v>
      </c>
      <c r="BC62" s="49">
        <f t="shared" si="25"/>
        <v>23</v>
      </c>
      <c r="BD62" s="78">
        <f t="shared" si="13"/>
        <v>2.3913043478260869</v>
      </c>
      <c r="BE62" s="87">
        <f>(BB62+'المستوى الثاني 2023'!BB62+'المستوى الأول 2022'!BL62)/('المستوى الأول 2022'!BM62+'المستوى الثاني 2023'!BC62+'المستوى الثالث ح'!BC62)</f>
        <v>2.7720588235294117</v>
      </c>
      <c r="BF62" s="47" t="str">
        <f>VLOOKUP(BD62,المرجع!$D$3:$F$12,3)</f>
        <v xml:space="preserve">مقبول مرتفع </v>
      </c>
      <c r="BG62" s="42">
        <f t="shared" si="26"/>
        <v>61</v>
      </c>
    </row>
    <row r="63" spans="2:59" ht="22.75" customHeight="1">
      <c r="B63" s="20">
        <v>2023024</v>
      </c>
      <c r="C63" s="34" t="s">
        <v>30</v>
      </c>
      <c r="D63" s="43">
        <v>1</v>
      </c>
      <c r="E63" s="20">
        <v>22</v>
      </c>
      <c r="F63" s="65">
        <f>VLOOKUP(E63,المرجع!$B$3:$C$12,2)</f>
        <v>0</v>
      </c>
      <c r="G63" s="44" t="str">
        <f>VLOOKUP(F63,المرجع!$D$3:$E$12,2)</f>
        <v>ه</v>
      </c>
      <c r="H63" s="40">
        <f t="shared" si="14"/>
        <v>0</v>
      </c>
      <c r="I63" s="43">
        <v>3</v>
      </c>
      <c r="J63" s="20">
        <v>65</v>
      </c>
      <c r="K63" s="65">
        <f>VLOOKUP(J63,المرجع!$B$3:$C$12,2)</f>
        <v>2.5</v>
      </c>
      <c r="L63" s="44" t="str">
        <f>VLOOKUP(K63,المرجع!$D$3:$E$12,2)</f>
        <v>د+</v>
      </c>
      <c r="M63" s="40">
        <f t="shared" si="15"/>
        <v>7.5</v>
      </c>
      <c r="N63" s="43">
        <v>2</v>
      </c>
      <c r="O63" s="20">
        <v>58</v>
      </c>
      <c r="P63" s="65">
        <f>VLOOKUP(O63,المرجع!$B$3:$C$12,2)</f>
        <v>2</v>
      </c>
      <c r="Q63" s="44" t="str">
        <f>VLOOKUP(P63,المرجع!$D$3:$E$12,2)</f>
        <v>د</v>
      </c>
      <c r="R63" s="40">
        <f t="shared" si="16"/>
        <v>4</v>
      </c>
      <c r="S63" s="43">
        <v>2</v>
      </c>
      <c r="T63" s="20">
        <v>83</v>
      </c>
      <c r="U63" s="65">
        <f>VLOOKUP(T63,المرجع!$B$3:$C$12,2)</f>
        <v>4</v>
      </c>
      <c r="V63" s="44" t="str">
        <f>VLOOKUP(U63,المرجع!$D$3:$E$12,2)</f>
        <v>ب</v>
      </c>
      <c r="W63" s="40">
        <f t="shared" si="17"/>
        <v>8</v>
      </c>
      <c r="X63" s="43">
        <v>3</v>
      </c>
      <c r="Y63" s="20">
        <v>65</v>
      </c>
      <c r="Z63" s="65">
        <f>VLOOKUP(Y63,المرجع!$B$3:$C$12,2)</f>
        <v>2.5</v>
      </c>
      <c r="AA63" s="44" t="str">
        <f>VLOOKUP(Z63,المرجع!$D$3:$E$12,2)</f>
        <v>د+</v>
      </c>
      <c r="AB63" s="40">
        <f t="shared" si="18"/>
        <v>7.5</v>
      </c>
      <c r="AC63" s="43">
        <v>3</v>
      </c>
      <c r="AD63" s="20">
        <v>50</v>
      </c>
      <c r="AE63" s="65">
        <f>VLOOKUP(AD63,المرجع!$B$3:$C$12,2)</f>
        <v>2</v>
      </c>
      <c r="AF63" s="44" t="str">
        <f>VLOOKUP(AE63,المرجع!$D$3:$E$12,2)</f>
        <v>د</v>
      </c>
      <c r="AG63" s="40">
        <f t="shared" si="19"/>
        <v>6</v>
      </c>
      <c r="AH63" s="43">
        <v>3</v>
      </c>
      <c r="AI63" s="20">
        <v>50</v>
      </c>
      <c r="AJ63" s="65">
        <f>VLOOKUP(AI63,المرجع!$B$3:$C$12,2)</f>
        <v>2</v>
      </c>
      <c r="AK63" s="44" t="str">
        <f>VLOOKUP(AJ63,المرجع!$D$3:$E$12,2)</f>
        <v>د</v>
      </c>
      <c r="AL63" s="40">
        <f t="shared" si="20"/>
        <v>6</v>
      </c>
      <c r="AM63" s="43">
        <v>2</v>
      </c>
      <c r="AN63" s="20">
        <v>50</v>
      </c>
      <c r="AO63" s="65">
        <f>VLOOKUP(AN63,المرجع!$B$3:$C$12,2)</f>
        <v>2</v>
      </c>
      <c r="AP63" s="44" t="str">
        <f>VLOOKUP(AO63,المرجع!$D$3:$E$12,2)</f>
        <v>د</v>
      </c>
      <c r="AQ63" s="40">
        <f t="shared" si="21"/>
        <v>4</v>
      </c>
      <c r="AR63" s="43">
        <v>2</v>
      </c>
      <c r="AS63" s="20">
        <v>77</v>
      </c>
      <c r="AT63" s="65">
        <f>VLOOKUP(AS63,المرجع!$B$3:$C$12,2)</f>
        <v>3.5</v>
      </c>
      <c r="AU63" s="44" t="str">
        <f>VLOOKUP(AT63,المرجع!$D$3:$E$12,2)</f>
        <v>ج+</v>
      </c>
      <c r="AV63" s="40">
        <f t="shared" si="22"/>
        <v>7</v>
      </c>
      <c r="AW63" s="43">
        <v>2</v>
      </c>
      <c r="AX63" s="20">
        <v>88</v>
      </c>
      <c r="AY63" s="65">
        <f>VLOOKUP(AX63,المرجع!$B$3:$C$12,2)</f>
        <v>4.5</v>
      </c>
      <c r="AZ63" s="44" t="str">
        <f>VLOOKUP(AY63,المرجع!$D$3:$E$12,2)</f>
        <v>ب+</v>
      </c>
      <c r="BA63" s="40">
        <f t="shared" si="23"/>
        <v>9</v>
      </c>
      <c r="BB63" s="48">
        <f t="shared" si="24"/>
        <v>59</v>
      </c>
      <c r="BC63" s="49">
        <f t="shared" si="25"/>
        <v>23</v>
      </c>
      <c r="BD63" s="78">
        <f t="shared" si="13"/>
        <v>2.5652173913043477</v>
      </c>
      <c r="BE63" s="87">
        <f>(BB63+'المستوى الثاني 2023'!BB63+'المستوى الأول 2022'!BL63)/('المستوى الأول 2022'!BM63+'المستوى الثاني 2023'!BC63+'المستوى الثالث ح'!BC63)</f>
        <v>2.8970588235294117</v>
      </c>
      <c r="BF63" s="47" t="str">
        <f>VLOOKUP(BD63,المرجع!$D$3:$F$12,3)</f>
        <v xml:space="preserve">مقبول مرتفع </v>
      </c>
      <c r="BG63" s="42">
        <f t="shared" si="26"/>
        <v>56</v>
      </c>
    </row>
    <row r="64" spans="2:59" ht="22.75" customHeight="1">
      <c r="B64" s="20">
        <v>2023068</v>
      </c>
      <c r="C64" s="34" t="s">
        <v>63</v>
      </c>
      <c r="D64" s="43">
        <v>1</v>
      </c>
      <c r="E64" s="20">
        <v>86</v>
      </c>
      <c r="F64" s="65">
        <f>VLOOKUP(E64,المرجع!$B$3:$C$12,2)</f>
        <v>4.5</v>
      </c>
      <c r="G64" s="44" t="str">
        <f>VLOOKUP(F64,المرجع!$D$3:$E$12,2)</f>
        <v>ب+</v>
      </c>
      <c r="H64" s="40">
        <f t="shared" si="14"/>
        <v>4.5</v>
      </c>
      <c r="I64" s="43">
        <v>3</v>
      </c>
      <c r="J64" s="20">
        <v>69</v>
      </c>
      <c r="K64" s="65">
        <f>VLOOKUP(J64,المرجع!$B$3:$C$12,2)</f>
        <v>2.5</v>
      </c>
      <c r="L64" s="44" t="str">
        <f>VLOOKUP(K64,المرجع!$D$3:$E$12,2)</f>
        <v>د+</v>
      </c>
      <c r="M64" s="40">
        <f t="shared" si="15"/>
        <v>7.5</v>
      </c>
      <c r="N64" s="43">
        <v>2</v>
      </c>
      <c r="O64" s="20">
        <v>55</v>
      </c>
      <c r="P64" s="65">
        <f>VLOOKUP(O64,المرجع!$B$3:$C$12,2)</f>
        <v>2</v>
      </c>
      <c r="Q64" s="44" t="str">
        <f>VLOOKUP(P64,المرجع!$D$3:$E$12,2)</f>
        <v>د</v>
      </c>
      <c r="R64" s="40">
        <f t="shared" si="16"/>
        <v>4</v>
      </c>
      <c r="S64" s="43">
        <v>2</v>
      </c>
      <c r="T64" s="20">
        <v>55</v>
      </c>
      <c r="U64" s="65">
        <f>VLOOKUP(T64,المرجع!$B$3:$C$12,2)</f>
        <v>2</v>
      </c>
      <c r="V64" s="44" t="str">
        <f>VLOOKUP(U64,المرجع!$D$3:$E$12,2)</f>
        <v>د</v>
      </c>
      <c r="W64" s="40">
        <f t="shared" si="17"/>
        <v>4</v>
      </c>
      <c r="X64" s="43">
        <v>3</v>
      </c>
      <c r="Y64" s="20">
        <v>70</v>
      </c>
      <c r="Z64" s="65">
        <f>VLOOKUP(Y64,المرجع!$B$3:$C$12,2)</f>
        <v>3</v>
      </c>
      <c r="AA64" s="44" t="str">
        <f>VLOOKUP(Z64,المرجع!$D$3:$E$12,2)</f>
        <v>ج</v>
      </c>
      <c r="AB64" s="40">
        <f t="shared" si="18"/>
        <v>9</v>
      </c>
      <c r="AC64" s="43">
        <v>3</v>
      </c>
      <c r="AD64" s="20">
        <v>50</v>
      </c>
      <c r="AE64" s="65">
        <f>VLOOKUP(AD64,المرجع!$B$3:$C$12,2)</f>
        <v>2</v>
      </c>
      <c r="AF64" s="44" t="str">
        <f>VLOOKUP(AE64,المرجع!$D$3:$E$12,2)</f>
        <v>د</v>
      </c>
      <c r="AG64" s="40">
        <f t="shared" si="19"/>
        <v>6</v>
      </c>
      <c r="AH64" s="43">
        <v>3</v>
      </c>
      <c r="AI64" s="20">
        <v>55</v>
      </c>
      <c r="AJ64" s="65">
        <f>VLOOKUP(AI64,المرجع!$B$3:$C$12,2)</f>
        <v>2</v>
      </c>
      <c r="AK64" s="44" t="str">
        <f>VLOOKUP(AJ64,المرجع!$D$3:$E$12,2)</f>
        <v>د</v>
      </c>
      <c r="AL64" s="40">
        <f t="shared" si="20"/>
        <v>6</v>
      </c>
      <c r="AM64" s="43">
        <v>2</v>
      </c>
      <c r="AN64" s="20">
        <v>50</v>
      </c>
      <c r="AO64" s="65">
        <f>VLOOKUP(AN64,المرجع!$B$3:$C$12,2)</f>
        <v>2</v>
      </c>
      <c r="AP64" s="44" t="str">
        <f>VLOOKUP(AO64,المرجع!$D$3:$E$12,2)</f>
        <v>د</v>
      </c>
      <c r="AQ64" s="40">
        <f t="shared" si="21"/>
        <v>4</v>
      </c>
      <c r="AR64" s="43">
        <v>2</v>
      </c>
      <c r="AS64" s="20">
        <v>64</v>
      </c>
      <c r="AT64" s="65">
        <f>VLOOKUP(AS64,المرجع!$B$3:$C$12,2)</f>
        <v>2</v>
      </c>
      <c r="AU64" s="44" t="str">
        <f>VLOOKUP(AT64,المرجع!$D$3:$E$12,2)</f>
        <v>د</v>
      </c>
      <c r="AV64" s="40">
        <f t="shared" si="22"/>
        <v>4</v>
      </c>
      <c r="AW64" s="43">
        <v>2</v>
      </c>
      <c r="AX64" s="20">
        <v>57</v>
      </c>
      <c r="AY64" s="65">
        <f>VLOOKUP(AX64,المرجع!$B$3:$C$12,2)</f>
        <v>2</v>
      </c>
      <c r="AZ64" s="44" t="str">
        <f>VLOOKUP(AY64,المرجع!$D$3:$E$12,2)</f>
        <v>د</v>
      </c>
      <c r="BA64" s="40">
        <f t="shared" si="23"/>
        <v>4</v>
      </c>
      <c r="BB64" s="48">
        <f t="shared" si="24"/>
        <v>53</v>
      </c>
      <c r="BC64" s="49">
        <f t="shared" si="25"/>
        <v>23</v>
      </c>
      <c r="BD64" s="78">
        <f t="shared" si="13"/>
        <v>2.3043478260869565</v>
      </c>
      <c r="BE64" s="87">
        <f>(BB64+'المستوى الثاني 2023'!BB64+'المستوى الأول 2022'!BL64)/('المستوى الأول 2022'!BM64+'المستوى الثاني 2023'!BC64+'المستوى الثالث ح'!BC64)</f>
        <v>2.7867647058823528</v>
      </c>
      <c r="BF64" s="47" t="str">
        <f>VLOOKUP(BD64,المرجع!$D$3:$F$12,3)</f>
        <v xml:space="preserve">مقبول مرتفع </v>
      </c>
      <c r="BG64" s="42">
        <f t="shared" si="26"/>
        <v>63</v>
      </c>
    </row>
    <row r="65" spans="2:59" ht="22.75" customHeight="1">
      <c r="B65" s="20">
        <v>2023093</v>
      </c>
      <c r="C65" s="34" t="s">
        <v>78</v>
      </c>
      <c r="D65" s="43">
        <v>1</v>
      </c>
      <c r="E65" s="20">
        <v>87</v>
      </c>
      <c r="F65" s="65">
        <f>VLOOKUP(E65,المرجع!$B$3:$C$12,2)</f>
        <v>4.5</v>
      </c>
      <c r="G65" s="44" t="str">
        <f>VLOOKUP(F65,المرجع!$D$3:$E$12,2)</f>
        <v>ب+</v>
      </c>
      <c r="H65" s="40">
        <f t="shared" si="14"/>
        <v>4.5</v>
      </c>
      <c r="I65" s="43">
        <v>3</v>
      </c>
      <c r="J65" s="20">
        <v>50</v>
      </c>
      <c r="K65" s="65">
        <f>VLOOKUP(J65,المرجع!$B$3:$C$12,2)</f>
        <v>2</v>
      </c>
      <c r="L65" s="44" t="str">
        <f>VLOOKUP(K65,المرجع!$D$3:$E$12,2)</f>
        <v>د</v>
      </c>
      <c r="M65" s="40">
        <f t="shared" si="15"/>
        <v>6</v>
      </c>
      <c r="N65" s="43">
        <v>2</v>
      </c>
      <c r="O65" s="20">
        <v>51</v>
      </c>
      <c r="P65" s="65">
        <f>VLOOKUP(O65,المرجع!$B$3:$C$12,2)</f>
        <v>2</v>
      </c>
      <c r="Q65" s="44" t="str">
        <f>VLOOKUP(P65,المرجع!$D$3:$E$12,2)</f>
        <v>د</v>
      </c>
      <c r="R65" s="40">
        <f t="shared" si="16"/>
        <v>4</v>
      </c>
      <c r="S65" s="43">
        <v>2</v>
      </c>
      <c r="T65" s="20">
        <v>80</v>
      </c>
      <c r="U65" s="65">
        <f>VLOOKUP(T65,المرجع!$B$3:$C$12,2)</f>
        <v>4</v>
      </c>
      <c r="V65" s="44" t="str">
        <f>VLOOKUP(U65,المرجع!$D$3:$E$12,2)</f>
        <v>ب</v>
      </c>
      <c r="W65" s="40">
        <f t="shared" si="17"/>
        <v>8</v>
      </c>
      <c r="X65" s="43">
        <v>3</v>
      </c>
      <c r="Y65" s="20">
        <v>69</v>
      </c>
      <c r="Z65" s="65">
        <f>VLOOKUP(Y65,المرجع!$B$3:$C$12,2)</f>
        <v>2.5</v>
      </c>
      <c r="AA65" s="44" t="str">
        <f>VLOOKUP(Z65,المرجع!$D$3:$E$12,2)</f>
        <v>د+</v>
      </c>
      <c r="AB65" s="40">
        <f t="shared" si="18"/>
        <v>7.5</v>
      </c>
      <c r="AC65" s="43">
        <v>3</v>
      </c>
      <c r="AD65" s="20">
        <v>25</v>
      </c>
      <c r="AE65" s="65">
        <f>VLOOKUP(AD65,المرجع!$B$3:$C$12,2)</f>
        <v>0</v>
      </c>
      <c r="AF65" s="44" t="str">
        <f>VLOOKUP(AE65,المرجع!$D$3:$E$12,2)</f>
        <v>ه</v>
      </c>
      <c r="AG65" s="40">
        <f t="shared" si="19"/>
        <v>0</v>
      </c>
      <c r="AH65" s="43">
        <v>3</v>
      </c>
      <c r="AI65" s="20">
        <v>50</v>
      </c>
      <c r="AJ65" s="65">
        <f>VLOOKUP(AI65,المرجع!$B$3:$C$12,2)</f>
        <v>2</v>
      </c>
      <c r="AK65" s="44" t="str">
        <f>VLOOKUP(AJ65,المرجع!$D$3:$E$12,2)</f>
        <v>د</v>
      </c>
      <c r="AL65" s="40">
        <f t="shared" si="20"/>
        <v>6</v>
      </c>
      <c r="AM65" s="43">
        <v>2</v>
      </c>
      <c r="AN65" s="20">
        <v>50</v>
      </c>
      <c r="AO65" s="65">
        <f>VLOOKUP(AN65,المرجع!$B$3:$C$12,2)</f>
        <v>2</v>
      </c>
      <c r="AP65" s="44" t="str">
        <f>VLOOKUP(AO65,المرجع!$D$3:$E$12,2)</f>
        <v>د</v>
      </c>
      <c r="AQ65" s="40">
        <f t="shared" si="21"/>
        <v>4</v>
      </c>
      <c r="AR65" s="43">
        <v>2</v>
      </c>
      <c r="AS65" s="20">
        <v>68</v>
      </c>
      <c r="AT65" s="65">
        <f>VLOOKUP(AS65,المرجع!$B$3:$C$12,2)</f>
        <v>2.5</v>
      </c>
      <c r="AU65" s="44" t="str">
        <f>VLOOKUP(AT65,المرجع!$D$3:$E$12,2)</f>
        <v>د+</v>
      </c>
      <c r="AV65" s="40">
        <f t="shared" si="22"/>
        <v>5</v>
      </c>
      <c r="AW65" s="43">
        <v>2</v>
      </c>
      <c r="AX65" s="20">
        <v>50</v>
      </c>
      <c r="AY65" s="65">
        <f>VLOOKUP(AX65,المرجع!$B$3:$C$12,2)</f>
        <v>2</v>
      </c>
      <c r="AZ65" s="44" t="str">
        <f>VLOOKUP(AY65,المرجع!$D$3:$E$12,2)</f>
        <v>د</v>
      </c>
      <c r="BA65" s="40">
        <f t="shared" si="23"/>
        <v>4</v>
      </c>
      <c r="BB65" s="48">
        <f t="shared" si="24"/>
        <v>49</v>
      </c>
      <c r="BC65" s="49">
        <f t="shared" si="25"/>
        <v>23</v>
      </c>
      <c r="BD65" s="78">
        <f t="shared" si="13"/>
        <v>2.1304347826086958</v>
      </c>
      <c r="BE65" s="87">
        <f>(BB65+'المستوى الثاني 2023'!BB65+'المستوى الأول 2022'!BL65)/('المستوى الأول 2022'!BM65+'المستوى الثاني 2023'!BC65+'المستوى الثالث ح'!BC65)</f>
        <v>2.4338235294117645</v>
      </c>
      <c r="BF65" s="47" t="str">
        <f>VLOOKUP(BD65,المرجع!$D$3:$F$12,3)</f>
        <v xml:space="preserve">مقبول مرتفع </v>
      </c>
      <c r="BG65" s="42">
        <f t="shared" si="26"/>
        <v>66</v>
      </c>
    </row>
    <row r="66" spans="2:59" ht="22.75" customHeight="1">
      <c r="B66" s="20">
        <v>2023052</v>
      </c>
      <c r="C66" s="34" t="s">
        <v>28</v>
      </c>
      <c r="D66" s="43">
        <v>1</v>
      </c>
      <c r="E66" s="20">
        <v>30</v>
      </c>
      <c r="F66" s="65">
        <f>VLOOKUP(E66,المرجع!$B$3:$C$12,2)</f>
        <v>0</v>
      </c>
      <c r="G66" s="44" t="str">
        <f>VLOOKUP(F66,المرجع!$D$3:$E$12,2)</f>
        <v>ه</v>
      </c>
      <c r="H66" s="40">
        <f t="shared" si="14"/>
        <v>0</v>
      </c>
      <c r="I66" s="43">
        <v>3</v>
      </c>
      <c r="J66" s="20">
        <v>86</v>
      </c>
      <c r="K66" s="65">
        <f>VLOOKUP(J66,المرجع!$B$3:$C$12,2)</f>
        <v>4.5</v>
      </c>
      <c r="L66" s="44" t="str">
        <f>VLOOKUP(K66,المرجع!$D$3:$E$12,2)</f>
        <v>ب+</v>
      </c>
      <c r="M66" s="40">
        <f t="shared" si="15"/>
        <v>13.5</v>
      </c>
      <c r="N66" s="43">
        <v>2</v>
      </c>
      <c r="O66" s="20">
        <v>62</v>
      </c>
      <c r="P66" s="65">
        <f>VLOOKUP(O66,المرجع!$B$3:$C$12,2)</f>
        <v>2</v>
      </c>
      <c r="Q66" s="44" t="str">
        <f>VLOOKUP(P66,المرجع!$D$3:$E$12,2)</f>
        <v>د</v>
      </c>
      <c r="R66" s="40">
        <f t="shared" si="16"/>
        <v>4</v>
      </c>
      <c r="S66" s="43">
        <v>2</v>
      </c>
      <c r="T66" s="20">
        <v>91</v>
      </c>
      <c r="U66" s="65">
        <f>VLOOKUP(T66,المرجع!$B$3:$C$12,2)</f>
        <v>4.75</v>
      </c>
      <c r="V66" s="44" t="str">
        <f>VLOOKUP(U66,المرجع!$D$3:$E$12,2)</f>
        <v>أ</v>
      </c>
      <c r="W66" s="40">
        <f t="shared" si="17"/>
        <v>9.5</v>
      </c>
      <c r="X66" s="43">
        <v>3</v>
      </c>
      <c r="Y66" s="20">
        <v>69</v>
      </c>
      <c r="Z66" s="65">
        <f>VLOOKUP(Y66,المرجع!$B$3:$C$12,2)</f>
        <v>2.5</v>
      </c>
      <c r="AA66" s="44" t="str">
        <f>VLOOKUP(Z66,المرجع!$D$3:$E$12,2)</f>
        <v>د+</v>
      </c>
      <c r="AB66" s="40">
        <f t="shared" si="18"/>
        <v>7.5</v>
      </c>
      <c r="AC66" s="43">
        <v>3</v>
      </c>
      <c r="AD66" s="20">
        <v>47</v>
      </c>
      <c r="AE66" s="65">
        <f>VLOOKUP(AD66,المرجع!$B$3:$C$12,2)</f>
        <v>0</v>
      </c>
      <c r="AF66" s="44" t="str">
        <f>VLOOKUP(AE66,المرجع!$D$3:$E$12,2)</f>
        <v>ه</v>
      </c>
      <c r="AG66" s="40">
        <f t="shared" si="19"/>
        <v>0</v>
      </c>
      <c r="AH66" s="43">
        <v>3</v>
      </c>
      <c r="AI66" s="20">
        <v>50</v>
      </c>
      <c r="AJ66" s="65">
        <f>VLOOKUP(AI66,المرجع!$B$3:$C$12,2)</f>
        <v>2</v>
      </c>
      <c r="AK66" s="44" t="str">
        <f>VLOOKUP(AJ66,المرجع!$D$3:$E$12,2)</f>
        <v>د</v>
      </c>
      <c r="AL66" s="40">
        <f t="shared" si="20"/>
        <v>6</v>
      </c>
      <c r="AM66" s="43">
        <v>2</v>
      </c>
      <c r="AN66" s="20">
        <v>55</v>
      </c>
      <c r="AO66" s="65">
        <f>VLOOKUP(AN66,المرجع!$B$3:$C$12,2)</f>
        <v>2</v>
      </c>
      <c r="AP66" s="44" t="str">
        <f>VLOOKUP(AO66,المرجع!$D$3:$E$12,2)</f>
        <v>د</v>
      </c>
      <c r="AQ66" s="40">
        <f t="shared" si="21"/>
        <v>4</v>
      </c>
      <c r="AR66" s="43">
        <v>2</v>
      </c>
      <c r="AS66" s="20">
        <v>67</v>
      </c>
      <c r="AT66" s="65">
        <f>VLOOKUP(AS66,المرجع!$B$3:$C$12,2)</f>
        <v>2.5</v>
      </c>
      <c r="AU66" s="44" t="str">
        <f>VLOOKUP(AT66,المرجع!$D$3:$E$12,2)</f>
        <v>د+</v>
      </c>
      <c r="AV66" s="40">
        <f t="shared" si="22"/>
        <v>5</v>
      </c>
      <c r="AW66" s="43">
        <v>2</v>
      </c>
      <c r="AX66" s="20">
        <v>53</v>
      </c>
      <c r="AY66" s="65">
        <f>VLOOKUP(AX66,المرجع!$B$3:$C$12,2)</f>
        <v>2</v>
      </c>
      <c r="AZ66" s="44" t="str">
        <f>VLOOKUP(AY66,المرجع!$D$3:$E$12,2)</f>
        <v>د</v>
      </c>
      <c r="BA66" s="40">
        <f t="shared" si="23"/>
        <v>4</v>
      </c>
      <c r="BB66" s="48">
        <f t="shared" si="24"/>
        <v>53.5</v>
      </c>
      <c r="BC66" s="49">
        <f t="shared" si="25"/>
        <v>23</v>
      </c>
      <c r="BD66" s="78">
        <f t="shared" si="13"/>
        <v>2.3260869565217392</v>
      </c>
      <c r="BE66" s="87">
        <f>(BB66+'المستوى الثاني 2023'!BB66+'المستوى الأول 2022'!BL66)/('المستوى الأول 2022'!BM66+'المستوى الثاني 2023'!BC66+'المستوى الثالث ح'!BC66)</f>
        <v>2.4448529411764706</v>
      </c>
      <c r="BF66" s="47" t="str">
        <f>VLOOKUP(BD66,المرجع!$D$3:$F$12,3)</f>
        <v xml:space="preserve">مقبول مرتفع </v>
      </c>
      <c r="BG66" s="42">
        <f t="shared" si="26"/>
        <v>62</v>
      </c>
    </row>
    <row r="67" spans="2:59" ht="22.75" customHeight="1">
      <c r="B67" s="20">
        <v>2023106</v>
      </c>
      <c r="C67" s="34" t="s">
        <v>80</v>
      </c>
      <c r="D67" s="43">
        <v>1</v>
      </c>
      <c r="E67" s="20">
        <v>77</v>
      </c>
      <c r="F67" s="65">
        <f>VLOOKUP(E67,المرجع!$B$3:$C$12,2)</f>
        <v>3.5</v>
      </c>
      <c r="G67" s="44" t="str">
        <f>VLOOKUP(F67,المرجع!$D$3:$E$12,2)</f>
        <v>ج+</v>
      </c>
      <c r="H67" s="40">
        <f t="shared" ref="H67:H77" si="27">F67*D67</f>
        <v>3.5</v>
      </c>
      <c r="I67" s="43">
        <v>3</v>
      </c>
      <c r="J67" s="20">
        <v>55</v>
      </c>
      <c r="K67" s="65">
        <f>VLOOKUP(J67,المرجع!$B$3:$C$12,2)</f>
        <v>2</v>
      </c>
      <c r="L67" s="44" t="str">
        <f>VLOOKUP(K67,المرجع!$D$3:$E$12,2)</f>
        <v>د</v>
      </c>
      <c r="M67" s="40">
        <f t="shared" ref="M67:M77" si="28">K67*I67</f>
        <v>6</v>
      </c>
      <c r="N67" s="43">
        <v>2</v>
      </c>
      <c r="O67" s="20">
        <v>50</v>
      </c>
      <c r="P67" s="65">
        <f>VLOOKUP(O67,المرجع!$B$3:$C$12,2)</f>
        <v>2</v>
      </c>
      <c r="Q67" s="44" t="str">
        <f>VLOOKUP(P67,المرجع!$D$3:$E$12,2)</f>
        <v>د</v>
      </c>
      <c r="R67" s="40">
        <f t="shared" ref="R67:R77" si="29">P67*N67</f>
        <v>4</v>
      </c>
      <c r="S67" s="43">
        <v>2</v>
      </c>
      <c r="T67" s="20">
        <v>91</v>
      </c>
      <c r="U67" s="65">
        <f>VLOOKUP(T67,المرجع!$B$3:$C$12,2)</f>
        <v>4.75</v>
      </c>
      <c r="V67" s="44" t="str">
        <f>VLOOKUP(U67,المرجع!$D$3:$E$12,2)</f>
        <v>أ</v>
      </c>
      <c r="W67" s="40">
        <f t="shared" ref="W67:W77" si="30">U67*S67</f>
        <v>9.5</v>
      </c>
      <c r="X67" s="43">
        <v>3</v>
      </c>
      <c r="Y67" s="20">
        <v>57</v>
      </c>
      <c r="Z67" s="65">
        <f>VLOOKUP(Y67,المرجع!$B$3:$C$12,2)</f>
        <v>2</v>
      </c>
      <c r="AA67" s="44" t="str">
        <f>VLOOKUP(Z67,المرجع!$D$3:$E$12,2)</f>
        <v>د</v>
      </c>
      <c r="AB67" s="40">
        <f t="shared" ref="AB67:AB77" si="31">Z67*X67</f>
        <v>6</v>
      </c>
      <c r="AC67" s="43">
        <v>3</v>
      </c>
      <c r="AD67" s="20">
        <v>50</v>
      </c>
      <c r="AE67" s="65">
        <f>VLOOKUP(AD67,المرجع!$B$3:$C$12,2)</f>
        <v>2</v>
      </c>
      <c r="AF67" s="44" t="str">
        <f>VLOOKUP(AE67,المرجع!$D$3:$E$12,2)</f>
        <v>د</v>
      </c>
      <c r="AG67" s="40">
        <f t="shared" ref="AG67:AG77" si="32">AE67*AC67</f>
        <v>6</v>
      </c>
      <c r="AH67" s="43">
        <v>3</v>
      </c>
      <c r="AI67" s="20">
        <v>46</v>
      </c>
      <c r="AJ67" s="65">
        <f>VLOOKUP(AI67,المرجع!$B$3:$C$12,2)</f>
        <v>0</v>
      </c>
      <c r="AK67" s="44" t="str">
        <f>VLOOKUP(AJ67,المرجع!$D$3:$E$12,2)</f>
        <v>ه</v>
      </c>
      <c r="AL67" s="40">
        <f t="shared" ref="AL67:AL77" si="33">AJ67*AH67</f>
        <v>0</v>
      </c>
      <c r="AM67" s="43">
        <v>2</v>
      </c>
      <c r="AN67" s="20">
        <v>55</v>
      </c>
      <c r="AO67" s="65">
        <f>VLOOKUP(AN67,المرجع!$B$3:$C$12,2)</f>
        <v>2</v>
      </c>
      <c r="AP67" s="44" t="str">
        <f>VLOOKUP(AO67,المرجع!$D$3:$E$12,2)</f>
        <v>د</v>
      </c>
      <c r="AQ67" s="40">
        <f t="shared" ref="AQ67:AQ77" si="34">AO67*AM67</f>
        <v>4</v>
      </c>
      <c r="AR67" s="43">
        <v>2</v>
      </c>
      <c r="AS67" s="20">
        <v>72</v>
      </c>
      <c r="AT67" s="65">
        <f>VLOOKUP(AS67,المرجع!$B$3:$C$12,2)</f>
        <v>3</v>
      </c>
      <c r="AU67" s="44" t="str">
        <f>VLOOKUP(AT67,المرجع!$D$3:$E$12,2)</f>
        <v>ج</v>
      </c>
      <c r="AV67" s="40">
        <f t="shared" ref="AV67:AV77" si="35">AT67*AR67</f>
        <v>6</v>
      </c>
      <c r="AW67" s="43">
        <v>2</v>
      </c>
      <c r="AX67" s="20">
        <v>58</v>
      </c>
      <c r="AY67" s="65">
        <f>VLOOKUP(AX67,المرجع!$B$3:$C$12,2)</f>
        <v>2</v>
      </c>
      <c r="AZ67" s="44" t="str">
        <f>VLOOKUP(AY67,المرجع!$D$3:$E$12,2)</f>
        <v>د</v>
      </c>
      <c r="BA67" s="40">
        <f t="shared" ref="BA67:BA77" si="36">AY67*AW67</f>
        <v>4</v>
      </c>
      <c r="BB67" s="48">
        <f t="shared" ref="BB67:BB77" si="37">BA67+AV67+AQ67+AL67+AG67+AB67+W67+R67+M67+H67</f>
        <v>49</v>
      </c>
      <c r="BC67" s="49">
        <f t="shared" ref="BC67:BC77" si="38">AW67+AR67+AM67+AH67+AC67+X67+S67+N67+I67+D67</f>
        <v>23</v>
      </c>
      <c r="BD67" s="78">
        <f t="shared" si="13"/>
        <v>2.1304347826086958</v>
      </c>
      <c r="BE67" s="87">
        <f>(BB67+'المستوى الثاني 2023'!BB67+'المستوى الأول 2022'!BL67)/('المستوى الأول 2022'!BM67+'المستوى الثاني 2023'!BC67+'المستوى الثالث ح'!BC67)</f>
        <v>2.3786764705882355</v>
      </c>
      <c r="BF67" s="47" t="str">
        <f>VLOOKUP(BD67,المرجع!$D$3:$F$12,3)</f>
        <v xml:space="preserve">مقبول مرتفع </v>
      </c>
      <c r="BG67" s="42">
        <f t="shared" ref="BG67:BG77" si="39">RANK(BD67,$BD$3:$BD$77)</f>
        <v>66</v>
      </c>
    </row>
    <row r="68" spans="2:59" ht="22.75" customHeight="1">
      <c r="B68" s="20">
        <v>2023111</v>
      </c>
      <c r="C68" s="34" t="s">
        <v>79</v>
      </c>
      <c r="D68" s="43">
        <v>1</v>
      </c>
      <c r="E68" s="20">
        <v>84</v>
      </c>
      <c r="F68" s="65">
        <f>VLOOKUP(E68,المرجع!$B$3:$C$12,2)</f>
        <v>4</v>
      </c>
      <c r="G68" s="44" t="str">
        <f>VLOOKUP(F68,المرجع!$D$3:$E$12,2)</f>
        <v>ب</v>
      </c>
      <c r="H68" s="40">
        <f t="shared" si="27"/>
        <v>4</v>
      </c>
      <c r="I68" s="43">
        <v>3</v>
      </c>
      <c r="J68" s="20">
        <v>85</v>
      </c>
      <c r="K68" s="65">
        <f>VLOOKUP(J68,المرجع!$B$3:$C$12,2)</f>
        <v>4.5</v>
      </c>
      <c r="L68" s="44" t="str">
        <f>VLOOKUP(K68,المرجع!$D$3:$E$12,2)</f>
        <v>ب+</v>
      </c>
      <c r="M68" s="40">
        <f t="shared" si="28"/>
        <v>13.5</v>
      </c>
      <c r="N68" s="43">
        <v>2</v>
      </c>
      <c r="O68" s="20">
        <v>55</v>
      </c>
      <c r="P68" s="65">
        <f>VLOOKUP(O68,المرجع!$B$3:$C$12,2)</f>
        <v>2</v>
      </c>
      <c r="Q68" s="44" t="str">
        <f>VLOOKUP(P68,المرجع!$D$3:$E$12,2)</f>
        <v>د</v>
      </c>
      <c r="R68" s="40">
        <f t="shared" si="29"/>
        <v>4</v>
      </c>
      <c r="S68" s="43">
        <v>2</v>
      </c>
      <c r="T68" s="20">
        <v>90</v>
      </c>
      <c r="U68" s="65">
        <f>VLOOKUP(T68,المرجع!$B$3:$C$12,2)</f>
        <v>4.75</v>
      </c>
      <c r="V68" s="44" t="str">
        <f>VLOOKUP(U68,المرجع!$D$3:$E$12,2)</f>
        <v>أ</v>
      </c>
      <c r="W68" s="40">
        <f t="shared" si="30"/>
        <v>9.5</v>
      </c>
      <c r="X68" s="43">
        <v>3</v>
      </c>
      <c r="Y68" s="20">
        <v>68</v>
      </c>
      <c r="Z68" s="65">
        <f>VLOOKUP(Y68,المرجع!$B$3:$C$12,2)</f>
        <v>2.5</v>
      </c>
      <c r="AA68" s="44" t="str">
        <f>VLOOKUP(Z68,المرجع!$D$3:$E$12,2)</f>
        <v>د+</v>
      </c>
      <c r="AB68" s="40">
        <f t="shared" si="31"/>
        <v>7.5</v>
      </c>
      <c r="AC68" s="43">
        <v>3</v>
      </c>
      <c r="AD68" s="20">
        <v>27</v>
      </c>
      <c r="AE68" s="65">
        <f>VLOOKUP(AD68,المرجع!$B$3:$C$12,2)</f>
        <v>0</v>
      </c>
      <c r="AF68" s="44" t="str">
        <f>VLOOKUP(AE68,المرجع!$D$3:$E$12,2)</f>
        <v>ه</v>
      </c>
      <c r="AG68" s="40">
        <f t="shared" si="32"/>
        <v>0</v>
      </c>
      <c r="AH68" s="43">
        <v>3</v>
      </c>
      <c r="AI68" s="20">
        <v>36</v>
      </c>
      <c r="AJ68" s="65">
        <f>VLOOKUP(AI68,المرجع!$B$3:$C$12,2)</f>
        <v>0</v>
      </c>
      <c r="AK68" s="44" t="str">
        <f>VLOOKUP(AJ68,المرجع!$D$3:$E$12,2)</f>
        <v>ه</v>
      </c>
      <c r="AL68" s="40">
        <f t="shared" si="33"/>
        <v>0</v>
      </c>
      <c r="AM68" s="43">
        <v>2</v>
      </c>
      <c r="AN68" s="20">
        <v>50</v>
      </c>
      <c r="AO68" s="65">
        <f>VLOOKUP(AN68,المرجع!$B$3:$C$12,2)</f>
        <v>2</v>
      </c>
      <c r="AP68" s="44" t="str">
        <f>VLOOKUP(AO68,المرجع!$D$3:$E$12,2)</f>
        <v>د</v>
      </c>
      <c r="AQ68" s="40">
        <f t="shared" si="34"/>
        <v>4</v>
      </c>
      <c r="AR68" s="43">
        <v>2</v>
      </c>
      <c r="AS68" s="20">
        <v>66</v>
      </c>
      <c r="AT68" s="65">
        <f>VLOOKUP(AS68,المرجع!$B$3:$C$12,2)</f>
        <v>2.5</v>
      </c>
      <c r="AU68" s="44" t="str">
        <f>VLOOKUP(AT68,المرجع!$D$3:$E$12,2)</f>
        <v>د+</v>
      </c>
      <c r="AV68" s="40">
        <f t="shared" si="35"/>
        <v>5</v>
      </c>
      <c r="AW68" s="43">
        <v>2</v>
      </c>
      <c r="AX68" s="20">
        <v>33</v>
      </c>
      <c r="AY68" s="65">
        <f>VLOOKUP(AX68,المرجع!$B$3:$C$12,2)</f>
        <v>0</v>
      </c>
      <c r="AZ68" s="44" t="str">
        <f>VLOOKUP(AY68,المرجع!$D$3:$E$12,2)</f>
        <v>ه</v>
      </c>
      <c r="BA68" s="40">
        <f t="shared" si="36"/>
        <v>0</v>
      </c>
      <c r="BB68" s="48">
        <f t="shared" si="37"/>
        <v>47.5</v>
      </c>
      <c r="BC68" s="49">
        <f t="shared" si="38"/>
        <v>23</v>
      </c>
      <c r="BD68" s="78">
        <f t="shared" ref="BD68:BD77" si="40">BB68/BC68</f>
        <v>2.0652173913043477</v>
      </c>
      <c r="BE68" s="87">
        <f>(BB68+'المستوى الثاني 2023'!BB68+'المستوى الأول 2022'!BL68)/('المستوى الأول 2022'!BM68+'المستوى الثاني 2023'!BC68+'المستوى الثالث ح'!BC68)</f>
        <v>2.5</v>
      </c>
      <c r="BF68" s="47" t="str">
        <f>VLOOKUP(BD68,المرجع!$D$3:$F$12,3)</f>
        <v>مقبول</v>
      </c>
      <c r="BG68" s="42">
        <f t="shared" si="39"/>
        <v>68</v>
      </c>
    </row>
    <row r="69" spans="2:59" ht="22.75" customHeight="1">
      <c r="B69" s="20">
        <v>2023032</v>
      </c>
      <c r="C69" s="34" t="s">
        <v>26</v>
      </c>
      <c r="D69" s="43">
        <v>1</v>
      </c>
      <c r="E69" s="20">
        <v>64</v>
      </c>
      <c r="F69" s="65">
        <f>VLOOKUP(E69,المرجع!$B$3:$C$12,2)</f>
        <v>2</v>
      </c>
      <c r="G69" s="44" t="str">
        <f>VLOOKUP(F69,المرجع!$D$3:$E$12,2)</f>
        <v>د</v>
      </c>
      <c r="H69" s="40">
        <f t="shared" si="27"/>
        <v>2</v>
      </c>
      <c r="I69" s="43">
        <v>3</v>
      </c>
      <c r="J69" s="20">
        <v>67</v>
      </c>
      <c r="K69" s="65">
        <f>VLOOKUP(J69,المرجع!$B$3:$C$12,2)</f>
        <v>2.5</v>
      </c>
      <c r="L69" s="44" t="str">
        <f>VLOOKUP(K69,المرجع!$D$3:$E$12,2)</f>
        <v>د+</v>
      </c>
      <c r="M69" s="40">
        <f t="shared" si="28"/>
        <v>7.5</v>
      </c>
      <c r="N69" s="43">
        <v>2</v>
      </c>
      <c r="O69" s="20">
        <v>50</v>
      </c>
      <c r="P69" s="65">
        <f>VLOOKUP(O69,المرجع!$B$3:$C$12,2)</f>
        <v>2</v>
      </c>
      <c r="Q69" s="44" t="str">
        <f>VLOOKUP(P69,المرجع!$D$3:$E$12,2)</f>
        <v>د</v>
      </c>
      <c r="R69" s="40">
        <f t="shared" si="29"/>
        <v>4</v>
      </c>
      <c r="S69" s="43">
        <v>2</v>
      </c>
      <c r="T69" s="20">
        <v>82</v>
      </c>
      <c r="U69" s="65">
        <f>VLOOKUP(T69,المرجع!$B$3:$C$12,2)</f>
        <v>4</v>
      </c>
      <c r="V69" s="44" t="str">
        <f>VLOOKUP(U69,المرجع!$D$3:$E$12,2)</f>
        <v>ب</v>
      </c>
      <c r="W69" s="40">
        <f t="shared" si="30"/>
        <v>8</v>
      </c>
      <c r="X69" s="43">
        <v>3</v>
      </c>
      <c r="Y69" s="20">
        <v>50</v>
      </c>
      <c r="Z69" s="65">
        <f>VLOOKUP(Y69,المرجع!$B$3:$C$12,2)</f>
        <v>2</v>
      </c>
      <c r="AA69" s="44" t="str">
        <f>VLOOKUP(Z69,المرجع!$D$3:$E$12,2)</f>
        <v>د</v>
      </c>
      <c r="AB69" s="40">
        <f t="shared" si="31"/>
        <v>6</v>
      </c>
      <c r="AC69" s="43">
        <v>3</v>
      </c>
      <c r="AD69" s="20">
        <v>33</v>
      </c>
      <c r="AE69" s="65">
        <f>VLOOKUP(AD69,المرجع!$B$3:$C$12,2)</f>
        <v>0</v>
      </c>
      <c r="AF69" s="44" t="str">
        <f>VLOOKUP(AE69,المرجع!$D$3:$E$12,2)</f>
        <v>ه</v>
      </c>
      <c r="AG69" s="40">
        <f t="shared" si="32"/>
        <v>0</v>
      </c>
      <c r="AH69" s="43">
        <v>3</v>
      </c>
      <c r="AI69" s="20">
        <v>50</v>
      </c>
      <c r="AJ69" s="65">
        <f>VLOOKUP(AI69,المرجع!$B$3:$C$12,2)</f>
        <v>2</v>
      </c>
      <c r="AK69" s="44" t="str">
        <f>VLOOKUP(AJ69,المرجع!$D$3:$E$12,2)</f>
        <v>د</v>
      </c>
      <c r="AL69" s="40">
        <f t="shared" si="33"/>
        <v>6</v>
      </c>
      <c r="AM69" s="43">
        <v>2</v>
      </c>
      <c r="AN69" s="20">
        <v>50</v>
      </c>
      <c r="AO69" s="65">
        <f>VLOOKUP(AN69,المرجع!$B$3:$C$12,2)</f>
        <v>2</v>
      </c>
      <c r="AP69" s="44" t="str">
        <f>VLOOKUP(AO69,المرجع!$D$3:$E$12,2)</f>
        <v>د</v>
      </c>
      <c r="AQ69" s="40">
        <f t="shared" si="34"/>
        <v>4</v>
      </c>
      <c r="AR69" s="43">
        <v>2</v>
      </c>
      <c r="AS69" s="20">
        <v>54</v>
      </c>
      <c r="AT69" s="65">
        <f>VLOOKUP(AS69,المرجع!$B$3:$C$12,2)</f>
        <v>2</v>
      </c>
      <c r="AU69" s="44" t="str">
        <f>VLOOKUP(AT69,المرجع!$D$3:$E$12,2)</f>
        <v>د</v>
      </c>
      <c r="AV69" s="40">
        <f t="shared" si="35"/>
        <v>4</v>
      </c>
      <c r="AW69" s="43">
        <v>2</v>
      </c>
      <c r="AX69" s="20">
        <v>81</v>
      </c>
      <c r="AY69" s="65">
        <f>VLOOKUP(AX69,المرجع!$B$3:$C$12,2)</f>
        <v>4</v>
      </c>
      <c r="AZ69" s="44" t="str">
        <f>VLOOKUP(AY69,المرجع!$D$3:$E$12,2)</f>
        <v>ب</v>
      </c>
      <c r="BA69" s="40">
        <f t="shared" si="36"/>
        <v>8</v>
      </c>
      <c r="BB69" s="48">
        <f t="shared" si="37"/>
        <v>49.5</v>
      </c>
      <c r="BC69" s="49">
        <f t="shared" si="38"/>
        <v>23</v>
      </c>
      <c r="BD69" s="78">
        <f t="shared" si="40"/>
        <v>2.152173913043478</v>
      </c>
      <c r="BE69" s="87">
        <f>(BB69+'المستوى الثاني 2023'!BB69+'المستوى الأول 2022'!BL69)/('المستوى الأول 2022'!BM69+'المستوى الثاني 2023'!BC69+'المستوى الثالث ح'!BC69)</f>
        <v>2.4485294117647061</v>
      </c>
      <c r="BF69" s="47" t="str">
        <f>VLOOKUP(BD69,المرجع!$D$3:$F$12,3)</f>
        <v xml:space="preserve">مقبول مرتفع </v>
      </c>
      <c r="BG69" s="42">
        <f t="shared" si="39"/>
        <v>65</v>
      </c>
    </row>
    <row r="70" spans="2:59" ht="22.75" customHeight="1">
      <c r="B70" s="20">
        <v>2023095</v>
      </c>
      <c r="C70" s="34" t="s">
        <v>81</v>
      </c>
      <c r="D70" s="43">
        <v>1</v>
      </c>
      <c r="E70" s="20">
        <v>38</v>
      </c>
      <c r="F70" s="65">
        <f>VLOOKUP(E70,المرجع!$B$3:$C$12,2)</f>
        <v>0</v>
      </c>
      <c r="G70" s="44" t="str">
        <f>VLOOKUP(F70,المرجع!$D$3:$E$12,2)</f>
        <v>ه</v>
      </c>
      <c r="H70" s="40">
        <f t="shared" si="27"/>
        <v>0</v>
      </c>
      <c r="I70" s="43">
        <v>3</v>
      </c>
      <c r="J70" s="20">
        <v>80</v>
      </c>
      <c r="K70" s="65">
        <f>VLOOKUP(J70,المرجع!$B$3:$C$12,2)</f>
        <v>4</v>
      </c>
      <c r="L70" s="44" t="str">
        <f>VLOOKUP(K70,المرجع!$D$3:$E$12,2)</f>
        <v>ب</v>
      </c>
      <c r="M70" s="40">
        <f t="shared" si="28"/>
        <v>12</v>
      </c>
      <c r="N70" s="43">
        <v>2</v>
      </c>
      <c r="O70" s="20">
        <v>52</v>
      </c>
      <c r="P70" s="65">
        <f>VLOOKUP(O70,المرجع!$B$3:$C$12,2)</f>
        <v>2</v>
      </c>
      <c r="Q70" s="44" t="str">
        <f>VLOOKUP(P70,المرجع!$D$3:$E$12,2)</f>
        <v>د</v>
      </c>
      <c r="R70" s="40">
        <f t="shared" si="29"/>
        <v>4</v>
      </c>
      <c r="S70" s="43">
        <v>2</v>
      </c>
      <c r="T70" s="20">
        <v>83</v>
      </c>
      <c r="U70" s="65">
        <f>VLOOKUP(T70,المرجع!$B$3:$C$12,2)</f>
        <v>4</v>
      </c>
      <c r="V70" s="44" t="str">
        <f>VLOOKUP(U70,المرجع!$D$3:$E$12,2)</f>
        <v>ب</v>
      </c>
      <c r="W70" s="40">
        <f t="shared" si="30"/>
        <v>8</v>
      </c>
      <c r="X70" s="43">
        <v>3</v>
      </c>
      <c r="Y70" s="20">
        <v>70</v>
      </c>
      <c r="Z70" s="65">
        <f>VLOOKUP(Y70,المرجع!$B$3:$C$12,2)</f>
        <v>3</v>
      </c>
      <c r="AA70" s="44" t="str">
        <f>VLOOKUP(Z70,المرجع!$D$3:$E$12,2)</f>
        <v>ج</v>
      </c>
      <c r="AB70" s="40">
        <f t="shared" si="31"/>
        <v>9</v>
      </c>
      <c r="AC70" s="43">
        <v>3</v>
      </c>
      <c r="AD70" s="20">
        <v>38</v>
      </c>
      <c r="AE70" s="65">
        <f>VLOOKUP(AD70,المرجع!$B$3:$C$12,2)</f>
        <v>0</v>
      </c>
      <c r="AF70" s="44" t="str">
        <f>VLOOKUP(AE70,المرجع!$D$3:$E$12,2)</f>
        <v>ه</v>
      </c>
      <c r="AG70" s="40">
        <f t="shared" si="32"/>
        <v>0</v>
      </c>
      <c r="AH70" s="43">
        <v>3</v>
      </c>
      <c r="AI70" s="20">
        <v>50</v>
      </c>
      <c r="AJ70" s="65">
        <f>VLOOKUP(AI70,المرجع!$B$3:$C$12,2)</f>
        <v>2</v>
      </c>
      <c r="AK70" s="44" t="str">
        <f>VLOOKUP(AJ70,المرجع!$D$3:$E$12,2)</f>
        <v>د</v>
      </c>
      <c r="AL70" s="40">
        <f t="shared" si="33"/>
        <v>6</v>
      </c>
      <c r="AM70" s="43">
        <v>2</v>
      </c>
      <c r="AN70" s="20">
        <v>55</v>
      </c>
      <c r="AO70" s="65">
        <f>VLOOKUP(AN70,المرجع!$B$3:$C$12,2)</f>
        <v>2</v>
      </c>
      <c r="AP70" s="44" t="str">
        <f>VLOOKUP(AO70,المرجع!$D$3:$E$12,2)</f>
        <v>د</v>
      </c>
      <c r="AQ70" s="40">
        <f t="shared" si="34"/>
        <v>4</v>
      </c>
      <c r="AR70" s="43">
        <v>2</v>
      </c>
      <c r="AS70" s="20">
        <v>80</v>
      </c>
      <c r="AT70" s="65">
        <f>VLOOKUP(AS70,المرجع!$B$3:$C$12,2)</f>
        <v>4</v>
      </c>
      <c r="AU70" s="44" t="str">
        <f>VLOOKUP(AT70,المرجع!$D$3:$E$12,2)</f>
        <v>ب</v>
      </c>
      <c r="AV70" s="40">
        <f t="shared" si="35"/>
        <v>8</v>
      </c>
      <c r="AW70" s="43">
        <v>2</v>
      </c>
      <c r="AX70" s="20">
        <v>18</v>
      </c>
      <c r="AY70" s="65">
        <f>VLOOKUP(AX70,المرجع!$B$3:$C$12,2)</f>
        <v>0</v>
      </c>
      <c r="AZ70" s="44" t="str">
        <f>VLOOKUP(AY70,المرجع!$D$3:$E$12,2)</f>
        <v>ه</v>
      </c>
      <c r="BA70" s="40">
        <f t="shared" si="36"/>
        <v>0</v>
      </c>
      <c r="BB70" s="48">
        <f t="shared" si="37"/>
        <v>51</v>
      </c>
      <c r="BC70" s="49">
        <f t="shared" si="38"/>
        <v>23</v>
      </c>
      <c r="BD70" s="78">
        <f t="shared" si="40"/>
        <v>2.2173913043478262</v>
      </c>
      <c r="BE70" s="87">
        <f>(BB70+'المستوى الثاني 2023'!BB70+'المستوى الأول 2022'!BL70)/('المستوى الأول 2022'!BM70+'المستوى الثاني 2023'!BC70+'المستوى الثالث ح'!BC70)</f>
        <v>2.3897058823529411</v>
      </c>
      <c r="BF70" s="47" t="str">
        <f>VLOOKUP(BD70,المرجع!$D$3:$F$12,3)</f>
        <v xml:space="preserve">مقبول مرتفع </v>
      </c>
      <c r="BG70" s="42">
        <f t="shared" si="39"/>
        <v>64</v>
      </c>
    </row>
    <row r="71" spans="2:59" ht="22.75" customHeight="1">
      <c r="B71" s="20">
        <v>2023060</v>
      </c>
      <c r="C71" s="34" t="s">
        <v>76</v>
      </c>
      <c r="D71" s="43">
        <v>1</v>
      </c>
      <c r="E71" s="20">
        <v>91</v>
      </c>
      <c r="F71" s="65">
        <f>VLOOKUP(E71,المرجع!$B$3:$C$12,2)</f>
        <v>4.75</v>
      </c>
      <c r="G71" s="44" t="str">
        <f>VLOOKUP(F71,المرجع!$D$3:$E$12,2)</f>
        <v>أ</v>
      </c>
      <c r="H71" s="40">
        <f t="shared" si="27"/>
        <v>4.75</v>
      </c>
      <c r="I71" s="43">
        <v>3</v>
      </c>
      <c r="J71" s="20">
        <v>79</v>
      </c>
      <c r="K71" s="65">
        <f>VLOOKUP(J71,المرجع!$B$3:$C$12,2)</f>
        <v>3.5</v>
      </c>
      <c r="L71" s="44" t="str">
        <f>VLOOKUP(K71,المرجع!$D$3:$E$12,2)</f>
        <v>ج+</v>
      </c>
      <c r="M71" s="40">
        <f t="shared" si="28"/>
        <v>10.5</v>
      </c>
      <c r="N71" s="43">
        <v>2</v>
      </c>
      <c r="O71" s="20">
        <v>36</v>
      </c>
      <c r="P71" s="65">
        <f>VLOOKUP(O71,المرجع!$B$3:$C$12,2)</f>
        <v>0</v>
      </c>
      <c r="Q71" s="44" t="str">
        <f>VLOOKUP(P71,المرجع!$D$3:$E$12,2)</f>
        <v>ه</v>
      </c>
      <c r="R71" s="40">
        <f t="shared" si="29"/>
        <v>0</v>
      </c>
      <c r="S71" s="43">
        <v>2</v>
      </c>
      <c r="T71" s="20">
        <v>85</v>
      </c>
      <c r="U71" s="65">
        <f>VLOOKUP(T71,المرجع!$B$3:$C$12,2)</f>
        <v>4.5</v>
      </c>
      <c r="V71" s="44" t="str">
        <f>VLOOKUP(U71,المرجع!$D$3:$E$12,2)</f>
        <v>ب+</v>
      </c>
      <c r="W71" s="40">
        <f t="shared" si="30"/>
        <v>9</v>
      </c>
      <c r="X71" s="43">
        <v>3</v>
      </c>
      <c r="Y71" s="20">
        <v>70</v>
      </c>
      <c r="Z71" s="65">
        <f>VLOOKUP(Y71,المرجع!$B$3:$C$12,2)</f>
        <v>3</v>
      </c>
      <c r="AA71" s="44" t="str">
        <f>VLOOKUP(Z71,المرجع!$D$3:$E$12,2)</f>
        <v>ج</v>
      </c>
      <c r="AB71" s="40">
        <f t="shared" si="31"/>
        <v>9</v>
      </c>
      <c r="AC71" s="43">
        <v>3</v>
      </c>
      <c r="AD71" s="20">
        <v>38</v>
      </c>
      <c r="AE71" s="65">
        <f>VLOOKUP(AD71,المرجع!$B$3:$C$12,2)</f>
        <v>0</v>
      </c>
      <c r="AF71" s="44" t="str">
        <f>VLOOKUP(AE71,المرجع!$D$3:$E$12,2)</f>
        <v>ه</v>
      </c>
      <c r="AG71" s="40">
        <f t="shared" si="32"/>
        <v>0</v>
      </c>
      <c r="AH71" s="43">
        <v>3</v>
      </c>
      <c r="AI71" s="20">
        <v>43</v>
      </c>
      <c r="AJ71" s="65">
        <f>VLOOKUP(AI71,المرجع!$B$3:$C$12,2)</f>
        <v>0</v>
      </c>
      <c r="AK71" s="44" t="str">
        <f>VLOOKUP(AJ71,المرجع!$D$3:$E$12,2)</f>
        <v>ه</v>
      </c>
      <c r="AL71" s="40">
        <f t="shared" si="33"/>
        <v>0</v>
      </c>
      <c r="AM71" s="43">
        <v>2</v>
      </c>
      <c r="AN71" s="20">
        <v>50</v>
      </c>
      <c r="AO71" s="65">
        <f>VLOOKUP(AN71,المرجع!$B$3:$C$12,2)</f>
        <v>2</v>
      </c>
      <c r="AP71" s="44" t="str">
        <f>VLOOKUP(AO71,المرجع!$D$3:$E$12,2)</f>
        <v>د</v>
      </c>
      <c r="AQ71" s="40">
        <f t="shared" si="34"/>
        <v>4</v>
      </c>
      <c r="AR71" s="43">
        <v>2</v>
      </c>
      <c r="AS71" s="20">
        <v>67</v>
      </c>
      <c r="AT71" s="65">
        <f>VLOOKUP(AS71,المرجع!$B$3:$C$12,2)</f>
        <v>2.5</v>
      </c>
      <c r="AU71" s="44" t="str">
        <f>VLOOKUP(AT71,المرجع!$D$3:$E$12,2)</f>
        <v>د+</v>
      </c>
      <c r="AV71" s="40">
        <f t="shared" si="35"/>
        <v>5</v>
      </c>
      <c r="AW71" s="43">
        <v>2</v>
      </c>
      <c r="AX71" s="20">
        <v>23</v>
      </c>
      <c r="AY71" s="65">
        <f>VLOOKUP(AX71,المرجع!$B$3:$C$12,2)</f>
        <v>0</v>
      </c>
      <c r="AZ71" s="44" t="str">
        <f>VLOOKUP(AY71,المرجع!$D$3:$E$12,2)</f>
        <v>ه</v>
      </c>
      <c r="BA71" s="40">
        <f t="shared" si="36"/>
        <v>0</v>
      </c>
      <c r="BB71" s="48">
        <f t="shared" si="37"/>
        <v>42.25</v>
      </c>
      <c r="BC71" s="49">
        <f t="shared" si="38"/>
        <v>23</v>
      </c>
      <c r="BD71" s="78">
        <f t="shared" si="40"/>
        <v>1.8369565217391304</v>
      </c>
      <c r="BE71" s="87">
        <f>(BB71+'المستوى الثاني 2023'!BB71+'المستوى الأول 2022'!BL71)/('المستوى الأول 2022'!BM71+'المستوى الثاني 2023'!BC71+'المستوى الثالث ح'!BC71)</f>
        <v>2.2022058823529411</v>
      </c>
      <c r="BF71" s="47" t="str">
        <f>VLOOKUP(BD71,المرجع!$D$3:$F$12,3)</f>
        <v>راسب</v>
      </c>
      <c r="BG71" s="42">
        <f t="shared" si="39"/>
        <v>70</v>
      </c>
    </row>
    <row r="72" spans="2:59" ht="22.75" customHeight="1">
      <c r="B72" s="20">
        <v>2023003</v>
      </c>
      <c r="C72" s="34" t="s">
        <v>24</v>
      </c>
      <c r="D72" s="43">
        <v>1</v>
      </c>
      <c r="E72" s="20">
        <v>74</v>
      </c>
      <c r="F72" s="65">
        <f>VLOOKUP(E72,المرجع!$B$3:$C$12,2)</f>
        <v>3</v>
      </c>
      <c r="G72" s="44" t="str">
        <f>VLOOKUP(F72,المرجع!$D$3:$E$12,2)</f>
        <v>ج</v>
      </c>
      <c r="H72" s="40">
        <f t="shared" si="27"/>
        <v>3</v>
      </c>
      <c r="I72" s="43">
        <v>3</v>
      </c>
      <c r="J72" s="20">
        <v>60</v>
      </c>
      <c r="K72" s="65">
        <f>VLOOKUP(J72,المرجع!$B$3:$C$12,2)</f>
        <v>2</v>
      </c>
      <c r="L72" s="44" t="str">
        <f>VLOOKUP(K72,المرجع!$D$3:$E$12,2)</f>
        <v>د</v>
      </c>
      <c r="M72" s="40">
        <f t="shared" si="28"/>
        <v>6</v>
      </c>
      <c r="N72" s="43">
        <v>2</v>
      </c>
      <c r="O72" s="20">
        <v>50</v>
      </c>
      <c r="P72" s="65">
        <f>VLOOKUP(O72,المرجع!$B$3:$C$12,2)</f>
        <v>2</v>
      </c>
      <c r="Q72" s="44" t="str">
        <f>VLOOKUP(P72,المرجع!$D$3:$E$12,2)</f>
        <v>د</v>
      </c>
      <c r="R72" s="40">
        <f t="shared" si="29"/>
        <v>4</v>
      </c>
      <c r="S72" s="43">
        <v>2</v>
      </c>
      <c r="T72" s="20">
        <v>86</v>
      </c>
      <c r="U72" s="65">
        <f>VLOOKUP(T72,المرجع!$B$3:$C$12,2)</f>
        <v>4.5</v>
      </c>
      <c r="V72" s="44" t="str">
        <f>VLOOKUP(U72,المرجع!$D$3:$E$12,2)</f>
        <v>ب+</v>
      </c>
      <c r="W72" s="40">
        <f t="shared" si="30"/>
        <v>9</v>
      </c>
      <c r="X72" s="43">
        <v>3</v>
      </c>
      <c r="Y72" s="20">
        <v>50</v>
      </c>
      <c r="Z72" s="65">
        <f>VLOOKUP(Y72,المرجع!$B$3:$C$12,2)</f>
        <v>2</v>
      </c>
      <c r="AA72" s="44" t="str">
        <f>VLOOKUP(Z72,المرجع!$D$3:$E$12,2)</f>
        <v>د</v>
      </c>
      <c r="AB72" s="40">
        <f t="shared" si="31"/>
        <v>6</v>
      </c>
      <c r="AC72" s="43">
        <v>3</v>
      </c>
      <c r="AD72" s="20">
        <v>35</v>
      </c>
      <c r="AE72" s="65">
        <f>VLOOKUP(AD72,المرجع!$B$3:$C$12,2)</f>
        <v>0</v>
      </c>
      <c r="AF72" s="44" t="str">
        <f>VLOOKUP(AE72,المرجع!$D$3:$E$12,2)</f>
        <v>ه</v>
      </c>
      <c r="AG72" s="40">
        <f t="shared" si="32"/>
        <v>0</v>
      </c>
      <c r="AH72" s="43">
        <v>3</v>
      </c>
      <c r="AI72" s="20">
        <v>45</v>
      </c>
      <c r="AJ72" s="65">
        <f>VLOOKUP(AI72,المرجع!$B$3:$C$12,2)</f>
        <v>0</v>
      </c>
      <c r="AK72" s="44" t="str">
        <f>VLOOKUP(AJ72,المرجع!$D$3:$E$12,2)</f>
        <v>ه</v>
      </c>
      <c r="AL72" s="40">
        <f t="shared" si="33"/>
        <v>0</v>
      </c>
      <c r="AM72" s="43">
        <v>2</v>
      </c>
      <c r="AN72" s="20">
        <v>50</v>
      </c>
      <c r="AO72" s="65">
        <f>VLOOKUP(AN72,المرجع!$B$3:$C$12,2)</f>
        <v>2</v>
      </c>
      <c r="AP72" s="44" t="str">
        <f>VLOOKUP(AO72,المرجع!$D$3:$E$12,2)</f>
        <v>د</v>
      </c>
      <c r="AQ72" s="40">
        <f t="shared" si="34"/>
        <v>4</v>
      </c>
      <c r="AR72" s="43">
        <v>2</v>
      </c>
      <c r="AS72" s="20">
        <v>64</v>
      </c>
      <c r="AT72" s="65">
        <f>VLOOKUP(AS72,المرجع!$B$3:$C$12,2)</f>
        <v>2</v>
      </c>
      <c r="AU72" s="44" t="str">
        <f>VLOOKUP(AT72,المرجع!$D$3:$E$12,2)</f>
        <v>د</v>
      </c>
      <c r="AV72" s="40">
        <f t="shared" si="35"/>
        <v>4</v>
      </c>
      <c r="AW72" s="43">
        <v>2</v>
      </c>
      <c r="AX72" s="20">
        <v>84</v>
      </c>
      <c r="AY72" s="65">
        <f>VLOOKUP(AX72,المرجع!$B$3:$C$12,2)</f>
        <v>4</v>
      </c>
      <c r="AZ72" s="44" t="str">
        <f>VLOOKUP(AY72,المرجع!$D$3:$E$12,2)</f>
        <v>ب</v>
      </c>
      <c r="BA72" s="40">
        <f t="shared" si="36"/>
        <v>8</v>
      </c>
      <c r="BB72" s="48">
        <f t="shared" si="37"/>
        <v>44</v>
      </c>
      <c r="BC72" s="49">
        <f t="shared" si="38"/>
        <v>23</v>
      </c>
      <c r="BD72" s="78">
        <f t="shared" si="40"/>
        <v>1.9130434782608696</v>
      </c>
      <c r="BE72" s="87">
        <f>(BB72+'المستوى الثاني 2023'!BB72+'المستوى الأول 2022'!BL72)/('المستوى الأول 2022'!BM72+'المستوى الثاني 2023'!BC72+'المستوى الثالث ح'!BC72)</f>
        <v>2.3786764705882355</v>
      </c>
      <c r="BF72" s="47" t="str">
        <f>VLOOKUP(BD72,المرجع!$D$3:$F$12,3)</f>
        <v>راسب</v>
      </c>
      <c r="BG72" s="42">
        <f t="shared" si="39"/>
        <v>69</v>
      </c>
    </row>
    <row r="73" spans="2:59" ht="22.75" customHeight="1">
      <c r="B73" s="20">
        <v>2023048</v>
      </c>
      <c r="C73" s="34" t="s">
        <v>35</v>
      </c>
      <c r="D73" s="43">
        <v>1</v>
      </c>
      <c r="E73" s="20">
        <v>82</v>
      </c>
      <c r="F73" s="65">
        <f>VLOOKUP(E73,المرجع!$B$3:$C$12,2)</f>
        <v>4</v>
      </c>
      <c r="G73" s="44" t="str">
        <f>VLOOKUP(F73,المرجع!$D$3:$E$12,2)</f>
        <v>ب</v>
      </c>
      <c r="H73" s="40">
        <f t="shared" si="27"/>
        <v>4</v>
      </c>
      <c r="I73" s="43">
        <v>3</v>
      </c>
      <c r="J73" s="20">
        <v>50</v>
      </c>
      <c r="K73" s="65">
        <f>VLOOKUP(J73,المرجع!$B$3:$C$12,2)</f>
        <v>2</v>
      </c>
      <c r="L73" s="44" t="str">
        <f>VLOOKUP(K73,المرجع!$D$3:$E$12,2)</f>
        <v>د</v>
      </c>
      <c r="M73" s="40">
        <f t="shared" si="28"/>
        <v>6</v>
      </c>
      <c r="N73" s="43">
        <v>2</v>
      </c>
      <c r="O73" s="20">
        <v>50</v>
      </c>
      <c r="P73" s="65">
        <f>VLOOKUP(O73,المرجع!$B$3:$C$12,2)</f>
        <v>2</v>
      </c>
      <c r="Q73" s="44" t="str">
        <f>VLOOKUP(P73,المرجع!$D$3:$E$12,2)</f>
        <v>د</v>
      </c>
      <c r="R73" s="40">
        <f t="shared" si="29"/>
        <v>4</v>
      </c>
      <c r="S73" s="43">
        <v>2</v>
      </c>
      <c r="T73" s="20">
        <v>80</v>
      </c>
      <c r="U73" s="65">
        <f>VLOOKUP(T73,المرجع!$B$3:$C$12,2)</f>
        <v>4</v>
      </c>
      <c r="V73" s="44" t="str">
        <f>VLOOKUP(U73,المرجع!$D$3:$E$12,2)</f>
        <v>ب</v>
      </c>
      <c r="W73" s="40">
        <f t="shared" si="30"/>
        <v>8</v>
      </c>
      <c r="X73" s="43">
        <v>3</v>
      </c>
      <c r="Y73" s="20">
        <v>68</v>
      </c>
      <c r="Z73" s="65">
        <f>VLOOKUP(Y73,المرجع!$B$3:$C$12,2)</f>
        <v>2.5</v>
      </c>
      <c r="AA73" s="44" t="str">
        <f>VLOOKUP(Z73,المرجع!$D$3:$E$12,2)</f>
        <v>د+</v>
      </c>
      <c r="AB73" s="40">
        <f t="shared" si="31"/>
        <v>7.5</v>
      </c>
      <c r="AC73" s="43">
        <v>3</v>
      </c>
      <c r="AD73" s="20">
        <v>28</v>
      </c>
      <c r="AE73" s="65">
        <f>VLOOKUP(AD73,المرجع!$B$3:$C$12,2)</f>
        <v>0</v>
      </c>
      <c r="AF73" s="44" t="str">
        <f>VLOOKUP(AE73,المرجع!$D$3:$E$12,2)</f>
        <v>ه</v>
      </c>
      <c r="AG73" s="40">
        <f t="shared" si="32"/>
        <v>0</v>
      </c>
      <c r="AH73" s="43">
        <v>3</v>
      </c>
      <c r="AI73" s="20">
        <v>27</v>
      </c>
      <c r="AJ73" s="65">
        <f>VLOOKUP(AI73,المرجع!$B$3:$C$12,2)</f>
        <v>0</v>
      </c>
      <c r="AK73" s="44" t="str">
        <f>VLOOKUP(AJ73,المرجع!$D$3:$E$12,2)</f>
        <v>ه</v>
      </c>
      <c r="AL73" s="40">
        <f t="shared" si="33"/>
        <v>0</v>
      </c>
      <c r="AM73" s="43">
        <v>2</v>
      </c>
      <c r="AN73" s="20">
        <v>50</v>
      </c>
      <c r="AO73" s="65">
        <f>VLOOKUP(AN73,المرجع!$B$3:$C$12,2)</f>
        <v>2</v>
      </c>
      <c r="AP73" s="44" t="str">
        <f>VLOOKUP(AO73,المرجع!$D$3:$E$12,2)</f>
        <v>د</v>
      </c>
      <c r="AQ73" s="40">
        <f t="shared" si="34"/>
        <v>4</v>
      </c>
      <c r="AR73" s="43">
        <v>2</v>
      </c>
      <c r="AS73" s="20">
        <v>60</v>
      </c>
      <c r="AT73" s="65">
        <f>VLOOKUP(AS73,المرجع!$B$3:$C$12,2)</f>
        <v>2</v>
      </c>
      <c r="AU73" s="44" t="str">
        <f>VLOOKUP(AT73,المرجع!$D$3:$E$12,2)</f>
        <v>د</v>
      </c>
      <c r="AV73" s="40">
        <f t="shared" si="35"/>
        <v>4</v>
      </c>
      <c r="AW73" s="43">
        <v>2</v>
      </c>
      <c r="AX73" s="20">
        <v>51</v>
      </c>
      <c r="AY73" s="65">
        <f>VLOOKUP(AX73,المرجع!$B$3:$C$12,2)</f>
        <v>2</v>
      </c>
      <c r="AZ73" s="44" t="str">
        <f>VLOOKUP(AY73,المرجع!$D$3:$E$12,2)</f>
        <v>د</v>
      </c>
      <c r="BA73" s="40">
        <f t="shared" si="36"/>
        <v>4</v>
      </c>
      <c r="BB73" s="48">
        <f t="shared" si="37"/>
        <v>41.5</v>
      </c>
      <c r="BC73" s="49">
        <f t="shared" si="38"/>
        <v>23</v>
      </c>
      <c r="BD73" s="78">
        <f t="shared" si="40"/>
        <v>1.8043478260869565</v>
      </c>
      <c r="BE73" s="87">
        <f>(BB73+'المستوى الثاني 2023'!BB73+'المستوى الأول 2022'!BL73)/('المستوى الأول 2022'!BM73+'المستوى الثاني 2023'!BC73+'المستوى الثالث ح'!BC73)</f>
        <v>2.4522058823529411</v>
      </c>
      <c r="BF73" s="47" t="str">
        <f>VLOOKUP(BD73,المرجع!$D$3:$F$12,3)</f>
        <v>راسب</v>
      </c>
      <c r="BG73" s="42">
        <f t="shared" si="39"/>
        <v>71</v>
      </c>
    </row>
    <row r="74" spans="2:59" ht="22.75" customHeight="1">
      <c r="B74" s="20">
        <v>2023073</v>
      </c>
      <c r="C74" s="34" t="s">
        <v>83</v>
      </c>
      <c r="D74" s="43">
        <v>1</v>
      </c>
      <c r="E74" s="20">
        <v>84</v>
      </c>
      <c r="F74" s="65">
        <f>VLOOKUP(E74,المرجع!$B$3:$C$12,2)</f>
        <v>4</v>
      </c>
      <c r="G74" s="44" t="str">
        <f>VLOOKUP(F74,المرجع!$D$3:$E$12,2)</f>
        <v>ب</v>
      </c>
      <c r="H74" s="40">
        <f t="shared" si="27"/>
        <v>4</v>
      </c>
      <c r="I74" s="43">
        <v>3</v>
      </c>
      <c r="J74" s="20">
        <v>40</v>
      </c>
      <c r="K74" s="65">
        <f>VLOOKUP(J74,المرجع!$B$3:$C$12,2)</f>
        <v>0</v>
      </c>
      <c r="L74" s="44" t="str">
        <f>VLOOKUP(K74,المرجع!$D$3:$E$12,2)</f>
        <v>ه</v>
      </c>
      <c r="M74" s="40">
        <f t="shared" si="28"/>
        <v>0</v>
      </c>
      <c r="N74" s="43">
        <v>2</v>
      </c>
      <c r="O74" s="20">
        <v>40</v>
      </c>
      <c r="P74" s="65">
        <f>VLOOKUP(O74,المرجع!$B$3:$C$12,2)</f>
        <v>0</v>
      </c>
      <c r="Q74" s="44" t="str">
        <f>VLOOKUP(P74,المرجع!$D$3:$E$12,2)</f>
        <v>ه</v>
      </c>
      <c r="R74" s="40">
        <f t="shared" si="29"/>
        <v>0</v>
      </c>
      <c r="S74" s="43">
        <v>2</v>
      </c>
      <c r="T74" s="20">
        <v>89</v>
      </c>
      <c r="U74" s="65">
        <f>VLOOKUP(T74,المرجع!$B$3:$C$12,2)</f>
        <v>4.5</v>
      </c>
      <c r="V74" s="44" t="str">
        <f>VLOOKUP(U74,المرجع!$D$3:$E$12,2)</f>
        <v>ب+</v>
      </c>
      <c r="W74" s="40">
        <f t="shared" si="30"/>
        <v>9</v>
      </c>
      <c r="X74" s="43">
        <v>3</v>
      </c>
      <c r="Y74" s="20">
        <v>70</v>
      </c>
      <c r="Z74" s="65">
        <f>VLOOKUP(Y74,المرجع!$B$3:$C$12,2)</f>
        <v>3</v>
      </c>
      <c r="AA74" s="44" t="str">
        <f>VLOOKUP(Z74,المرجع!$D$3:$E$12,2)</f>
        <v>ج</v>
      </c>
      <c r="AB74" s="40">
        <f t="shared" si="31"/>
        <v>9</v>
      </c>
      <c r="AC74" s="43">
        <v>3</v>
      </c>
      <c r="AD74" s="20">
        <v>10</v>
      </c>
      <c r="AE74" s="65">
        <f>VLOOKUP(AD74,المرجع!$B$3:$C$12,2)</f>
        <v>0</v>
      </c>
      <c r="AF74" s="44" t="str">
        <f>VLOOKUP(AE74,المرجع!$D$3:$E$12,2)</f>
        <v>ه</v>
      </c>
      <c r="AG74" s="40">
        <f t="shared" si="32"/>
        <v>0</v>
      </c>
      <c r="AH74" s="43">
        <v>3</v>
      </c>
      <c r="AI74" s="20">
        <v>10</v>
      </c>
      <c r="AJ74" s="65">
        <f>VLOOKUP(AI74,المرجع!$B$3:$C$12,2)</f>
        <v>0</v>
      </c>
      <c r="AK74" s="44" t="str">
        <f>VLOOKUP(AJ74,المرجع!$D$3:$E$12,2)</f>
        <v>ه</v>
      </c>
      <c r="AL74" s="40">
        <f t="shared" si="33"/>
        <v>0</v>
      </c>
      <c r="AM74" s="43">
        <v>2</v>
      </c>
      <c r="AN74" s="20">
        <v>50</v>
      </c>
      <c r="AO74" s="65">
        <f>VLOOKUP(AN74,المرجع!$B$3:$C$12,2)</f>
        <v>2</v>
      </c>
      <c r="AP74" s="44" t="str">
        <f>VLOOKUP(AO74,المرجع!$D$3:$E$12,2)</f>
        <v>د</v>
      </c>
      <c r="AQ74" s="40">
        <f t="shared" si="34"/>
        <v>4</v>
      </c>
      <c r="AR74" s="43">
        <v>2</v>
      </c>
      <c r="AS74" s="20">
        <v>69</v>
      </c>
      <c r="AT74" s="65">
        <f>VLOOKUP(AS74,المرجع!$B$3:$C$12,2)</f>
        <v>2.5</v>
      </c>
      <c r="AU74" s="44" t="str">
        <f>VLOOKUP(AT74,المرجع!$D$3:$E$12,2)</f>
        <v>د+</v>
      </c>
      <c r="AV74" s="40">
        <f t="shared" si="35"/>
        <v>5</v>
      </c>
      <c r="AW74" s="43">
        <v>2</v>
      </c>
      <c r="AX74" s="20">
        <v>52</v>
      </c>
      <c r="AY74" s="65">
        <f>VLOOKUP(AX74,المرجع!$B$3:$C$12,2)</f>
        <v>2</v>
      </c>
      <c r="AZ74" s="44" t="str">
        <f>VLOOKUP(AY74,المرجع!$D$3:$E$12,2)</f>
        <v>د</v>
      </c>
      <c r="BA74" s="40">
        <f t="shared" si="36"/>
        <v>4</v>
      </c>
      <c r="BB74" s="48">
        <f t="shared" si="37"/>
        <v>35</v>
      </c>
      <c r="BC74" s="49">
        <f t="shared" si="38"/>
        <v>23</v>
      </c>
      <c r="BD74" s="78">
        <f t="shared" si="40"/>
        <v>1.5217391304347827</v>
      </c>
      <c r="BE74" s="87">
        <f>(BB74+'المستوى الثاني 2023'!BB74+'المستوى الأول 2022'!BL74)/('المستوى الأول 2022'!BM74+'المستوى الثاني 2023'!BC74+'المستوى الثالث ح'!BC74)</f>
        <v>2.0514705882352939</v>
      </c>
      <c r="BF74" s="47" t="str">
        <f>VLOOKUP(BD74,المرجع!$D$3:$F$12,3)</f>
        <v>راسب</v>
      </c>
      <c r="BG74" s="42">
        <f t="shared" si="39"/>
        <v>72</v>
      </c>
    </row>
    <row r="75" spans="2:59" ht="22.75" customHeight="1">
      <c r="B75" s="20">
        <v>2023133</v>
      </c>
      <c r="C75" s="34" t="s">
        <v>31</v>
      </c>
      <c r="D75" s="43">
        <v>1</v>
      </c>
      <c r="E75" s="20">
        <v>65</v>
      </c>
      <c r="F75" s="65">
        <f>VLOOKUP(E75,المرجع!$B$3:$C$12,2)</f>
        <v>2.5</v>
      </c>
      <c r="G75" s="44" t="str">
        <f>VLOOKUP(F75,المرجع!$D$3:$E$12,2)</f>
        <v>د+</v>
      </c>
      <c r="H75" s="40">
        <f t="shared" si="27"/>
        <v>2.5</v>
      </c>
      <c r="I75" s="43">
        <v>3</v>
      </c>
      <c r="J75" s="20">
        <v>65</v>
      </c>
      <c r="K75" s="65">
        <f>VLOOKUP(J75,المرجع!$B$3:$C$12,2)</f>
        <v>2.5</v>
      </c>
      <c r="L75" s="44" t="str">
        <f>VLOOKUP(K75,المرجع!$D$3:$E$12,2)</f>
        <v>د+</v>
      </c>
      <c r="M75" s="40">
        <f t="shared" si="28"/>
        <v>7.5</v>
      </c>
      <c r="N75" s="43">
        <v>2</v>
      </c>
      <c r="O75" s="20">
        <v>39</v>
      </c>
      <c r="P75" s="65">
        <f>VLOOKUP(O75,المرجع!$B$3:$C$12,2)</f>
        <v>0</v>
      </c>
      <c r="Q75" s="44" t="str">
        <f>VLOOKUP(P75,المرجع!$D$3:$E$12,2)</f>
        <v>ه</v>
      </c>
      <c r="R75" s="40">
        <f t="shared" si="29"/>
        <v>0</v>
      </c>
      <c r="S75" s="43">
        <v>2</v>
      </c>
      <c r="T75" s="20">
        <v>80</v>
      </c>
      <c r="U75" s="65">
        <f>VLOOKUP(T75,المرجع!$B$3:$C$12,2)</f>
        <v>4</v>
      </c>
      <c r="V75" s="44" t="str">
        <f>VLOOKUP(U75,المرجع!$D$3:$E$12,2)</f>
        <v>ب</v>
      </c>
      <c r="W75" s="40">
        <f t="shared" si="30"/>
        <v>8</v>
      </c>
      <c r="X75" s="43">
        <v>3</v>
      </c>
      <c r="Y75" s="20">
        <v>65</v>
      </c>
      <c r="Z75" s="65">
        <f>VLOOKUP(Y75,المرجع!$B$3:$C$12,2)</f>
        <v>2.5</v>
      </c>
      <c r="AA75" s="44" t="str">
        <f>VLOOKUP(Z75,المرجع!$D$3:$E$12,2)</f>
        <v>د+</v>
      </c>
      <c r="AB75" s="40">
        <f t="shared" si="31"/>
        <v>7.5</v>
      </c>
      <c r="AC75" s="43">
        <v>3</v>
      </c>
      <c r="AD75" s="20">
        <v>19</v>
      </c>
      <c r="AE75" s="65">
        <f>VLOOKUP(AD75,المرجع!$B$3:$C$12,2)</f>
        <v>0</v>
      </c>
      <c r="AF75" s="44" t="str">
        <f>VLOOKUP(AE75,المرجع!$D$3:$E$12,2)</f>
        <v>ه</v>
      </c>
      <c r="AG75" s="40">
        <f t="shared" si="32"/>
        <v>0</v>
      </c>
      <c r="AH75" s="43">
        <v>3</v>
      </c>
      <c r="AI75" s="20">
        <v>35</v>
      </c>
      <c r="AJ75" s="65">
        <f>VLOOKUP(AI75,المرجع!$B$3:$C$12,2)</f>
        <v>0</v>
      </c>
      <c r="AK75" s="44" t="str">
        <f>VLOOKUP(AJ75,المرجع!$D$3:$E$12,2)</f>
        <v>ه</v>
      </c>
      <c r="AL75" s="40">
        <f t="shared" si="33"/>
        <v>0</v>
      </c>
      <c r="AM75" s="43">
        <v>2</v>
      </c>
      <c r="AN75" s="20">
        <v>20</v>
      </c>
      <c r="AO75" s="65">
        <f>VLOOKUP(AN75,المرجع!$B$3:$C$12,2)</f>
        <v>0</v>
      </c>
      <c r="AP75" s="44" t="str">
        <f>VLOOKUP(AO75,المرجع!$D$3:$E$12,2)</f>
        <v>ه</v>
      </c>
      <c r="AQ75" s="40">
        <f t="shared" si="34"/>
        <v>0</v>
      </c>
      <c r="AR75" s="43">
        <v>2</v>
      </c>
      <c r="AS75" s="20">
        <v>56</v>
      </c>
      <c r="AT75" s="65">
        <f>VLOOKUP(AS75,المرجع!$B$3:$C$12,2)</f>
        <v>2</v>
      </c>
      <c r="AU75" s="44" t="str">
        <f>VLOOKUP(AT75,المرجع!$D$3:$E$12,2)</f>
        <v>د</v>
      </c>
      <c r="AV75" s="40">
        <f t="shared" si="35"/>
        <v>4</v>
      </c>
      <c r="AW75" s="43">
        <v>2</v>
      </c>
      <c r="AX75" s="20">
        <v>63</v>
      </c>
      <c r="AY75" s="65">
        <f>VLOOKUP(AX75,المرجع!$B$3:$C$12,2)</f>
        <v>2</v>
      </c>
      <c r="AZ75" s="44" t="str">
        <f>VLOOKUP(AY75,المرجع!$D$3:$E$12,2)</f>
        <v>د</v>
      </c>
      <c r="BA75" s="40">
        <f t="shared" si="36"/>
        <v>4</v>
      </c>
      <c r="BB75" s="48">
        <f t="shared" si="37"/>
        <v>33.5</v>
      </c>
      <c r="BC75" s="49">
        <f t="shared" si="38"/>
        <v>23</v>
      </c>
      <c r="BD75" s="78">
        <f t="shared" si="40"/>
        <v>1.4565217391304348</v>
      </c>
      <c r="BE75" s="87">
        <f>(BB75+'المستوى الثاني 2023'!BB75+'المستوى الأول 2022'!BL75)/('المستوى الأول 2022'!BM75+'المستوى الثاني 2023'!BC75+'المستوى الثالث ح'!BC75)</f>
        <v>2.1139705882352939</v>
      </c>
      <c r="BF75" s="47" t="str">
        <f>VLOOKUP(BD75,المرجع!$D$3:$F$12,3)</f>
        <v>راسب</v>
      </c>
      <c r="BG75" s="42">
        <f t="shared" si="39"/>
        <v>73</v>
      </c>
    </row>
    <row r="76" spans="2:59" ht="22.75" customHeight="1">
      <c r="B76" s="20">
        <v>2023076</v>
      </c>
      <c r="C76" s="34" t="s">
        <v>82</v>
      </c>
      <c r="D76" s="43">
        <v>1</v>
      </c>
      <c r="E76" s="20">
        <v>87</v>
      </c>
      <c r="F76" s="65">
        <f>VLOOKUP(E76,المرجع!$B$3:$C$12,2)</f>
        <v>4.5</v>
      </c>
      <c r="G76" s="44" t="str">
        <f>VLOOKUP(F76,المرجع!$D$3:$E$12,2)</f>
        <v>ب+</v>
      </c>
      <c r="H76" s="40">
        <f t="shared" si="27"/>
        <v>4.5</v>
      </c>
      <c r="I76" s="43">
        <v>3</v>
      </c>
      <c r="J76" s="20">
        <v>50</v>
      </c>
      <c r="K76" s="65">
        <f>VLOOKUP(J76,المرجع!$B$3:$C$12,2)</f>
        <v>2</v>
      </c>
      <c r="L76" s="44" t="str">
        <f>VLOOKUP(K76,المرجع!$D$3:$E$12,2)</f>
        <v>د</v>
      </c>
      <c r="M76" s="40">
        <f t="shared" si="28"/>
        <v>6</v>
      </c>
      <c r="N76" s="43">
        <v>2</v>
      </c>
      <c r="O76" s="20">
        <v>31</v>
      </c>
      <c r="P76" s="65">
        <f>VLOOKUP(O76,المرجع!$B$3:$C$12,2)</f>
        <v>0</v>
      </c>
      <c r="Q76" s="44" t="str">
        <f>VLOOKUP(P76,المرجع!$D$3:$E$12,2)</f>
        <v>ه</v>
      </c>
      <c r="R76" s="40">
        <f t="shared" si="29"/>
        <v>0</v>
      </c>
      <c r="S76" s="43">
        <v>2</v>
      </c>
      <c r="T76" s="20">
        <v>85</v>
      </c>
      <c r="U76" s="65">
        <f>VLOOKUP(T76,المرجع!$B$3:$C$12,2)</f>
        <v>4.5</v>
      </c>
      <c r="V76" s="44" t="str">
        <f>VLOOKUP(U76,المرجع!$D$3:$E$12,2)</f>
        <v>ب+</v>
      </c>
      <c r="W76" s="40">
        <f t="shared" si="30"/>
        <v>9</v>
      </c>
      <c r="X76" s="43">
        <v>3</v>
      </c>
      <c r="Y76" s="20">
        <v>64</v>
      </c>
      <c r="Z76" s="65">
        <f>VLOOKUP(Y76,المرجع!$B$3:$C$12,2)</f>
        <v>2</v>
      </c>
      <c r="AA76" s="44" t="str">
        <f>VLOOKUP(Z76,المرجع!$D$3:$E$12,2)</f>
        <v>د</v>
      </c>
      <c r="AB76" s="40">
        <f t="shared" si="31"/>
        <v>6</v>
      </c>
      <c r="AC76" s="43">
        <v>3</v>
      </c>
      <c r="AD76" s="20">
        <v>17</v>
      </c>
      <c r="AE76" s="65">
        <f>VLOOKUP(AD76,المرجع!$B$3:$C$12,2)</f>
        <v>0</v>
      </c>
      <c r="AF76" s="44" t="str">
        <f>VLOOKUP(AE76,المرجع!$D$3:$E$12,2)</f>
        <v>ه</v>
      </c>
      <c r="AG76" s="40">
        <f t="shared" si="32"/>
        <v>0</v>
      </c>
      <c r="AH76" s="43">
        <v>3</v>
      </c>
      <c r="AI76" s="20">
        <v>10</v>
      </c>
      <c r="AJ76" s="65">
        <f>VLOOKUP(AI76,المرجع!$B$3:$C$12,2)</f>
        <v>0</v>
      </c>
      <c r="AK76" s="44" t="str">
        <f>VLOOKUP(AJ76,المرجع!$D$3:$E$12,2)</f>
        <v>ه</v>
      </c>
      <c r="AL76" s="40">
        <f t="shared" si="33"/>
        <v>0</v>
      </c>
      <c r="AM76" s="43">
        <v>2</v>
      </c>
      <c r="AN76" s="20">
        <v>45</v>
      </c>
      <c r="AO76" s="65">
        <f>VLOOKUP(AN76,المرجع!$B$3:$C$12,2)</f>
        <v>0</v>
      </c>
      <c r="AP76" s="44" t="str">
        <f>VLOOKUP(AO76,المرجع!$D$3:$E$12,2)</f>
        <v>ه</v>
      </c>
      <c r="AQ76" s="40">
        <f t="shared" si="34"/>
        <v>0</v>
      </c>
      <c r="AR76" s="43">
        <v>2</v>
      </c>
      <c r="AS76" s="20">
        <v>66</v>
      </c>
      <c r="AT76" s="65">
        <f>VLOOKUP(AS76,المرجع!$B$3:$C$12,2)</f>
        <v>2.5</v>
      </c>
      <c r="AU76" s="44" t="str">
        <f>VLOOKUP(AT76,المرجع!$D$3:$E$12,2)</f>
        <v>د+</v>
      </c>
      <c r="AV76" s="40">
        <f t="shared" si="35"/>
        <v>5</v>
      </c>
      <c r="AW76" s="43">
        <v>2</v>
      </c>
      <c r="AX76" s="20">
        <v>34</v>
      </c>
      <c r="AY76" s="65">
        <f>VLOOKUP(AX76,المرجع!$B$3:$C$12,2)</f>
        <v>0</v>
      </c>
      <c r="AZ76" s="44" t="str">
        <f>VLOOKUP(AY76,المرجع!$D$3:$E$12,2)</f>
        <v>ه</v>
      </c>
      <c r="BA76" s="40">
        <f t="shared" si="36"/>
        <v>0</v>
      </c>
      <c r="BB76" s="48">
        <f t="shared" si="37"/>
        <v>30.5</v>
      </c>
      <c r="BC76" s="49">
        <f t="shared" si="38"/>
        <v>23</v>
      </c>
      <c r="BD76" s="78">
        <f t="shared" si="40"/>
        <v>1.326086956521739</v>
      </c>
      <c r="BE76" s="87">
        <f>(BB76+'المستوى الثاني 2023'!BB76+'المستوى الأول 2022'!BL76)/('المستوى الأول 2022'!BM76+'المستوى الثاني 2023'!BC76+'المستوى الثالث ح'!BC76)</f>
        <v>1.8970588235294117</v>
      </c>
      <c r="BF76" s="47" t="str">
        <f>VLOOKUP(BD76,المرجع!$D$3:$F$12,3)</f>
        <v>راسب</v>
      </c>
      <c r="BG76" s="42">
        <f t="shared" si="39"/>
        <v>74</v>
      </c>
    </row>
    <row r="77" spans="2:59" ht="22.75" customHeight="1">
      <c r="B77" s="20">
        <v>2023037</v>
      </c>
      <c r="C77" s="34" t="s">
        <v>34</v>
      </c>
      <c r="D77" s="43">
        <v>1</v>
      </c>
      <c r="E77" s="20">
        <v>58</v>
      </c>
      <c r="F77" s="65">
        <f>VLOOKUP(E77,المرجع!$B$3:$C$12,2)</f>
        <v>2</v>
      </c>
      <c r="G77" s="44" t="str">
        <f>VLOOKUP(F77,المرجع!$D$3:$E$12,2)</f>
        <v>د</v>
      </c>
      <c r="H77" s="40">
        <f t="shared" si="27"/>
        <v>2</v>
      </c>
      <c r="I77" s="43">
        <v>3</v>
      </c>
      <c r="J77" s="20">
        <v>76</v>
      </c>
      <c r="K77" s="65">
        <f>VLOOKUP(J77,المرجع!$B$3:$C$12,2)</f>
        <v>3.5</v>
      </c>
      <c r="L77" s="44" t="str">
        <f>VLOOKUP(K77,المرجع!$D$3:$E$12,2)</f>
        <v>ج+</v>
      </c>
      <c r="M77" s="40">
        <f t="shared" si="28"/>
        <v>10.5</v>
      </c>
      <c r="N77" s="43">
        <v>2</v>
      </c>
      <c r="O77" s="20">
        <v>33</v>
      </c>
      <c r="P77" s="65">
        <f>VLOOKUP(O77,المرجع!$B$3:$C$12,2)</f>
        <v>0</v>
      </c>
      <c r="Q77" s="44" t="str">
        <f>VLOOKUP(P77,المرجع!$D$3:$E$12,2)</f>
        <v>ه</v>
      </c>
      <c r="R77" s="40">
        <f t="shared" si="29"/>
        <v>0</v>
      </c>
      <c r="S77" s="43">
        <v>2</v>
      </c>
      <c r="T77" s="20">
        <v>85</v>
      </c>
      <c r="U77" s="65">
        <f>VLOOKUP(T77,المرجع!$B$3:$C$12,2)</f>
        <v>4.5</v>
      </c>
      <c r="V77" s="44" t="str">
        <f>VLOOKUP(U77,المرجع!$D$3:$E$12,2)</f>
        <v>ب+</v>
      </c>
      <c r="W77" s="40">
        <f t="shared" si="30"/>
        <v>9</v>
      </c>
      <c r="X77" s="43">
        <v>3</v>
      </c>
      <c r="Y77" s="20">
        <v>40</v>
      </c>
      <c r="Z77" s="65">
        <f>VLOOKUP(Y77,المرجع!$B$3:$C$12,2)</f>
        <v>0</v>
      </c>
      <c r="AA77" s="44" t="str">
        <f>VLOOKUP(Z77,المرجع!$D$3:$E$12,2)</f>
        <v>ه</v>
      </c>
      <c r="AB77" s="40">
        <f t="shared" si="31"/>
        <v>0</v>
      </c>
      <c r="AC77" s="43">
        <v>3</v>
      </c>
      <c r="AD77" s="20">
        <v>26</v>
      </c>
      <c r="AE77" s="65">
        <f>VLOOKUP(AD77,المرجع!$B$3:$C$12,2)</f>
        <v>0</v>
      </c>
      <c r="AF77" s="44" t="str">
        <f>VLOOKUP(AE77,المرجع!$D$3:$E$12,2)</f>
        <v>ه</v>
      </c>
      <c r="AG77" s="40">
        <f t="shared" si="32"/>
        <v>0</v>
      </c>
      <c r="AH77" s="43">
        <v>3</v>
      </c>
      <c r="AI77" s="20">
        <v>18</v>
      </c>
      <c r="AJ77" s="65">
        <f>VLOOKUP(AI77,المرجع!$B$3:$C$12,2)</f>
        <v>0</v>
      </c>
      <c r="AK77" s="44" t="str">
        <f>VLOOKUP(AJ77,المرجع!$D$3:$E$12,2)</f>
        <v>ه</v>
      </c>
      <c r="AL77" s="40">
        <f t="shared" si="33"/>
        <v>0</v>
      </c>
      <c r="AM77" s="43">
        <v>2</v>
      </c>
      <c r="AN77" s="20">
        <v>45</v>
      </c>
      <c r="AO77" s="65">
        <f>VLOOKUP(AN77,المرجع!$B$3:$C$12,2)</f>
        <v>0</v>
      </c>
      <c r="AP77" s="44" t="str">
        <f>VLOOKUP(AO77,المرجع!$D$3:$E$12,2)</f>
        <v>ه</v>
      </c>
      <c r="AQ77" s="40">
        <f t="shared" si="34"/>
        <v>0</v>
      </c>
      <c r="AR77" s="43">
        <v>2</v>
      </c>
      <c r="AS77" s="20">
        <v>79</v>
      </c>
      <c r="AT77" s="65">
        <f>VLOOKUP(AS77,المرجع!$B$3:$C$12,2)</f>
        <v>3.5</v>
      </c>
      <c r="AU77" s="44" t="str">
        <f>VLOOKUP(AT77,المرجع!$D$3:$E$12,2)</f>
        <v>ج+</v>
      </c>
      <c r="AV77" s="40">
        <f t="shared" si="35"/>
        <v>7</v>
      </c>
      <c r="AW77" s="43">
        <v>2</v>
      </c>
      <c r="AX77" s="20">
        <v>16</v>
      </c>
      <c r="AY77" s="65">
        <f>VLOOKUP(AX77,المرجع!$B$3:$C$12,2)</f>
        <v>0</v>
      </c>
      <c r="AZ77" s="44" t="str">
        <f>VLOOKUP(AY77,المرجع!$D$3:$E$12,2)</f>
        <v>ه</v>
      </c>
      <c r="BA77" s="40">
        <f t="shared" si="36"/>
        <v>0</v>
      </c>
      <c r="BB77" s="48">
        <f t="shared" si="37"/>
        <v>28.5</v>
      </c>
      <c r="BC77" s="49">
        <f t="shared" si="38"/>
        <v>23</v>
      </c>
      <c r="BD77" s="78">
        <f t="shared" si="40"/>
        <v>1.2391304347826086</v>
      </c>
      <c r="BE77" s="87">
        <f>(BB77+'المستوى الثاني 2023'!BB77+'المستوى الأول 2022'!BL77)/('المستوى الأول 2022'!BM77+'المستوى الثاني 2023'!BC77+'المستوى الثالث ح'!BC77)</f>
        <v>1.8308823529411764</v>
      </c>
      <c r="BF77" s="47" t="str">
        <f>VLOOKUP(BD77,المرجع!$D$3:$F$12,3)</f>
        <v>راسب</v>
      </c>
      <c r="BG77" s="42">
        <f t="shared" si="39"/>
        <v>75</v>
      </c>
    </row>
  </sheetData>
  <sortState xmlns:xlrd2="http://schemas.microsoft.com/office/spreadsheetml/2017/richdata2" ref="B3:BG77">
    <sortCondition ref="BG3:BG77"/>
  </sortState>
  <conditionalFormatting sqref="BF1:BF1048576">
    <cfRule type="containsText" dxfId="4" priority="1" operator="containsText" text="راسب">
      <formula>NOT(ISERROR(SEARCH("راسب",BF1)))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3AE1-0208-4816-A6AA-F7CD8B2E3F01}">
  <dimension ref="B1:BG75"/>
  <sheetViews>
    <sheetView rightToLeft="1" topLeftCell="A61" workbookViewId="0">
      <selection activeCell="U5" sqref="U5"/>
    </sheetView>
  </sheetViews>
  <sheetFormatPr defaultRowHeight="17.5"/>
  <cols>
    <col min="2" max="2" width="9.90625" customWidth="1"/>
    <col min="3" max="3" width="27" style="51" customWidth="1"/>
    <col min="4" max="4" width="4.453125" style="54" customWidth="1"/>
    <col min="5" max="5" width="4.453125" customWidth="1"/>
    <col min="6" max="6" width="5.36328125" style="63" customWidth="1"/>
    <col min="7" max="10" width="4.453125" customWidth="1"/>
    <col min="11" max="11" width="5.6328125" bestFit="1" customWidth="1"/>
    <col min="12" max="15" width="4.453125" customWidth="1"/>
    <col min="16" max="16" width="5.6328125" bestFit="1" customWidth="1"/>
    <col min="17" max="20" width="4.453125" customWidth="1"/>
    <col min="21" max="21" width="5.6328125" bestFit="1" customWidth="1"/>
    <col min="22" max="25" width="4.453125" customWidth="1"/>
    <col min="26" max="26" width="5.453125" customWidth="1"/>
    <col min="27" max="30" width="4.453125" customWidth="1"/>
    <col min="31" max="31" width="5.36328125" customWidth="1"/>
    <col min="32" max="35" width="4.453125" customWidth="1"/>
    <col min="36" max="36" width="5.6328125" customWidth="1"/>
    <col min="37" max="40" width="4.453125" customWidth="1"/>
    <col min="41" max="41" width="5.6328125" bestFit="1" customWidth="1"/>
    <col min="42" max="44" width="4.453125" customWidth="1"/>
    <col min="45" max="45" width="4.1796875" bestFit="1" customWidth="1"/>
    <col min="46" max="46" width="5.6328125" bestFit="1" customWidth="1"/>
    <col min="47" max="50" width="4.453125" customWidth="1"/>
    <col min="51" max="51" width="5.6328125" bestFit="1" customWidth="1"/>
    <col min="52" max="53" width="4.453125" customWidth="1"/>
    <col min="54" max="57" width="6.453125" customWidth="1"/>
    <col min="58" max="58" width="11.36328125" bestFit="1" customWidth="1"/>
    <col min="59" max="59" width="6.453125" customWidth="1"/>
  </cols>
  <sheetData>
    <row r="1" spans="2:59" ht="55.25" customHeight="1"/>
    <row r="2" spans="2:59" ht="113.5">
      <c r="B2" s="50" t="s">
        <v>127</v>
      </c>
      <c r="C2" s="62" t="s">
        <v>128</v>
      </c>
      <c r="D2" s="52" t="s">
        <v>151</v>
      </c>
      <c r="E2" s="96" t="s">
        <v>129</v>
      </c>
      <c r="F2" s="64" t="s">
        <v>97</v>
      </c>
      <c r="G2" s="38" t="s">
        <v>98</v>
      </c>
      <c r="H2" s="39" t="s">
        <v>99</v>
      </c>
      <c r="I2" s="52" t="s">
        <v>151</v>
      </c>
      <c r="J2" s="96" t="s">
        <v>142</v>
      </c>
      <c r="K2" s="37" t="s">
        <v>97</v>
      </c>
      <c r="L2" s="38" t="s">
        <v>98</v>
      </c>
      <c r="M2" s="39" t="s">
        <v>99</v>
      </c>
      <c r="N2" s="52" t="s">
        <v>151</v>
      </c>
      <c r="O2" s="96" t="s">
        <v>143</v>
      </c>
      <c r="P2" s="37" t="s">
        <v>97</v>
      </c>
      <c r="Q2" s="38" t="s">
        <v>98</v>
      </c>
      <c r="R2" s="39" t="s">
        <v>99</v>
      </c>
      <c r="S2" s="52" t="s">
        <v>151</v>
      </c>
      <c r="T2" s="96" t="s">
        <v>144</v>
      </c>
      <c r="U2" s="37" t="s">
        <v>97</v>
      </c>
      <c r="V2" s="38" t="s">
        <v>98</v>
      </c>
      <c r="W2" s="39" t="s">
        <v>99</v>
      </c>
      <c r="X2" s="52" t="s">
        <v>151</v>
      </c>
      <c r="Y2" s="50" t="s">
        <v>145</v>
      </c>
      <c r="Z2" s="37" t="s">
        <v>97</v>
      </c>
      <c r="AA2" s="38" t="s">
        <v>98</v>
      </c>
      <c r="AB2" s="39" t="s">
        <v>99</v>
      </c>
      <c r="AC2" s="52" t="s">
        <v>151</v>
      </c>
      <c r="AD2" s="96" t="s">
        <v>146</v>
      </c>
      <c r="AE2" s="37" t="s">
        <v>97</v>
      </c>
      <c r="AF2" s="38" t="s">
        <v>98</v>
      </c>
      <c r="AG2" s="39" t="s">
        <v>99</v>
      </c>
      <c r="AH2" s="52" t="s">
        <v>151</v>
      </c>
      <c r="AI2" s="96" t="s">
        <v>147</v>
      </c>
      <c r="AJ2" s="37" t="s">
        <v>97</v>
      </c>
      <c r="AK2" s="38" t="s">
        <v>98</v>
      </c>
      <c r="AL2" s="39" t="s">
        <v>99</v>
      </c>
      <c r="AM2" s="52" t="s">
        <v>151</v>
      </c>
      <c r="AN2" s="96" t="s">
        <v>148</v>
      </c>
      <c r="AO2" s="37" t="s">
        <v>97</v>
      </c>
      <c r="AP2" s="38" t="s">
        <v>98</v>
      </c>
      <c r="AQ2" s="39" t="s">
        <v>99</v>
      </c>
      <c r="AR2" s="52" t="s">
        <v>151</v>
      </c>
      <c r="AS2" s="50" t="s">
        <v>149</v>
      </c>
      <c r="AT2" s="37" t="s">
        <v>97</v>
      </c>
      <c r="AU2" s="38" t="s">
        <v>98</v>
      </c>
      <c r="AV2" s="39" t="s">
        <v>99</v>
      </c>
      <c r="AW2" s="52" t="s">
        <v>151</v>
      </c>
      <c r="AX2" s="96" t="s">
        <v>150</v>
      </c>
      <c r="AY2" s="37" t="s">
        <v>97</v>
      </c>
      <c r="AZ2" s="38" t="s">
        <v>98</v>
      </c>
      <c r="BA2" s="39" t="s">
        <v>99</v>
      </c>
      <c r="BB2" s="55" t="s">
        <v>100</v>
      </c>
      <c r="BC2" s="55" t="s">
        <v>101</v>
      </c>
      <c r="BD2" s="55" t="s">
        <v>102</v>
      </c>
      <c r="BE2" s="55" t="s">
        <v>103</v>
      </c>
      <c r="BF2" s="55" t="s">
        <v>104</v>
      </c>
      <c r="BG2" s="55" t="s">
        <v>105</v>
      </c>
    </row>
    <row r="3" spans="2:59" ht="24" customHeight="1">
      <c r="B3" s="31">
        <v>2023085</v>
      </c>
      <c r="C3" s="61" t="s">
        <v>85</v>
      </c>
      <c r="D3" s="53">
        <v>1</v>
      </c>
      <c r="E3" s="15">
        <v>97</v>
      </c>
      <c r="F3" s="65">
        <f>VLOOKUP(E3,المرجع!$B$3:$C$12,2)</f>
        <v>5</v>
      </c>
      <c r="G3" s="44" t="str">
        <f>VLOOKUP(F3,المرجع!$D$3:$E$12,2)</f>
        <v xml:space="preserve">أ+ </v>
      </c>
      <c r="H3" s="40">
        <f t="shared" ref="H3:H34" si="0">F3*D3</f>
        <v>5</v>
      </c>
      <c r="I3" s="53">
        <v>3</v>
      </c>
      <c r="J3" s="15">
        <v>100</v>
      </c>
      <c r="K3" s="65">
        <f>VLOOKUP(J3,المرجع!$B$3:$C$12,2)</f>
        <v>5</v>
      </c>
      <c r="L3" s="44" t="str">
        <f>VLOOKUP(K3,المرجع!$C$3:$E$12,3)</f>
        <v xml:space="preserve">أ+ </v>
      </c>
      <c r="M3" s="40">
        <f t="shared" ref="M3:M34" si="1">K3*I3</f>
        <v>15</v>
      </c>
      <c r="N3" s="53">
        <v>3</v>
      </c>
      <c r="O3" s="15">
        <v>93</v>
      </c>
      <c r="P3" s="65">
        <f>VLOOKUP(O3,المرجع!$B$3:$C$12,2)</f>
        <v>4.75</v>
      </c>
      <c r="Q3" s="44" t="str">
        <f>VLOOKUP(P3,المرجع!$C$3:$E$12,3)</f>
        <v>أ</v>
      </c>
      <c r="R3" s="40">
        <f t="shared" ref="R3:R34" si="2">P3*N3</f>
        <v>14.25</v>
      </c>
      <c r="S3" s="53">
        <v>3</v>
      </c>
      <c r="T3" s="15">
        <v>100</v>
      </c>
      <c r="U3" s="65">
        <f>VLOOKUP(T3,المرجع!$B$3:$C$12,2)</f>
        <v>5</v>
      </c>
      <c r="V3" s="44" t="str">
        <f>VLOOKUP(U3,المرجع!$C$3:$E$12,3)</f>
        <v xml:space="preserve">أ+ </v>
      </c>
      <c r="W3" s="40">
        <f t="shared" ref="W3:W34" si="3">U3*S3</f>
        <v>15</v>
      </c>
      <c r="X3" s="53">
        <v>3</v>
      </c>
      <c r="Y3" s="15">
        <v>100</v>
      </c>
      <c r="Z3" s="65">
        <f>VLOOKUP(Y3,المرجع!$B$3:$C$12,2)</f>
        <v>5</v>
      </c>
      <c r="AA3" s="44" t="str">
        <f>VLOOKUP(Z3,المرجع!$C$3:$E$12,3)</f>
        <v xml:space="preserve">أ+ </v>
      </c>
      <c r="AB3" s="40">
        <f t="shared" ref="AB3:AB34" si="4">Z3*X3</f>
        <v>15</v>
      </c>
      <c r="AC3" s="53">
        <v>2</v>
      </c>
      <c r="AD3" s="15">
        <v>94</v>
      </c>
      <c r="AE3" s="65">
        <f>VLOOKUP(AD3,المرجع!$B$3:$C$12,2)</f>
        <v>4.75</v>
      </c>
      <c r="AF3" s="44" t="str">
        <f>VLOOKUP(AE3,المرجع!$C$3:$E$12,3)</f>
        <v>أ</v>
      </c>
      <c r="AG3" s="40">
        <f t="shared" ref="AG3:AG34" si="5">AE3*AC3</f>
        <v>9.5</v>
      </c>
      <c r="AH3" s="53">
        <v>2</v>
      </c>
      <c r="AI3" s="15">
        <v>94</v>
      </c>
      <c r="AJ3" s="65">
        <f>VLOOKUP(AI3,المرجع!$B$3:$C$12,2)</f>
        <v>4.75</v>
      </c>
      <c r="AK3" s="44" t="str">
        <f>VLOOKUP(AJ3,المرجع!$C$3:$E$12,3)</f>
        <v>أ</v>
      </c>
      <c r="AL3" s="40">
        <f t="shared" ref="AL3:AL34" si="6">AJ3*AH3</f>
        <v>9.5</v>
      </c>
      <c r="AM3" s="53">
        <v>2</v>
      </c>
      <c r="AN3" s="15">
        <v>95</v>
      </c>
      <c r="AO3" s="65">
        <f>VLOOKUP(AN3,المرجع!$B$3:$C$12,2)</f>
        <v>5</v>
      </c>
      <c r="AP3" s="44" t="str">
        <f>VLOOKUP(AO3,المرجع!$C$3:$E$12,3)</f>
        <v xml:space="preserve">أ+ </v>
      </c>
      <c r="AQ3" s="40">
        <f t="shared" ref="AQ3:AQ34" si="7">AO3*AM3</f>
        <v>10</v>
      </c>
      <c r="AR3" s="53">
        <v>2</v>
      </c>
      <c r="AS3" s="15">
        <v>100</v>
      </c>
      <c r="AT3" s="65">
        <f>VLOOKUP(AS3,المرجع!$B$3:$C$12,2)</f>
        <v>5</v>
      </c>
      <c r="AU3" s="44" t="str">
        <f>VLOOKUP(AT3,المرجع!$C$3:$E$12,3)</f>
        <v xml:space="preserve">أ+ </v>
      </c>
      <c r="AV3" s="40">
        <f t="shared" ref="AV3:AV34" si="8">AT3*AR3</f>
        <v>10</v>
      </c>
      <c r="AW3" s="53">
        <v>2</v>
      </c>
      <c r="AX3" s="15">
        <v>94</v>
      </c>
      <c r="AY3" s="65">
        <f>VLOOKUP(AX3,المرجع!$B$3:$C$12,2)</f>
        <v>4.75</v>
      </c>
      <c r="AZ3" s="44" t="str">
        <f>VLOOKUP(AY3,المرجع!$C$3:$E$12,3)</f>
        <v>أ</v>
      </c>
      <c r="BA3" s="40">
        <f t="shared" ref="BA3:BA34" si="9">AY3*AW3</f>
        <v>9.5</v>
      </c>
      <c r="BB3" s="56">
        <f t="shared" ref="BB3:BB34" si="10">BA3+AV3+AQ3+AL3+AG3+AB3+W3+R3+M3+H3</f>
        <v>112.75</v>
      </c>
      <c r="BC3" s="58">
        <f t="shared" ref="BC3:BC34" si="11">AW3+AR3+AM3+AH3+AC3+X3+S3+N3+I3+D3</f>
        <v>23</v>
      </c>
      <c r="BD3" s="60">
        <f>BB3/BC3</f>
        <v>4.9021739130434785</v>
      </c>
      <c r="BE3" s="91">
        <f>(BB3+'المستوى الثالث ح'!BB3+'المستوى الثاني 2023'!BB3+'المستوى الأول 2022'!BL3)/92</f>
        <v>4.5706521739130439</v>
      </c>
      <c r="BF3" s="59" t="str">
        <f>VLOOKUP(BD3,المرجع!$D$3:$F$12,3)</f>
        <v xml:space="preserve">ممتاز مرتفع </v>
      </c>
      <c r="BG3" s="57">
        <f t="shared" ref="BG3:BG34" si="12">RANK(BD3,$BD$3:$BD$75)</f>
        <v>1</v>
      </c>
    </row>
    <row r="4" spans="2:59" ht="24" customHeight="1">
      <c r="B4" s="31">
        <v>2023035</v>
      </c>
      <c r="C4" s="61" t="s">
        <v>84</v>
      </c>
      <c r="D4" s="53">
        <v>1</v>
      </c>
      <c r="E4" s="15">
        <v>95</v>
      </c>
      <c r="F4" s="65">
        <f>VLOOKUP(E4,المرجع!$B$3:$C$12,2)</f>
        <v>5</v>
      </c>
      <c r="G4" s="44" t="str">
        <f>VLOOKUP(F4,المرجع!$D$3:$E$12,2)</f>
        <v xml:space="preserve">أ+ </v>
      </c>
      <c r="H4" s="40">
        <f t="shared" si="0"/>
        <v>5</v>
      </c>
      <c r="I4" s="53">
        <v>3</v>
      </c>
      <c r="J4" s="15">
        <v>93</v>
      </c>
      <c r="K4" s="65">
        <f>VLOOKUP(J4,المرجع!$B$3:$C$12,2)</f>
        <v>4.75</v>
      </c>
      <c r="L4" s="44" t="str">
        <f>VLOOKUP(K4,المرجع!$C$3:$E$12,3)</f>
        <v>أ</v>
      </c>
      <c r="M4" s="40">
        <f t="shared" si="1"/>
        <v>14.25</v>
      </c>
      <c r="N4" s="53">
        <v>3</v>
      </c>
      <c r="O4" s="15">
        <v>93</v>
      </c>
      <c r="P4" s="65">
        <f>VLOOKUP(O4,المرجع!$B$3:$C$12,2)</f>
        <v>4.75</v>
      </c>
      <c r="Q4" s="44" t="str">
        <f>VLOOKUP(P4,المرجع!$C$3:$E$12,3)</f>
        <v>أ</v>
      </c>
      <c r="R4" s="40">
        <f t="shared" si="2"/>
        <v>14.25</v>
      </c>
      <c r="S4" s="53">
        <v>3</v>
      </c>
      <c r="T4" s="15">
        <v>100</v>
      </c>
      <c r="U4" s="65">
        <f>VLOOKUP(T4,المرجع!$B$3:$C$12,2)</f>
        <v>5</v>
      </c>
      <c r="V4" s="44" t="str">
        <f>VLOOKUP(U4,المرجع!$C$3:$E$12,3)</f>
        <v xml:space="preserve">أ+ </v>
      </c>
      <c r="W4" s="40">
        <f t="shared" si="3"/>
        <v>15</v>
      </c>
      <c r="X4" s="53">
        <v>3</v>
      </c>
      <c r="Y4" s="15">
        <v>100</v>
      </c>
      <c r="Z4" s="65">
        <f>VLOOKUP(Y4,المرجع!$B$3:$C$12,2)</f>
        <v>5</v>
      </c>
      <c r="AA4" s="44" t="str">
        <f>VLOOKUP(Z4,المرجع!$C$3:$E$12,3)</f>
        <v xml:space="preserve">أ+ </v>
      </c>
      <c r="AB4" s="40">
        <f t="shared" si="4"/>
        <v>15</v>
      </c>
      <c r="AC4" s="53">
        <v>2</v>
      </c>
      <c r="AD4" s="15">
        <v>88</v>
      </c>
      <c r="AE4" s="65">
        <f>VLOOKUP(AD4,المرجع!$B$3:$C$12,2)</f>
        <v>4.5</v>
      </c>
      <c r="AF4" s="44" t="str">
        <f>VLOOKUP(AE4,المرجع!$C$3:$E$12,3)</f>
        <v>ب+</v>
      </c>
      <c r="AG4" s="40">
        <f t="shared" si="5"/>
        <v>9</v>
      </c>
      <c r="AH4" s="53">
        <v>2</v>
      </c>
      <c r="AI4" s="15">
        <v>99</v>
      </c>
      <c r="AJ4" s="65">
        <f>VLOOKUP(AI4,المرجع!$B$3:$C$12,2)</f>
        <v>5</v>
      </c>
      <c r="AK4" s="44" t="str">
        <f>VLOOKUP(AJ4,المرجع!$C$3:$E$12,3)</f>
        <v xml:space="preserve">أ+ </v>
      </c>
      <c r="AL4" s="40">
        <f t="shared" si="6"/>
        <v>10</v>
      </c>
      <c r="AM4" s="53">
        <v>2</v>
      </c>
      <c r="AN4" s="15">
        <v>100</v>
      </c>
      <c r="AO4" s="65">
        <f>VLOOKUP(AN4,المرجع!$B$3:$C$12,2)</f>
        <v>5</v>
      </c>
      <c r="AP4" s="44" t="str">
        <f>VLOOKUP(AO4,المرجع!$C$3:$E$12,3)</f>
        <v xml:space="preserve">أ+ </v>
      </c>
      <c r="AQ4" s="40">
        <f t="shared" si="7"/>
        <v>10</v>
      </c>
      <c r="AR4" s="53">
        <v>2</v>
      </c>
      <c r="AS4" s="15">
        <v>100</v>
      </c>
      <c r="AT4" s="65">
        <f>VLOOKUP(AS4,المرجع!$B$3:$C$12,2)</f>
        <v>5</v>
      </c>
      <c r="AU4" s="44" t="str">
        <f>VLOOKUP(AT4,المرجع!$C$3:$E$12,3)</f>
        <v xml:space="preserve">أ+ </v>
      </c>
      <c r="AV4" s="40">
        <f t="shared" si="8"/>
        <v>10</v>
      </c>
      <c r="AW4" s="53">
        <v>2</v>
      </c>
      <c r="AX4" s="15">
        <v>94</v>
      </c>
      <c r="AY4" s="65">
        <f>VLOOKUP(AX4,المرجع!$B$3:$C$12,2)</f>
        <v>4.75</v>
      </c>
      <c r="AZ4" s="44" t="str">
        <f>VLOOKUP(AY4,المرجع!$C$3:$E$12,3)</f>
        <v>أ</v>
      </c>
      <c r="BA4" s="40">
        <f t="shared" si="9"/>
        <v>9.5</v>
      </c>
      <c r="BB4" s="56">
        <f t="shared" si="10"/>
        <v>112</v>
      </c>
      <c r="BC4" s="58">
        <f t="shared" si="11"/>
        <v>23</v>
      </c>
      <c r="BD4" s="60">
        <f t="shared" ref="BD4:BD34" si="13">BB4/BC4</f>
        <v>4.8695652173913047</v>
      </c>
      <c r="BE4" s="91">
        <f>(BB4+'المستوى الثالث ح'!BB4+'المستوى الثاني 2023'!BB4+'المستوى الأول 2022'!BL4)/92</f>
        <v>4.5217391304347823</v>
      </c>
      <c r="BF4" s="59" t="str">
        <f>VLOOKUP(BD4,المرجع!$D$3:$F$12,3)</f>
        <v xml:space="preserve">ممتاز مرتفع </v>
      </c>
      <c r="BG4" s="57">
        <f t="shared" si="12"/>
        <v>2</v>
      </c>
    </row>
    <row r="5" spans="2:59" ht="24" customHeight="1">
      <c r="B5" s="31">
        <v>2023023</v>
      </c>
      <c r="C5" s="61" t="s">
        <v>87</v>
      </c>
      <c r="D5" s="53">
        <v>1</v>
      </c>
      <c r="E5" s="15">
        <v>85</v>
      </c>
      <c r="F5" s="65">
        <f>VLOOKUP(E5,المرجع!$B$3:$C$12,2)</f>
        <v>4.5</v>
      </c>
      <c r="G5" s="44" t="str">
        <f>VLOOKUP(F5,المرجع!$D$3:$E$12,2)</f>
        <v>ب+</v>
      </c>
      <c r="H5" s="40">
        <f t="shared" si="0"/>
        <v>4.5</v>
      </c>
      <c r="I5" s="53">
        <v>3</v>
      </c>
      <c r="J5" s="15">
        <v>100</v>
      </c>
      <c r="K5" s="65">
        <f>VLOOKUP(J5,المرجع!$B$3:$C$12,2)</f>
        <v>5</v>
      </c>
      <c r="L5" s="44" t="str">
        <f>VLOOKUP(K5,المرجع!$C$3:$E$12,3)</f>
        <v xml:space="preserve">أ+ </v>
      </c>
      <c r="M5" s="40">
        <f t="shared" si="1"/>
        <v>15</v>
      </c>
      <c r="N5" s="53">
        <v>3</v>
      </c>
      <c r="O5" s="15">
        <v>100</v>
      </c>
      <c r="P5" s="65">
        <f>VLOOKUP(O5,المرجع!$B$3:$C$12,2)</f>
        <v>5</v>
      </c>
      <c r="Q5" s="44" t="str">
        <f>VLOOKUP(P5,المرجع!$C$3:$E$12,3)</f>
        <v xml:space="preserve">أ+ </v>
      </c>
      <c r="R5" s="40">
        <f t="shared" si="2"/>
        <v>15</v>
      </c>
      <c r="S5" s="53">
        <v>3</v>
      </c>
      <c r="T5" s="15">
        <v>100</v>
      </c>
      <c r="U5" s="65">
        <f>VLOOKUP(T5,المرجع!$B$3:$C$12,2)</f>
        <v>5</v>
      </c>
      <c r="V5" s="44" t="str">
        <f>VLOOKUP(U5,المرجع!$C$3:$E$12,3)</f>
        <v xml:space="preserve">أ+ </v>
      </c>
      <c r="W5" s="40">
        <f t="shared" si="3"/>
        <v>15</v>
      </c>
      <c r="X5" s="53">
        <v>3</v>
      </c>
      <c r="Y5" s="15">
        <v>100</v>
      </c>
      <c r="Z5" s="65">
        <f>VLOOKUP(Y5,المرجع!$B$3:$C$12,2)</f>
        <v>5</v>
      </c>
      <c r="AA5" s="44" t="str">
        <f>VLOOKUP(Z5,المرجع!$C$3:$E$12,3)</f>
        <v xml:space="preserve">أ+ </v>
      </c>
      <c r="AB5" s="40">
        <f t="shared" si="4"/>
        <v>15</v>
      </c>
      <c r="AC5" s="53">
        <v>2</v>
      </c>
      <c r="AD5" s="15">
        <v>84</v>
      </c>
      <c r="AE5" s="65">
        <f>VLOOKUP(AD5,المرجع!$B$3:$C$12,2)</f>
        <v>4</v>
      </c>
      <c r="AF5" s="44" t="str">
        <f>VLOOKUP(AE5,المرجع!$C$3:$E$12,3)</f>
        <v>ب</v>
      </c>
      <c r="AG5" s="40">
        <f t="shared" si="5"/>
        <v>8</v>
      </c>
      <c r="AH5" s="53">
        <v>2</v>
      </c>
      <c r="AI5" s="15">
        <v>99</v>
      </c>
      <c r="AJ5" s="65">
        <f>VLOOKUP(AI5,المرجع!$B$3:$C$12,2)</f>
        <v>5</v>
      </c>
      <c r="AK5" s="44" t="str">
        <f>VLOOKUP(AJ5,المرجع!$C$3:$E$12,3)</f>
        <v xml:space="preserve">أ+ </v>
      </c>
      <c r="AL5" s="40">
        <f t="shared" si="6"/>
        <v>10</v>
      </c>
      <c r="AM5" s="53">
        <v>2</v>
      </c>
      <c r="AN5" s="15">
        <v>95</v>
      </c>
      <c r="AO5" s="65">
        <f>VLOOKUP(AN5,المرجع!$B$3:$C$12,2)</f>
        <v>5</v>
      </c>
      <c r="AP5" s="44" t="str">
        <f>VLOOKUP(AO5,المرجع!$C$3:$E$12,3)</f>
        <v xml:space="preserve">أ+ </v>
      </c>
      <c r="AQ5" s="40">
        <f t="shared" si="7"/>
        <v>10</v>
      </c>
      <c r="AR5" s="53">
        <v>2</v>
      </c>
      <c r="AS5" s="15">
        <v>100</v>
      </c>
      <c r="AT5" s="65">
        <f>VLOOKUP(AS5,المرجع!$B$3:$C$12,2)</f>
        <v>5</v>
      </c>
      <c r="AU5" s="44" t="str">
        <f>VLOOKUP(AT5,المرجع!$C$3:$E$12,3)</f>
        <v xml:space="preserve">أ+ </v>
      </c>
      <c r="AV5" s="40">
        <f t="shared" si="8"/>
        <v>10</v>
      </c>
      <c r="AW5" s="53">
        <v>2</v>
      </c>
      <c r="AX5" s="15">
        <v>92</v>
      </c>
      <c r="AY5" s="65">
        <f>VLOOKUP(AX5,المرجع!$B$3:$C$12,2)</f>
        <v>4.75</v>
      </c>
      <c r="AZ5" s="44" t="str">
        <f>VLOOKUP(AY5,المرجع!$C$3:$E$12,3)</f>
        <v>أ</v>
      </c>
      <c r="BA5" s="40">
        <f t="shared" si="9"/>
        <v>9.5</v>
      </c>
      <c r="BB5" s="56">
        <f t="shared" si="10"/>
        <v>112</v>
      </c>
      <c r="BC5" s="58">
        <f t="shared" si="11"/>
        <v>23</v>
      </c>
      <c r="BD5" s="60">
        <f t="shared" si="13"/>
        <v>4.8695652173913047</v>
      </c>
      <c r="BE5" s="91">
        <f>(BB5+'المستوى الثالث ح'!BB5+'المستوى الثاني 2023'!BB5+'المستوى الأول 2022'!BL5)/92</f>
        <v>4.4619565217391308</v>
      </c>
      <c r="BF5" s="59" t="str">
        <f>VLOOKUP(BD5,المرجع!$D$3:$F$12,3)</f>
        <v xml:space="preserve">ممتاز مرتفع </v>
      </c>
      <c r="BG5" s="57">
        <f t="shared" si="12"/>
        <v>2</v>
      </c>
    </row>
    <row r="6" spans="2:59" ht="24" customHeight="1">
      <c r="B6" s="31">
        <v>2023041</v>
      </c>
      <c r="C6" s="61" t="s">
        <v>90</v>
      </c>
      <c r="D6" s="53">
        <v>1</v>
      </c>
      <c r="E6" s="15">
        <v>96</v>
      </c>
      <c r="F6" s="65">
        <f>VLOOKUP(E6,المرجع!$B$3:$C$12,2)</f>
        <v>5</v>
      </c>
      <c r="G6" s="44" t="str">
        <f>VLOOKUP(F6,المرجع!$D$3:$E$12,2)</f>
        <v xml:space="preserve">أ+ </v>
      </c>
      <c r="H6" s="40">
        <f t="shared" si="0"/>
        <v>5</v>
      </c>
      <c r="I6" s="53">
        <v>3</v>
      </c>
      <c r="J6" s="15">
        <v>95</v>
      </c>
      <c r="K6" s="65">
        <f>VLOOKUP(J6,المرجع!$B$3:$C$12,2)</f>
        <v>5</v>
      </c>
      <c r="L6" s="44" t="str">
        <f>VLOOKUP(K6,المرجع!$C$3:$E$12,3)</f>
        <v xml:space="preserve">أ+ </v>
      </c>
      <c r="M6" s="40">
        <f t="shared" si="1"/>
        <v>15</v>
      </c>
      <c r="N6" s="53">
        <v>3</v>
      </c>
      <c r="O6" s="15">
        <v>96</v>
      </c>
      <c r="P6" s="65">
        <f>VLOOKUP(O6,المرجع!$B$3:$C$12,2)</f>
        <v>5</v>
      </c>
      <c r="Q6" s="44" t="str">
        <f>VLOOKUP(P6,المرجع!$C$3:$E$12,3)</f>
        <v xml:space="preserve">أ+ </v>
      </c>
      <c r="R6" s="40">
        <f t="shared" si="2"/>
        <v>15</v>
      </c>
      <c r="S6" s="53">
        <v>3</v>
      </c>
      <c r="T6" s="15">
        <v>100</v>
      </c>
      <c r="U6" s="65">
        <f>VLOOKUP(T6,المرجع!$B$3:$C$12,2)</f>
        <v>5</v>
      </c>
      <c r="V6" s="44" t="str">
        <f>VLOOKUP(U6,المرجع!$C$3:$E$12,3)</f>
        <v xml:space="preserve">أ+ </v>
      </c>
      <c r="W6" s="40">
        <f t="shared" si="3"/>
        <v>15</v>
      </c>
      <c r="X6" s="53">
        <v>3</v>
      </c>
      <c r="Y6" s="15">
        <v>100</v>
      </c>
      <c r="Z6" s="65">
        <f>VLOOKUP(Y6,المرجع!$B$3:$C$12,2)</f>
        <v>5</v>
      </c>
      <c r="AA6" s="44" t="str">
        <f>VLOOKUP(Z6,المرجع!$C$3:$E$12,3)</f>
        <v xml:space="preserve">أ+ </v>
      </c>
      <c r="AB6" s="40">
        <f t="shared" si="4"/>
        <v>15</v>
      </c>
      <c r="AC6" s="53">
        <v>2</v>
      </c>
      <c r="AD6" s="15">
        <v>91</v>
      </c>
      <c r="AE6" s="65">
        <f>VLOOKUP(AD6,المرجع!$B$3:$C$12,2)</f>
        <v>4.75</v>
      </c>
      <c r="AF6" s="44" t="str">
        <f>VLOOKUP(AE6,المرجع!$C$3:$E$12,3)</f>
        <v>أ</v>
      </c>
      <c r="AG6" s="40">
        <f t="shared" si="5"/>
        <v>9.5</v>
      </c>
      <c r="AH6" s="53">
        <v>2</v>
      </c>
      <c r="AI6" s="15">
        <v>97</v>
      </c>
      <c r="AJ6" s="65">
        <f>VLOOKUP(AI6,المرجع!$B$3:$C$12,2)</f>
        <v>5</v>
      </c>
      <c r="AK6" s="44" t="str">
        <f>VLOOKUP(AJ6,المرجع!$C$3:$E$12,3)</f>
        <v xml:space="preserve">أ+ </v>
      </c>
      <c r="AL6" s="40">
        <f t="shared" si="6"/>
        <v>10</v>
      </c>
      <c r="AM6" s="53">
        <v>2</v>
      </c>
      <c r="AN6" s="15">
        <v>95</v>
      </c>
      <c r="AO6" s="65">
        <f>VLOOKUP(AN6,المرجع!$B$3:$C$12,2)</f>
        <v>5</v>
      </c>
      <c r="AP6" s="44" t="str">
        <f>VLOOKUP(AO6,المرجع!$C$3:$E$12,3)</f>
        <v xml:space="preserve">أ+ </v>
      </c>
      <c r="AQ6" s="40">
        <f t="shared" si="7"/>
        <v>10</v>
      </c>
      <c r="AR6" s="53">
        <v>2</v>
      </c>
      <c r="AS6" s="15">
        <v>100</v>
      </c>
      <c r="AT6" s="65">
        <f>VLOOKUP(AS6,المرجع!$B$3:$C$12,2)</f>
        <v>5</v>
      </c>
      <c r="AU6" s="44" t="str">
        <f>VLOOKUP(AT6,المرجع!$C$3:$E$12,3)</f>
        <v xml:space="preserve">أ+ </v>
      </c>
      <c r="AV6" s="40">
        <f t="shared" si="8"/>
        <v>10</v>
      </c>
      <c r="AW6" s="53">
        <v>2</v>
      </c>
      <c r="AX6" s="15">
        <v>77</v>
      </c>
      <c r="AY6" s="65">
        <f>VLOOKUP(AX6,المرجع!$B$3:$C$12,2)</f>
        <v>3.5</v>
      </c>
      <c r="AZ6" s="44" t="str">
        <f>VLOOKUP(AY6,المرجع!$C$3:$E$12,3)</f>
        <v>ج+</v>
      </c>
      <c r="BA6" s="40">
        <f t="shared" si="9"/>
        <v>7</v>
      </c>
      <c r="BB6" s="56">
        <f t="shared" si="10"/>
        <v>111.5</v>
      </c>
      <c r="BC6" s="58">
        <f t="shared" si="11"/>
        <v>23</v>
      </c>
      <c r="BD6" s="60">
        <f t="shared" si="13"/>
        <v>4.8478260869565215</v>
      </c>
      <c r="BE6" s="91">
        <f>(BB6+'المستوى الثالث ح'!BB6+'المستوى الثاني 2023'!BB6+'المستوى الأول 2022'!BL6)/92</f>
        <v>4.5217391304347823</v>
      </c>
      <c r="BF6" s="59" t="str">
        <f>VLOOKUP(BD6,المرجع!$D$3:$F$12,3)</f>
        <v xml:space="preserve">ممتاز مرتفع </v>
      </c>
      <c r="BG6" s="57">
        <f t="shared" si="12"/>
        <v>4</v>
      </c>
    </row>
    <row r="7" spans="2:59" ht="24" customHeight="1">
      <c r="B7" s="31">
        <v>2023053</v>
      </c>
      <c r="C7" s="61" t="s">
        <v>86</v>
      </c>
      <c r="D7" s="53">
        <v>1</v>
      </c>
      <c r="E7" s="15">
        <v>90</v>
      </c>
      <c r="F7" s="65">
        <f>VLOOKUP(E7,المرجع!$B$3:$C$12,2)</f>
        <v>4.75</v>
      </c>
      <c r="G7" s="44" t="str">
        <f>VLOOKUP(F7,المرجع!$D$3:$E$12,2)</f>
        <v>أ</v>
      </c>
      <c r="H7" s="40">
        <f t="shared" si="0"/>
        <v>4.75</v>
      </c>
      <c r="I7" s="53">
        <v>3</v>
      </c>
      <c r="J7" s="15">
        <v>100</v>
      </c>
      <c r="K7" s="65">
        <f>VLOOKUP(J7,المرجع!$B$3:$C$12,2)</f>
        <v>5</v>
      </c>
      <c r="L7" s="44" t="str">
        <f>VLOOKUP(K7,المرجع!$C$3:$E$12,3)</f>
        <v xml:space="preserve">أ+ </v>
      </c>
      <c r="M7" s="40">
        <f t="shared" si="1"/>
        <v>15</v>
      </c>
      <c r="N7" s="53">
        <v>3</v>
      </c>
      <c r="O7" s="15">
        <v>78</v>
      </c>
      <c r="P7" s="65">
        <f>VLOOKUP(O7,المرجع!$B$3:$C$12,2)</f>
        <v>3.5</v>
      </c>
      <c r="Q7" s="44" t="str">
        <f>VLOOKUP(P7,المرجع!$C$3:$E$12,3)</f>
        <v>ج+</v>
      </c>
      <c r="R7" s="40">
        <f t="shared" si="2"/>
        <v>10.5</v>
      </c>
      <c r="S7" s="53">
        <v>3</v>
      </c>
      <c r="T7" s="15">
        <v>100</v>
      </c>
      <c r="U7" s="65">
        <f>VLOOKUP(T7,المرجع!$B$3:$C$12,2)</f>
        <v>5</v>
      </c>
      <c r="V7" s="44" t="str">
        <f>VLOOKUP(U7,المرجع!$C$3:$E$12,3)</f>
        <v xml:space="preserve">أ+ </v>
      </c>
      <c r="W7" s="40">
        <f t="shared" si="3"/>
        <v>15</v>
      </c>
      <c r="X7" s="53">
        <v>3</v>
      </c>
      <c r="Y7" s="15">
        <v>100</v>
      </c>
      <c r="Z7" s="65">
        <f>VLOOKUP(Y7,المرجع!$B$3:$C$12,2)</f>
        <v>5</v>
      </c>
      <c r="AA7" s="44" t="str">
        <f>VLOOKUP(Z7,المرجع!$C$3:$E$12,3)</f>
        <v xml:space="preserve">أ+ </v>
      </c>
      <c r="AB7" s="40">
        <f t="shared" si="4"/>
        <v>15</v>
      </c>
      <c r="AC7" s="53">
        <v>2</v>
      </c>
      <c r="AD7" s="15">
        <v>99</v>
      </c>
      <c r="AE7" s="65">
        <f>VLOOKUP(AD7,المرجع!$B$3:$C$12,2)</f>
        <v>5</v>
      </c>
      <c r="AF7" s="44" t="str">
        <f>VLOOKUP(AE7,المرجع!$C$3:$E$12,3)</f>
        <v xml:space="preserve">أ+ </v>
      </c>
      <c r="AG7" s="40">
        <f t="shared" si="5"/>
        <v>10</v>
      </c>
      <c r="AH7" s="53">
        <v>2</v>
      </c>
      <c r="AI7" s="15">
        <v>98</v>
      </c>
      <c r="AJ7" s="65">
        <f>VLOOKUP(AI7,المرجع!$B$3:$C$12,2)</f>
        <v>5</v>
      </c>
      <c r="AK7" s="44" t="str">
        <f>VLOOKUP(AJ7,المرجع!$C$3:$E$12,3)</f>
        <v xml:space="preserve">أ+ </v>
      </c>
      <c r="AL7" s="40">
        <f t="shared" si="6"/>
        <v>10</v>
      </c>
      <c r="AM7" s="53">
        <v>2</v>
      </c>
      <c r="AN7" s="15">
        <v>92</v>
      </c>
      <c r="AO7" s="65">
        <f>VLOOKUP(AN7,المرجع!$B$3:$C$12,2)</f>
        <v>4.75</v>
      </c>
      <c r="AP7" s="44" t="str">
        <f>VLOOKUP(AO7,المرجع!$C$3:$E$12,3)</f>
        <v>أ</v>
      </c>
      <c r="AQ7" s="40">
        <f t="shared" si="7"/>
        <v>9.5</v>
      </c>
      <c r="AR7" s="53">
        <v>2</v>
      </c>
      <c r="AS7" s="15">
        <v>95</v>
      </c>
      <c r="AT7" s="65">
        <f>VLOOKUP(AS7,المرجع!$B$3:$C$12,2)</f>
        <v>5</v>
      </c>
      <c r="AU7" s="44" t="str">
        <f>VLOOKUP(AT7,المرجع!$C$3:$E$12,3)</f>
        <v xml:space="preserve">أ+ </v>
      </c>
      <c r="AV7" s="40">
        <f t="shared" si="8"/>
        <v>10</v>
      </c>
      <c r="AW7" s="53">
        <v>2</v>
      </c>
      <c r="AX7" s="15">
        <v>89</v>
      </c>
      <c r="AY7" s="65">
        <f>VLOOKUP(AX7,المرجع!$B$3:$C$12,2)</f>
        <v>4.5</v>
      </c>
      <c r="AZ7" s="44" t="str">
        <f>VLOOKUP(AY7,المرجع!$C$3:$E$12,3)</f>
        <v>ب+</v>
      </c>
      <c r="BA7" s="40">
        <f t="shared" si="9"/>
        <v>9</v>
      </c>
      <c r="BB7" s="56">
        <f t="shared" si="10"/>
        <v>108.75</v>
      </c>
      <c r="BC7" s="58">
        <f t="shared" si="11"/>
        <v>23</v>
      </c>
      <c r="BD7" s="60">
        <f t="shared" si="13"/>
        <v>4.7282608695652177</v>
      </c>
      <c r="BE7" s="91">
        <f>(BB7+'المستوى الثالث ح'!BB7+'المستوى الثاني 2023'!BB7+'المستوى الأول 2022'!BL7)/92</f>
        <v>4.3532608695652177</v>
      </c>
      <c r="BF7" s="59" t="str">
        <f>VLOOKUP(BD7,المرجع!$D$3:$F$12,3)</f>
        <v xml:space="preserve">ممتاز </v>
      </c>
      <c r="BG7" s="57">
        <f t="shared" si="12"/>
        <v>5</v>
      </c>
    </row>
    <row r="8" spans="2:59" ht="24" customHeight="1">
      <c r="B8" s="31">
        <v>2023097</v>
      </c>
      <c r="C8" s="61" t="s">
        <v>48</v>
      </c>
      <c r="D8" s="53">
        <v>1</v>
      </c>
      <c r="E8" s="15">
        <v>98</v>
      </c>
      <c r="F8" s="65">
        <f>VLOOKUP(E8,المرجع!$B$3:$C$12,2)</f>
        <v>5</v>
      </c>
      <c r="G8" s="44" t="str">
        <f>VLOOKUP(F8,المرجع!$D$3:$E$12,2)</f>
        <v xml:space="preserve">أ+ </v>
      </c>
      <c r="H8" s="40">
        <f t="shared" si="0"/>
        <v>5</v>
      </c>
      <c r="I8" s="53">
        <v>3</v>
      </c>
      <c r="J8" s="15">
        <v>100</v>
      </c>
      <c r="K8" s="65">
        <f>VLOOKUP(J8,المرجع!$B$3:$C$12,2)</f>
        <v>5</v>
      </c>
      <c r="L8" s="44" t="str">
        <f>VLOOKUP(K8,المرجع!$C$3:$E$12,3)</f>
        <v xml:space="preserve">أ+ </v>
      </c>
      <c r="M8" s="40">
        <f t="shared" si="1"/>
        <v>15</v>
      </c>
      <c r="N8" s="53">
        <v>3</v>
      </c>
      <c r="O8" s="15">
        <v>96</v>
      </c>
      <c r="P8" s="65">
        <f>VLOOKUP(O8,المرجع!$B$3:$C$12,2)</f>
        <v>5</v>
      </c>
      <c r="Q8" s="44" t="str">
        <f>VLOOKUP(P8,المرجع!$C$3:$E$12,3)</f>
        <v xml:space="preserve">أ+ </v>
      </c>
      <c r="R8" s="40">
        <f t="shared" si="2"/>
        <v>15</v>
      </c>
      <c r="S8" s="53">
        <v>3</v>
      </c>
      <c r="T8" s="15">
        <v>100</v>
      </c>
      <c r="U8" s="65">
        <f>VLOOKUP(T8,المرجع!$B$3:$C$12,2)</f>
        <v>5</v>
      </c>
      <c r="V8" s="44" t="str">
        <f>VLOOKUP(U8,المرجع!$C$3:$E$12,3)</f>
        <v xml:space="preserve">أ+ </v>
      </c>
      <c r="W8" s="40">
        <f t="shared" si="3"/>
        <v>15</v>
      </c>
      <c r="X8" s="53">
        <v>3</v>
      </c>
      <c r="Y8" s="15">
        <v>100</v>
      </c>
      <c r="Z8" s="65">
        <f>VLOOKUP(Y8,المرجع!$B$3:$C$12,2)</f>
        <v>5</v>
      </c>
      <c r="AA8" s="44" t="str">
        <f>VLOOKUP(Z8,المرجع!$C$3:$E$12,3)</f>
        <v xml:space="preserve">أ+ </v>
      </c>
      <c r="AB8" s="40">
        <f t="shared" si="4"/>
        <v>15</v>
      </c>
      <c r="AC8" s="53">
        <v>2</v>
      </c>
      <c r="AD8" s="15">
        <v>100</v>
      </c>
      <c r="AE8" s="65">
        <f>VLOOKUP(AD8,المرجع!$B$3:$C$12,2)</f>
        <v>5</v>
      </c>
      <c r="AF8" s="44" t="str">
        <f>VLOOKUP(AE8,المرجع!$C$3:$E$12,3)</f>
        <v xml:space="preserve">أ+ </v>
      </c>
      <c r="AG8" s="40">
        <f t="shared" si="5"/>
        <v>10</v>
      </c>
      <c r="AH8" s="53">
        <v>2</v>
      </c>
      <c r="AI8" s="15">
        <v>100</v>
      </c>
      <c r="AJ8" s="65">
        <f>VLOOKUP(AI8,المرجع!$B$3:$C$12,2)</f>
        <v>5</v>
      </c>
      <c r="AK8" s="44" t="str">
        <f>VLOOKUP(AJ8,المرجع!$C$3:$E$12,3)</f>
        <v xml:space="preserve">أ+ </v>
      </c>
      <c r="AL8" s="40">
        <f t="shared" si="6"/>
        <v>10</v>
      </c>
      <c r="AM8" s="53">
        <v>2</v>
      </c>
      <c r="AN8" s="15">
        <v>100</v>
      </c>
      <c r="AO8" s="65">
        <f>VLOOKUP(AN8,المرجع!$B$3:$C$12,2)</f>
        <v>5</v>
      </c>
      <c r="AP8" s="44" t="str">
        <f>VLOOKUP(AO8,المرجع!$C$3:$E$12,3)</f>
        <v xml:space="preserve">أ+ </v>
      </c>
      <c r="AQ8" s="40">
        <f t="shared" si="7"/>
        <v>10</v>
      </c>
      <c r="AR8" s="53">
        <v>2</v>
      </c>
      <c r="AS8" s="15">
        <v>94</v>
      </c>
      <c r="AT8" s="65">
        <f>VLOOKUP(AS8,المرجع!$B$3:$C$12,2)</f>
        <v>4.75</v>
      </c>
      <c r="AU8" s="44" t="str">
        <f>VLOOKUP(AT8,المرجع!$C$3:$E$12,3)</f>
        <v>أ</v>
      </c>
      <c r="AV8" s="40">
        <f t="shared" si="8"/>
        <v>9.5</v>
      </c>
      <c r="AW8" s="53">
        <v>2</v>
      </c>
      <c r="AX8" s="15">
        <v>55</v>
      </c>
      <c r="AY8" s="65">
        <f>VLOOKUP(AX8,المرجع!$B$3:$C$12,2)</f>
        <v>2</v>
      </c>
      <c r="AZ8" s="44" t="str">
        <f>VLOOKUP(AY8,المرجع!$C$3:$E$12,3)</f>
        <v>د</v>
      </c>
      <c r="BA8" s="40">
        <f t="shared" si="9"/>
        <v>4</v>
      </c>
      <c r="BB8" s="56">
        <f t="shared" si="10"/>
        <v>108.5</v>
      </c>
      <c r="BC8" s="58">
        <f t="shared" si="11"/>
        <v>23</v>
      </c>
      <c r="BD8" s="60">
        <f t="shared" si="13"/>
        <v>4.7173913043478262</v>
      </c>
      <c r="BE8" s="91">
        <f>(BB8+'المستوى الثالث ح'!BB8+'المستوى الثاني 2023'!BB8+'المستوى الأول 2022'!BL8)/92</f>
        <v>4.2635869565217392</v>
      </c>
      <c r="BF8" s="59" t="str">
        <f>VLOOKUP(BD8,المرجع!$D$3:$F$12,3)</f>
        <v xml:space="preserve">ممتاز </v>
      </c>
      <c r="BG8" s="57">
        <f t="shared" si="12"/>
        <v>6</v>
      </c>
    </row>
    <row r="9" spans="2:59" ht="24" customHeight="1">
      <c r="B9" s="31">
        <v>2023113</v>
      </c>
      <c r="C9" s="61" t="s">
        <v>54</v>
      </c>
      <c r="D9" s="53">
        <v>1</v>
      </c>
      <c r="E9" s="15">
        <v>98</v>
      </c>
      <c r="F9" s="65">
        <f>VLOOKUP(E9,المرجع!$B$3:$C$12,2)</f>
        <v>5</v>
      </c>
      <c r="G9" s="44" t="str">
        <f>VLOOKUP(F9,المرجع!$D$3:$E$12,2)</f>
        <v xml:space="preserve">أ+ </v>
      </c>
      <c r="H9" s="40">
        <f t="shared" si="0"/>
        <v>5</v>
      </c>
      <c r="I9" s="53">
        <v>3</v>
      </c>
      <c r="J9" s="15">
        <v>100</v>
      </c>
      <c r="K9" s="65">
        <f>VLOOKUP(J9,المرجع!$B$3:$C$12,2)</f>
        <v>5</v>
      </c>
      <c r="L9" s="44" t="str">
        <f>VLOOKUP(K9,المرجع!$C$3:$E$12,3)</f>
        <v xml:space="preserve">أ+ </v>
      </c>
      <c r="M9" s="40">
        <f t="shared" si="1"/>
        <v>15</v>
      </c>
      <c r="N9" s="53">
        <v>3</v>
      </c>
      <c r="O9" s="15">
        <v>94</v>
      </c>
      <c r="P9" s="65">
        <f>VLOOKUP(O9,المرجع!$B$3:$C$12,2)</f>
        <v>4.75</v>
      </c>
      <c r="Q9" s="44" t="str">
        <f>VLOOKUP(P9,المرجع!$C$3:$E$12,3)</f>
        <v>أ</v>
      </c>
      <c r="R9" s="40">
        <f t="shared" si="2"/>
        <v>14.25</v>
      </c>
      <c r="S9" s="53">
        <v>3</v>
      </c>
      <c r="T9" s="15">
        <v>100</v>
      </c>
      <c r="U9" s="65">
        <f>VLOOKUP(T9,المرجع!$B$3:$C$12,2)</f>
        <v>5</v>
      </c>
      <c r="V9" s="44" t="str">
        <f>VLOOKUP(U9,المرجع!$C$3:$E$12,3)</f>
        <v xml:space="preserve">أ+ </v>
      </c>
      <c r="W9" s="40">
        <f t="shared" si="3"/>
        <v>15</v>
      </c>
      <c r="X9" s="53">
        <v>3</v>
      </c>
      <c r="Y9" s="15">
        <v>100</v>
      </c>
      <c r="Z9" s="65">
        <f>VLOOKUP(Y9,المرجع!$B$3:$C$12,2)</f>
        <v>5</v>
      </c>
      <c r="AA9" s="44" t="str">
        <f>VLOOKUP(Z9,المرجع!$C$3:$E$12,3)</f>
        <v xml:space="preserve">أ+ </v>
      </c>
      <c r="AB9" s="40">
        <f t="shared" si="4"/>
        <v>15</v>
      </c>
      <c r="AC9" s="53">
        <v>2</v>
      </c>
      <c r="AD9" s="15">
        <v>97</v>
      </c>
      <c r="AE9" s="65">
        <f>VLOOKUP(AD9,المرجع!$B$3:$C$12,2)</f>
        <v>5</v>
      </c>
      <c r="AF9" s="44" t="str">
        <f>VLOOKUP(AE9,المرجع!$C$3:$E$12,3)</f>
        <v xml:space="preserve">أ+ </v>
      </c>
      <c r="AG9" s="40">
        <f t="shared" si="5"/>
        <v>10</v>
      </c>
      <c r="AH9" s="53">
        <v>2</v>
      </c>
      <c r="AI9" s="15">
        <v>97</v>
      </c>
      <c r="AJ9" s="65">
        <f>VLOOKUP(AI9,المرجع!$B$3:$C$12,2)</f>
        <v>5</v>
      </c>
      <c r="AK9" s="44" t="str">
        <f>VLOOKUP(AJ9,المرجع!$C$3:$E$12,3)</f>
        <v xml:space="preserve">أ+ </v>
      </c>
      <c r="AL9" s="40">
        <f t="shared" si="6"/>
        <v>10</v>
      </c>
      <c r="AM9" s="53">
        <v>2</v>
      </c>
      <c r="AN9" s="15">
        <v>93</v>
      </c>
      <c r="AO9" s="65">
        <f>VLOOKUP(AN9,المرجع!$B$3:$C$12,2)</f>
        <v>4.75</v>
      </c>
      <c r="AP9" s="44" t="str">
        <f>VLOOKUP(AO9,المرجع!$C$3:$E$12,3)</f>
        <v>أ</v>
      </c>
      <c r="AQ9" s="40">
        <f t="shared" si="7"/>
        <v>9.5</v>
      </c>
      <c r="AR9" s="53">
        <v>2</v>
      </c>
      <c r="AS9" s="15">
        <v>86</v>
      </c>
      <c r="AT9" s="65">
        <f>VLOOKUP(AS9,المرجع!$B$3:$C$12,2)</f>
        <v>4.5</v>
      </c>
      <c r="AU9" s="44" t="str">
        <f>VLOOKUP(AT9,المرجع!$C$3:$E$12,3)</f>
        <v>ب+</v>
      </c>
      <c r="AV9" s="40">
        <f t="shared" si="8"/>
        <v>9</v>
      </c>
      <c r="AW9" s="53">
        <v>2</v>
      </c>
      <c r="AX9" s="15">
        <v>67</v>
      </c>
      <c r="AY9" s="65">
        <f>VLOOKUP(AX9,المرجع!$B$3:$C$12,2)</f>
        <v>2.5</v>
      </c>
      <c r="AZ9" s="44" t="str">
        <f>VLOOKUP(AY9,المرجع!$C$3:$E$12,3)</f>
        <v>د+</v>
      </c>
      <c r="BA9" s="40">
        <f t="shared" si="9"/>
        <v>5</v>
      </c>
      <c r="BB9" s="56">
        <f t="shared" si="10"/>
        <v>107.75</v>
      </c>
      <c r="BC9" s="58">
        <f t="shared" si="11"/>
        <v>23</v>
      </c>
      <c r="BD9" s="60">
        <f t="shared" si="13"/>
        <v>4.6847826086956523</v>
      </c>
      <c r="BE9" s="91">
        <f>(BB9+'المستوى الثالث ح'!BB9+'المستوى الثاني 2023'!BB9+'المستوى الأول 2022'!BL9)/92</f>
        <v>4.2282608695652177</v>
      </c>
      <c r="BF9" s="59" t="str">
        <f>VLOOKUP(BD9,المرجع!$D$3:$F$12,3)</f>
        <v xml:space="preserve">ممتاز </v>
      </c>
      <c r="BG9" s="57">
        <f t="shared" si="12"/>
        <v>7</v>
      </c>
    </row>
    <row r="10" spans="2:59" ht="24" customHeight="1">
      <c r="B10" s="31">
        <v>2023110</v>
      </c>
      <c r="C10" s="61" t="s">
        <v>56</v>
      </c>
      <c r="D10" s="53">
        <v>1</v>
      </c>
      <c r="E10" s="15">
        <v>97</v>
      </c>
      <c r="F10" s="65">
        <f>VLOOKUP(E10,المرجع!$B$3:$C$12,2)</f>
        <v>5</v>
      </c>
      <c r="G10" s="44" t="str">
        <f>VLOOKUP(F10,المرجع!$D$3:$E$12,2)</f>
        <v xml:space="preserve">أ+ </v>
      </c>
      <c r="H10" s="40">
        <f t="shared" si="0"/>
        <v>5</v>
      </c>
      <c r="I10" s="53">
        <v>3</v>
      </c>
      <c r="J10" s="15">
        <v>93</v>
      </c>
      <c r="K10" s="65">
        <f>VLOOKUP(J10,المرجع!$B$3:$C$12,2)</f>
        <v>4.75</v>
      </c>
      <c r="L10" s="44" t="str">
        <f>VLOOKUP(K10,المرجع!$C$3:$E$12,3)</f>
        <v>أ</v>
      </c>
      <c r="M10" s="40">
        <f t="shared" si="1"/>
        <v>14.25</v>
      </c>
      <c r="N10" s="53">
        <v>3</v>
      </c>
      <c r="O10" s="15">
        <v>84</v>
      </c>
      <c r="P10" s="65">
        <f>VLOOKUP(O10,المرجع!$B$3:$C$12,2)</f>
        <v>4</v>
      </c>
      <c r="Q10" s="44" t="str">
        <f>VLOOKUP(P10,المرجع!$C$3:$E$12,3)</f>
        <v>ب</v>
      </c>
      <c r="R10" s="40">
        <f t="shared" si="2"/>
        <v>12</v>
      </c>
      <c r="S10" s="53">
        <v>3</v>
      </c>
      <c r="T10" s="15">
        <v>90</v>
      </c>
      <c r="U10" s="65">
        <f>VLOOKUP(T10,المرجع!$B$3:$C$12,2)</f>
        <v>4.75</v>
      </c>
      <c r="V10" s="44" t="str">
        <f>VLOOKUP(U10,المرجع!$C$3:$E$12,3)</f>
        <v>أ</v>
      </c>
      <c r="W10" s="40">
        <f t="shared" si="3"/>
        <v>14.25</v>
      </c>
      <c r="X10" s="53">
        <v>3</v>
      </c>
      <c r="Y10" s="15">
        <v>100</v>
      </c>
      <c r="Z10" s="65">
        <f>VLOOKUP(Y10,المرجع!$B$3:$C$12,2)</f>
        <v>5</v>
      </c>
      <c r="AA10" s="44" t="str">
        <f>VLOOKUP(Z10,المرجع!$C$3:$E$12,3)</f>
        <v xml:space="preserve">أ+ </v>
      </c>
      <c r="AB10" s="40">
        <f t="shared" si="4"/>
        <v>15</v>
      </c>
      <c r="AC10" s="53">
        <v>2</v>
      </c>
      <c r="AD10" s="15">
        <v>92</v>
      </c>
      <c r="AE10" s="65">
        <f>VLOOKUP(AD10,المرجع!$B$3:$C$12,2)</f>
        <v>4.75</v>
      </c>
      <c r="AF10" s="44" t="str">
        <f>VLOOKUP(AE10,المرجع!$C$3:$E$12,3)</f>
        <v>أ</v>
      </c>
      <c r="AG10" s="40">
        <f t="shared" si="5"/>
        <v>9.5</v>
      </c>
      <c r="AH10" s="53">
        <v>2</v>
      </c>
      <c r="AI10" s="15">
        <v>94</v>
      </c>
      <c r="AJ10" s="65">
        <f>VLOOKUP(AI10,المرجع!$B$3:$C$12,2)</f>
        <v>4.75</v>
      </c>
      <c r="AK10" s="44" t="str">
        <f>VLOOKUP(AJ10,المرجع!$C$3:$E$12,3)</f>
        <v>أ</v>
      </c>
      <c r="AL10" s="40">
        <f t="shared" si="6"/>
        <v>9.5</v>
      </c>
      <c r="AM10" s="53">
        <v>2</v>
      </c>
      <c r="AN10" s="15">
        <v>80</v>
      </c>
      <c r="AO10" s="65">
        <f>VLOOKUP(AN10,المرجع!$B$3:$C$12,2)</f>
        <v>4</v>
      </c>
      <c r="AP10" s="44" t="str">
        <f>VLOOKUP(AO10,المرجع!$C$3:$E$12,3)</f>
        <v>ب</v>
      </c>
      <c r="AQ10" s="40">
        <f t="shared" si="7"/>
        <v>8</v>
      </c>
      <c r="AR10" s="53">
        <v>2</v>
      </c>
      <c r="AS10" s="15">
        <v>96</v>
      </c>
      <c r="AT10" s="65">
        <f>VLOOKUP(AS10,المرجع!$B$3:$C$12,2)</f>
        <v>5</v>
      </c>
      <c r="AU10" s="44" t="str">
        <f>VLOOKUP(AT10,المرجع!$C$3:$E$12,3)</f>
        <v xml:space="preserve">أ+ </v>
      </c>
      <c r="AV10" s="40">
        <f t="shared" si="8"/>
        <v>10</v>
      </c>
      <c r="AW10" s="53">
        <v>2</v>
      </c>
      <c r="AX10" s="15">
        <v>96</v>
      </c>
      <c r="AY10" s="65">
        <f>VLOOKUP(AX10,المرجع!$B$3:$C$12,2)</f>
        <v>5</v>
      </c>
      <c r="AZ10" s="44" t="str">
        <f>VLOOKUP(AY10,المرجع!$C$3:$E$12,3)</f>
        <v xml:space="preserve">أ+ </v>
      </c>
      <c r="BA10" s="40">
        <f t="shared" si="9"/>
        <v>10</v>
      </c>
      <c r="BB10" s="56">
        <f t="shared" si="10"/>
        <v>107.5</v>
      </c>
      <c r="BC10" s="58">
        <f t="shared" si="11"/>
        <v>23</v>
      </c>
      <c r="BD10" s="60">
        <f t="shared" si="13"/>
        <v>4.6739130434782608</v>
      </c>
      <c r="BE10" s="91">
        <f>(BB10+'المستوى الثالث ح'!BB10+'المستوى الثاني 2023'!BB10+'المستوى الأول 2022'!BL10)/92</f>
        <v>4.2228260869565215</v>
      </c>
      <c r="BF10" s="59" t="str">
        <f>VLOOKUP(BD10,المرجع!$D$3:$F$12,3)</f>
        <v xml:space="preserve">ممتاز </v>
      </c>
      <c r="BG10" s="57">
        <f t="shared" si="12"/>
        <v>8</v>
      </c>
    </row>
    <row r="11" spans="2:59" ht="24" customHeight="1">
      <c r="B11" s="31">
        <v>2023069</v>
      </c>
      <c r="C11" s="61" t="s">
        <v>50</v>
      </c>
      <c r="D11" s="53">
        <v>1</v>
      </c>
      <c r="E11" s="15">
        <v>89</v>
      </c>
      <c r="F11" s="65">
        <f>VLOOKUP(E11,المرجع!$B$3:$C$12,2)</f>
        <v>4.5</v>
      </c>
      <c r="G11" s="44" t="str">
        <f>VLOOKUP(F11,المرجع!$D$3:$E$12,2)</f>
        <v>ب+</v>
      </c>
      <c r="H11" s="40">
        <f t="shared" si="0"/>
        <v>4.5</v>
      </c>
      <c r="I11" s="53">
        <v>3</v>
      </c>
      <c r="J11" s="15">
        <v>100</v>
      </c>
      <c r="K11" s="65">
        <f>VLOOKUP(J11,المرجع!$B$3:$C$12,2)</f>
        <v>5</v>
      </c>
      <c r="L11" s="44" t="str">
        <f>VLOOKUP(K11,المرجع!$C$3:$E$12,3)</f>
        <v xml:space="preserve">أ+ </v>
      </c>
      <c r="M11" s="40">
        <f t="shared" si="1"/>
        <v>15</v>
      </c>
      <c r="N11" s="53">
        <v>3</v>
      </c>
      <c r="O11" s="15">
        <v>82</v>
      </c>
      <c r="P11" s="65">
        <f>VLOOKUP(O11,المرجع!$B$3:$C$12,2)</f>
        <v>4</v>
      </c>
      <c r="Q11" s="44" t="str">
        <f>VLOOKUP(P11,المرجع!$C$3:$E$12,3)</f>
        <v>ب</v>
      </c>
      <c r="R11" s="40">
        <f t="shared" si="2"/>
        <v>12</v>
      </c>
      <c r="S11" s="53">
        <v>3</v>
      </c>
      <c r="T11" s="15">
        <v>99</v>
      </c>
      <c r="U11" s="65">
        <f>VLOOKUP(T11,المرجع!$B$3:$C$12,2)</f>
        <v>5</v>
      </c>
      <c r="V11" s="44" t="str">
        <f>VLOOKUP(U11,المرجع!$C$3:$E$12,3)</f>
        <v xml:space="preserve">أ+ </v>
      </c>
      <c r="W11" s="40">
        <f t="shared" si="3"/>
        <v>15</v>
      </c>
      <c r="X11" s="53">
        <v>3</v>
      </c>
      <c r="Y11" s="15">
        <v>100</v>
      </c>
      <c r="Z11" s="65">
        <f>VLOOKUP(Y11,المرجع!$B$3:$C$12,2)</f>
        <v>5</v>
      </c>
      <c r="AA11" s="44" t="str">
        <f>VLOOKUP(Z11,المرجع!$C$3:$E$12,3)</f>
        <v xml:space="preserve">أ+ </v>
      </c>
      <c r="AB11" s="40">
        <f t="shared" si="4"/>
        <v>15</v>
      </c>
      <c r="AC11" s="53">
        <v>2</v>
      </c>
      <c r="AD11" s="15">
        <v>100</v>
      </c>
      <c r="AE11" s="65">
        <f>VLOOKUP(AD11,المرجع!$B$3:$C$12,2)</f>
        <v>5</v>
      </c>
      <c r="AF11" s="44" t="str">
        <f>VLOOKUP(AE11,المرجع!$C$3:$E$12,3)</f>
        <v xml:space="preserve">أ+ </v>
      </c>
      <c r="AG11" s="40">
        <f t="shared" si="5"/>
        <v>10</v>
      </c>
      <c r="AH11" s="53">
        <v>2</v>
      </c>
      <c r="AI11" s="15">
        <v>98</v>
      </c>
      <c r="AJ11" s="65">
        <f>VLOOKUP(AI11,المرجع!$B$3:$C$12,2)</f>
        <v>5</v>
      </c>
      <c r="AK11" s="44" t="str">
        <f>VLOOKUP(AJ11,المرجع!$C$3:$E$12,3)</f>
        <v xml:space="preserve">أ+ </v>
      </c>
      <c r="AL11" s="40">
        <f t="shared" si="6"/>
        <v>10</v>
      </c>
      <c r="AM11" s="53">
        <v>2</v>
      </c>
      <c r="AN11" s="15">
        <v>93</v>
      </c>
      <c r="AO11" s="65">
        <f>VLOOKUP(AN11,المرجع!$B$3:$C$12,2)</f>
        <v>4.75</v>
      </c>
      <c r="AP11" s="44" t="str">
        <f>VLOOKUP(AO11,المرجع!$C$3:$E$12,3)</f>
        <v>أ</v>
      </c>
      <c r="AQ11" s="40">
        <f t="shared" si="7"/>
        <v>9.5</v>
      </c>
      <c r="AR11" s="53">
        <v>2</v>
      </c>
      <c r="AS11" s="15">
        <v>86</v>
      </c>
      <c r="AT11" s="65">
        <f>VLOOKUP(AS11,المرجع!$B$3:$C$12,2)</f>
        <v>4.5</v>
      </c>
      <c r="AU11" s="44" t="str">
        <f>VLOOKUP(AT11,المرجع!$C$3:$E$12,3)</f>
        <v>ب+</v>
      </c>
      <c r="AV11" s="40">
        <f t="shared" si="8"/>
        <v>9</v>
      </c>
      <c r="AW11" s="53">
        <v>2</v>
      </c>
      <c r="AX11" s="15">
        <v>79</v>
      </c>
      <c r="AY11" s="65">
        <f>VLOOKUP(AX11,المرجع!$B$3:$C$12,2)</f>
        <v>3.5</v>
      </c>
      <c r="AZ11" s="44" t="str">
        <f>VLOOKUP(AY11,المرجع!$C$3:$E$12,3)</f>
        <v>ج+</v>
      </c>
      <c r="BA11" s="40">
        <f t="shared" si="9"/>
        <v>7</v>
      </c>
      <c r="BB11" s="56">
        <f t="shared" si="10"/>
        <v>107</v>
      </c>
      <c r="BC11" s="58">
        <f t="shared" si="11"/>
        <v>23</v>
      </c>
      <c r="BD11" s="60">
        <f t="shared" si="13"/>
        <v>4.6521739130434785</v>
      </c>
      <c r="BE11" s="91">
        <f>(BB11+'المستوى الثالث ح'!BB11+'المستوى الثاني 2023'!BB11+'المستوى الأول 2022'!BL11)/92</f>
        <v>4.1494565217391308</v>
      </c>
      <c r="BF11" s="59" t="str">
        <f>VLOOKUP(BD11,المرجع!$D$3:$F$12,3)</f>
        <v xml:space="preserve">ممتاز </v>
      </c>
      <c r="BG11" s="57">
        <f t="shared" si="12"/>
        <v>9</v>
      </c>
    </row>
    <row r="12" spans="2:59" ht="24" customHeight="1">
      <c r="B12" s="31">
        <v>2023056</v>
      </c>
      <c r="C12" s="61" t="s">
        <v>3</v>
      </c>
      <c r="D12" s="53">
        <v>1</v>
      </c>
      <c r="E12" s="15">
        <v>96</v>
      </c>
      <c r="F12" s="65">
        <f>VLOOKUP(E12,المرجع!$B$3:$C$12,2)</f>
        <v>5</v>
      </c>
      <c r="G12" s="44" t="str">
        <f>VLOOKUP(F12,المرجع!$D$3:$E$12,2)</f>
        <v xml:space="preserve">أ+ </v>
      </c>
      <c r="H12" s="40">
        <f t="shared" si="0"/>
        <v>5</v>
      </c>
      <c r="I12" s="53">
        <v>3</v>
      </c>
      <c r="J12" s="15">
        <v>100</v>
      </c>
      <c r="K12" s="65">
        <f>VLOOKUP(J12,المرجع!$B$3:$C$12,2)</f>
        <v>5</v>
      </c>
      <c r="L12" s="44" t="str">
        <f>VLOOKUP(K12,المرجع!$C$3:$E$12,3)</f>
        <v xml:space="preserve">أ+ </v>
      </c>
      <c r="M12" s="40">
        <f t="shared" si="1"/>
        <v>15</v>
      </c>
      <c r="N12" s="53">
        <v>3</v>
      </c>
      <c r="O12" s="15">
        <v>77</v>
      </c>
      <c r="P12" s="65">
        <f>VLOOKUP(O12,المرجع!$B$3:$C$12,2)</f>
        <v>3.5</v>
      </c>
      <c r="Q12" s="44" t="str">
        <f>VLOOKUP(P12,المرجع!$C$3:$E$12,3)</f>
        <v>ج+</v>
      </c>
      <c r="R12" s="40">
        <f t="shared" si="2"/>
        <v>10.5</v>
      </c>
      <c r="S12" s="53">
        <v>3</v>
      </c>
      <c r="T12" s="15">
        <v>100</v>
      </c>
      <c r="U12" s="65">
        <f>VLOOKUP(T12,المرجع!$B$3:$C$12,2)</f>
        <v>5</v>
      </c>
      <c r="V12" s="44" t="str">
        <f>VLOOKUP(U12,المرجع!$C$3:$E$12,3)</f>
        <v xml:space="preserve">أ+ </v>
      </c>
      <c r="W12" s="40">
        <f t="shared" si="3"/>
        <v>15</v>
      </c>
      <c r="X12" s="53">
        <v>3</v>
      </c>
      <c r="Y12" s="15">
        <v>100</v>
      </c>
      <c r="Z12" s="65">
        <f>VLOOKUP(Y12,المرجع!$B$3:$C$12,2)</f>
        <v>5</v>
      </c>
      <c r="AA12" s="44" t="str">
        <f>VLOOKUP(Z12,المرجع!$C$3:$E$12,3)</f>
        <v xml:space="preserve">أ+ </v>
      </c>
      <c r="AB12" s="40">
        <f t="shared" si="4"/>
        <v>15</v>
      </c>
      <c r="AC12" s="53">
        <v>2</v>
      </c>
      <c r="AD12" s="15">
        <v>82</v>
      </c>
      <c r="AE12" s="65">
        <f>VLOOKUP(AD12,المرجع!$B$3:$C$12,2)</f>
        <v>4</v>
      </c>
      <c r="AF12" s="44" t="str">
        <f>VLOOKUP(AE12,المرجع!$C$3:$E$12,3)</f>
        <v>ب</v>
      </c>
      <c r="AG12" s="40">
        <f t="shared" si="5"/>
        <v>8</v>
      </c>
      <c r="AH12" s="53">
        <v>2</v>
      </c>
      <c r="AI12" s="15">
        <v>95</v>
      </c>
      <c r="AJ12" s="65">
        <f>VLOOKUP(AI12,المرجع!$B$3:$C$12,2)</f>
        <v>5</v>
      </c>
      <c r="AK12" s="44" t="str">
        <f>VLOOKUP(AJ12,المرجع!$C$3:$E$12,3)</f>
        <v xml:space="preserve">أ+ </v>
      </c>
      <c r="AL12" s="40">
        <f t="shared" si="6"/>
        <v>10</v>
      </c>
      <c r="AM12" s="53">
        <v>2</v>
      </c>
      <c r="AN12" s="15">
        <v>100</v>
      </c>
      <c r="AO12" s="65">
        <f>VLOOKUP(AN12,المرجع!$B$3:$C$12,2)</f>
        <v>5</v>
      </c>
      <c r="AP12" s="44" t="str">
        <f>VLOOKUP(AO12,المرجع!$C$3:$E$12,3)</f>
        <v xml:space="preserve">أ+ </v>
      </c>
      <c r="AQ12" s="40">
        <f t="shared" si="7"/>
        <v>10</v>
      </c>
      <c r="AR12" s="53">
        <v>2</v>
      </c>
      <c r="AS12" s="15">
        <v>97</v>
      </c>
      <c r="AT12" s="65">
        <f>VLOOKUP(AS12,المرجع!$B$3:$C$12,2)</f>
        <v>5</v>
      </c>
      <c r="AU12" s="44" t="str">
        <f>VLOOKUP(AT12,المرجع!$C$3:$E$12,3)</f>
        <v xml:space="preserve">أ+ </v>
      </c>
      <c r="AV12" s="40">
        <f t="shared" si="8"/>
        <v>10</v>
      </c>
      <c r="AW12" s="53">
        <v>2</v>
      </c>
      <c r="AX12" s="15">
        <v>83</v>
      </c>
      <c r="AY12" s="65">
        <f>VLOOKUP(AX12,المرجع!$B$3:$C$12,2)</f>
        <v>4</v>
      </c>
      <c r="AZ12" s="44" t="str">
        <f>VLOOKUP(AY12,المرجع!$C$3:$E$12,3)</f>
        <v>ب</v>
      </c>
      <c r="BA12" s="40">
        <f t="shared" si="9"/>
        <v>8</v>
      </c>
      <c r="BB12" s="56">
        <f t="shared" si="10"/>
        <v>106.5</v>
      </c>
      <c r="BC12" s="58">
        <f t="shared" si="11"/>
        <v>23</v>
      </c>
      <c r="BD12" s="60">
        <f t="shared" si="13"/>
        <v>4.6304347826086953</v>
      </c>
      <c r="BE12" s="91">
        <f>(BB12+'المستوى الثالث ح'!BB12+'المستوى الثاني 2023'!BB12+'المستوى الأول 2022'!BL12)/92</f>
        <v>4.1820652173913047</v>
      </c>
      <c r="BF12" s="59" t="str">
        <f>VLOOKUP(BD12,المرجع!$D$3:$F$12,3)</f>
        <v xml:space="preserve">ممتاز </v>
      </c>
      <c r="BG12" s="57">
        <f t="shared" si="12"/>
        <v>10</v>
      </c>
    </row>
    <row r="13" spans="2:59" ht="24" customHeight="1">
      <c r="B13" s="31">
        <v>2023045</v>
      </c>
      <c r="C13" s="61" t="s">
        <v>10</v>
      </c>
      <c r="D13" s="53">
        <v>1</v>
      </c>
      <c r="E13" s="15">
        <v>92</v>
      </c>
      <c r="F13" s="65">
        <f>VLOOKUP(E13,المرجع!$B$3:$C$12,2)</f>
        <v>4.75</v>
      </c>
      <c r="G13" s="44" t="str">
        <f>VLOOKUP(F13,المرجع!$D$3:$E$12,2)</f>
        <v>أ</v>
      </c>
      <c r="H13" s="40">
        <f t="shared" si="0"/>
        <v>4.75</v>
      </c>
      <c r="I13" s="53">
        <v>3</v>
      </c>
      <c r="J13" s="15">
        <v>100</v>
      </c>
      <c r="K13" s="65">
        <f>VLOOKUP(J13,المرجع!$B$3:$C$12,2)</f>
        <v>5</v>
      </c>
      <c r="L13" s="44" t="str">
        <f>VLOOKUP(K13,المرجع!$C$3:$E$12,3)</f>
        <v xml:space="preserve">أ+ </v>
      </c>
      <c r="M13" s="40">
        <f t="shared" si="1"/>
        <v>15</v>
      </c>
      <c r="N13" s="53">
        <v>3</v>
      </c>
      <c r="O13" s="15">
        <v>83</v>
      </c>
      <c r="P13" s="65">
        <f>VLOOKUP(O13,المرجع!$B$3:$C$12,2)</f>
        <v>4</v>
      </c>
      <c r="Q13" s="44" t="str">
        <f>VLOOKUP(P13,المرجع!$C$3:$E$12,3)</f>
        <v>ب</v>
      </c>
      <c r="R13" s="40">
        <f t="shared" si="2"/>
        <v>12</v>
      </c>
      <c r="S13" s="53">
        <v>3</v>
      </c>
      <c r="T13" s="15">
        <v>100</v>
      </c>
      <c r="U13" s="65">
        <f>VLOOKUP(T13,المرجع!$B$3:$C$12,2)</f>
        <v>5</v>
      </c>
      <c r="V13" s="44" t="str">
        <f>VLOOKUP(U13,المرجع!$C$3:$E$12,3)</f>
        <v xml:space="preserve">أ+ </v>
      </c>
      <c r="W13" s="40">
        <f t="shared" si="3"/>
        <v>15</v>
      </c>
      <c r="X13" s="53">
        <v>3</v>
      </c>
      <c r="Y13" s="15">
        <v>99</v>
      </c>
      <c r="Z13" s="65">
        <f>VLOOKUP(Y13,المرجع!$B$3:$C$12,2)</f>
        <v>5</v>
      </c>
      <c r="AA13" s="44" t="str">
        <f>VLOOKUP(Z13,المرجع!$C$3:$E$12,3)</f>
        <v xml:space="preserve">أ+ </v>
      </c>
      <c r="AB13" s="40">
        <f t="shared" si="4"/>
        <v>15</v>
      </c>
      <c r="AC13" s="53">
        <v>2</v>
      </c>
      <c r="AD13" s="15">
        <v>79</v>
      </c>
      <c r="AE13" s="65">
        <f>VLOOKUP(AD13,المرجع!$B$3:$C$12,2)</f>
        <v>3.5</v>
      </c>
      <c r="AF13" s="44" t="str">
        <f>VLOOKUP(AE13,المرجع!$C$3:$E$12,3)</f>
        <v>ج+</v>
      </c>
      <c r="AG13" s="40">
        <f t="shared" si="5"/>
        <v>7</v>
      </c>
      <c r="AH13" s="53">
        <v>2</v>
      </c>
      <c r="AI13" s="15">
        <v>94</v>
      </c>
      <c r="AJ13" s="65">
        <f>VLOOKUP(AI13,المرجع!$B$3:$C$12,2)</f>
        <v>4.75</v>
      </c>
      <c r="AK13" s="44" t="str">
        <f>VLOOKUP(AJ13,المرجع!$C$3:$E$12,3)</f>
        <v>أ</v>
      </c>
      <c r="AL13" s="40">
        <f t="shared" si="6"/>
        <v>9.5</v>
      </c>
      <c r="AM13" s="53">
        <v>2</v>
      </c>
      <c r="AN13" s="15">
        <v>91</v>
      </c>
      <c r="AO13" s="65">
        <f>VLOOKUP(AN13,المرجع!$B$3:$C$12,2)</f>
        <v>4.75</v>
      </c>
      <c r="AP13" s="44" t="str">
        <f>VLOOKUP(AO13,المرجع!$C$3:$E$12,3)</f>
        <v>أ</v>
      </c>
      <c r="AQ13" s="40">
        <f t="shared" si="7"/>
        <v>9.5</v>
      </c>
      <c r="AR13" s="53">
        <v>2</v>
      </c>
      <c r="AS13" s="15">
        <v>89</v>
      </c>
      <c r="AT13" s="65">
        <f>VLOOKUP(AS13,المرجع!$B$3:$C$12,2)</f>
        <v>4.5</v>
      </c>
      <c r="AU13" s="44" t="str">
        <f>VLOOKUP(AT13,المرجع!$C$3:$E$12,3)</f>
        <v>ب+</v>
      </c>
      <c r="AV13" s="40">
        <f t="shared" si="8"/>
        <v>9</v>
      </c>
      <c r="AW13" s="53">
        <v>2</v>
      </c>
      <c r="AX13" s="15">
        <v>91</v>
      </c>
      <c r="AY13" s="65">
        <f>VLOOKUP(AX13,المرجع!$B$3:$C$12,2)</f>
        <v>4.75</v>
      </c>
      <c r="AZ13" s="44" t="str">
        <f>VLOOKUP(AY13,المرجع!$C$3:$E$12,3)</f>
        <v>أ</v>
      </c>
      <c r="BA13" s="40">
        <f t="shared" si="9"/>
        <v>9.5</v>
      </c>
      <c r="BB13" s="56">
        <f t="shared" si="10"/>
        <v>106.25</v>
      </c>
      <c r="BC13" s="58">
        <f t="shared" si="11"/>
        <v>23</v>
      </c>
      <c r="BD13" s="60">
        <f t="shared" si="13"/>
        <v>4.6195652173913047</v>
      </c>
      <c r="BE13" s="91">
        <f>(BB13+'المستوى الثالث ح'!BB13+'المستوى الثاني 2023'!BB13+'المستوى الأول 2022'!BL13)/92</f>
        <v>4.1331521739130439</v>
      </c>
      <c r="BF13" s="59" t="str">
        <f>VLOOKUP(BD13,المرجع!$D$3:$F$12,3)</f>
        <v xml:space="preserve">ممتاز </v>
      </c>
      <c r="BG13" s="57">
        <f t="shared" si="12"/>
        <v>11</v>
      </c>
    </row>
    <row r="14" spans="2:59" ht="24" customHeight="1">
      <c r="B14" s="31">
        <v>2023001</v>
      </c>
      <c r="C14" s="61" t="s">
        <v>1</v>
      </c>
      <c r="D14" s="53">
        <v>1</v>
      </c>
      <c r="E14" s="15">
        <v>93</v>
      </c>
      <c r="F14" s="65">
        <f>VLOOKUP(E14,المرجع!$B$3:$C$12,2)</f>
        <v>4.75</v>
      </c>
      <c r="G14" s="44" t="str">
        <f>VLOOKUP(F14,المرجع!$D$3:$E$12,2)</f>
        <v>أ</v>
      </c>
      <c r="H14" s="40">
        <f t="shared" si="0"/>
        <v>4.75</v>
      </c>
      <c r="I14" s="53">
        <v>3</v>
      </c>
      <c r="J14" s="15">
        <v>100</v>
      </c>
      <c r="K14" s="65">
        <f>VLOOKUP(J14,المرجع!$B$3:$C$12,2)</f>
        <v>5</v>
      </c>
      <c r="L14" s="44" t="str">
        <f>VLOOKUP(K14,المرجع!$C$3:$E$12,3)</f>
        <v xml:space="preserve">أ+ </v>
      </c>
      <c r="M14" s="40">
        <f t="shared" si="1"/>
        <v>15</v>
      </c>
      <c r="N14" s="53">
        <v>3</v>
      </c>
      <c r="O14" s="15">
        <v>72</v>
      </c>
      <c r="P14" s="65">
        <f>VLOOKUP(O14,المرجع!$B$3:$C$12,2)</f>
        <v>3</v>
      </c>
      <c r="Q14" s="44" t="str">
        <f>VLOOKUP(P14,المرجع!$C$3:$E$12,3)</f>
        <v>ج</v>
      </c>
      <c r="R14" s="40">
        <f t="shared" si="2"/>
        <v>9</v>
      </c>
      <c r="S14" s="53">
        <v>3</v>
      </c>
      <c r="T14" s="15">
        <v>98</v>
      </c>
      <c r="U14" s="65">
        <f>VLOOKUP(T14,المرجع!$B$3:$C$12,2)</f>
        <v>5</v>
      </c>
      <c r="V14" s="44" t="str">
        <f>VLOOKUP(U14,المرجع!$C$3:$E$12,3)</f>
        <v xml:space="preserve">أ+ </v>
      </c>
      <c r="W14" s="40">
        <f t="shared" si="3"/>
        <v>15</v>
      </c>
      <c r="X14" s="53">
        <v>3</v>
      </c>
      <c r="Y14" s="15">
        <v>100</v>
      </c>
      <c r="Z14" s="65">
        <f>VLOOKUP(Y14,المرجع!$B$3:$C$12,2)</f>
        <v>5</v>
      </c>
      <c r="AA14" s="44" t="str">
        <f>VLOOKUP(Z14,المرجع!$C$3:$E$12,3)</f>
        <v xml:space="preserve">أ+ </v>
      </c>
      <c r="AB14" s="40">
        <f t="shared" si="4"/>
        <v>15</v>
      </c>
      <c r="AC14" s="53">
        <v>2</v>
      </c>
      <c r="AD14" s="15">
        <v>80</v>
      </c>
      <c r="AE14" s="65">
        <f>VLOOKUP(AD14,المرجع!$B$3:$C$12,2)</f>
        <v>4</v>
      </c>
      <c r="AF14" s="44" t="str">
        <f>VLOOKUP(AE14,المرجع!$C$3:$E$12,3)</f>
        <v>ب</v>
      </c>
      <c r="AG14" s="40">
        <f t="shared" si="5"/>
        <v>8</v>
      </c>
      <c r="AH14" s="53">
        <v>2</v>
      </c>
      <c r="AI14" s="15">
        <v>95</v>
      </c>
      <c r="AJ14" s="65">
        <f>VLOOKUP(AI14,المرجع!$B$3:$C$12,2)</f>
        <v>5</v>
      </c>
      <c r="AK14" s="44" t="str">
        <f>VLOOKUP(AJ14,المرجع!$C$3:$E$12,3)</f>
        <v xml:space="preserve">أ+ </v>
      </c>
      <c r="AL14" s="40">
        <f t="shared" si="6"/>
        <v>10</v>
      </c>
      <c r="AM14" s="53">
        <v>2</v>
      </c>
      <c r="AN14" s="15">
        <v>98</v>
      </c>
      <c r="AO14" s="65">
        <f>VLOOKUP(AN14,المرجع!$B$3:$C$12,2)</f>
        <v>5</v>
      </c>
      <c r="AP14" s="44" t="str">
        <f>VLOOKUP(AO14,المرجع!$C$3:$E$12,3)</f>
        <v xml:space="preserve">أ+ </v>
      </c>
      <c r="AQ14" s="40">
        <f t="shared" si="7"/>
        <v>10</v>
      </c>
      <c r="AR14" s="53">
        <v>2</v>
      </c>
      <c r="AS14" s="15">
        <v>87</v>
      </c>
      <c r="AT14" s="65">
        <f>VLOOKUP(AS14,المرجع!$B$3:$C$12,2)</f>
        <v>4.5</v>
      </c>
      <c r="AU14" s="44" t="str">
        <f>VLOOKUP(AT14,المرجع!$C$3:$E$12,3)</f>
        <v>ب+</v>
      </c>
      <c r="AV14" s="40">
        <f t="shared" si="8"/>
        <v>9</v>
      </c>
      <c r="AW14" s="53">
        <v>2</v>
      </c>
      <c r="AX14" s="15">
        <v>96</v>
      </c>
      <c r="AY14" s="65">
        <f>VLOOKUP(AX14,المرجع!$B$3:$C$12,2)</f>
        <v>5</v>
      </c>
      <c r="AZ14" s="44" t="str">
        <f>VLOOKUP(AY14,المرجع!$C$3:$E$12,3)</f>
        <v xml:space="preserve">أ+ </v>
      </c>
      <c r="BA14" s="40">
        <f t="shared" si="9"/>
        <v>10</v>
      </c>
      <c r="BB14" s="56">
        <f t="shared" si="10"/>
        <v>105.75</v>
      </c>
      <c r="BC14" s="58">
        <f t="shared" si="11"/>
        <v>23</v>
      </c>
      <c r="BD14" s="60">
        <f t="shared" si="13"/>
        <v>4.5978260869565215</v>
      </c>
      <c r="BE14" s="91">
        <f>(BB14+'المستوى الثالث ح'!BB14+'المستوى الثاني 2023'!BB14+'المستوى الأول 2022'!BL14)/92</f>
        <v>4.1358695652173916</v>
      </c>
      <c r="BF14" s="59" t="str">
        <f>VLOOKUP(BD14,المرجع!$D$3:$F$12,3)</f>
        <v>جيد جد مرتفع</v>
      </c>
      <c r="BG14" s="57">
        <f t="shared" si="12"/>
        <v>12</v>
      </c>
    </row>
    <row r="15" spans="2:59" ht="24" customHeight="1">
      <c r="B15" s="31">
        <v>2023027</v>
      </c>
      <c r="C15" s="61" t="s">
        <v>2</v>
      </c>
      <c r="D15" s="53">
        <v>1</v>
      </c>
      <c r="E15" s="15">
        <v>100</v>
      </c>
      <c r="F15" s="65">
        <f>VLOOKUP(E15,المرجع!$B$3:$C$12,2)</f>
        <v>5</v>
      </c>
      <c r="G15" s="44" t="str">
        <f>VLOOKUP(F15,المرجع!$D$3:$E$12,2)</f>
        <v xml:space="preserve">أ+ </v>
      </c>
      <c r="H15" s="40">
        <f t="shared" si="0"/>
        <v>5</v>
      </c>
      <c r="I15" s="53">
        <v>3</v>
      </c>
      <c r="J15" s="15">
        <v>100</v>
      </c>
      <c r="K15" s="65">
        <f>VLOOKUP(J15,المرجع!$B$3:$C$12,2)</f>
        <v>5</v>
      </c>
      <c r="L15" s="44" t="str">
        <f>VLOOKUP(K15,المرجع!$C$3:$E$12,3)</f>
        <v xml:space="preserve">أ+ </v>
      </c>
      <c r="M15" s="40">
        <f t="shared" si="1"/>
        <v>15</v>
      </c>
      <c r="N15" s="53">
        <v>3</v>
      </c>
      <c r="O15" s="15">
        <v>97</v>
      </c>
      <c r="P15" s="65">
        <f>VLOOKUP(O15,المرجع!$B$3:$C$12,2)</f>
        <v>5</v>
      </c>
      <c r="Q15" s="44" t="str">
        <f>VLOOKUP(P15,المرجع!$C$3:$E$12,3)</f>
        <v xml:space="preserve">أ+ </v>
      </c>
      <c r="R15" s="40">
        <f t="shared" si="2"/>
        <v>15</v>
      </c>
      <c r="S15" s="53">
        <v>3</v>
      </c>
      <c r="T15" s="15">
        <v>65</v>
      </c>
      <c r="U15" s="65">
        <f>VLOOKUP(T15,المرجع!$B$3:$C$12,2)</f>
        <v>2.5</v>
      </c>
      <c r="V15" s="44" t="str">
        <f>VLOOKUP(U15,المرجع!$C$3:$E$12,3)</f>
        <v>د+</v>
      </c>
      <c r="W15" s="40">
        <f t="shared" si="3"/>
        <v>7.5</v>
      </c>
      <c r="X15" s="53">
        <v>3</v>
      </c>
      <c r="Y15" s="15">
        <v>100</v>
      </c>
      <c r="Z15" s="65">
        <f>VLOOKUP(Y15,المرجع!$B$3:$C$12,2)</f>
        <v>5</v>
      </c>
      <c r="AA15" s="44" t="str">
        <f>VLOOKUP(Z15,المرجع!$C$3:$E$12,3)</f>
        <v xml:space="preserve">أ+ </v>
      </c>
      <c r="AB15" s="40">
        <f t="shared" si="4"/>
        <v>15</v>
      </c>
      <c r="AC15" s="53">
        <v>2</v>
      </c>
      <c r="AD15" s="15">
        <v>98</v>
      </c>
      <c r="AE15" s="65">
        <f>VLOOKUP(AD15,المرجع!$B$3:$C$12,2)</f>
        <v>5</v>
      </c>
      <c r="AF15" s="44" t="str">
        <f>VLOOKUP(AE15,المرجع!$C$3:$E$12,3)</f>
        <v xml:space="preserve">أ+ </v>
      </c>
      <c r="AG15" s="40">
        <f t="shared" si="5"/>
        <v>10</v>
      </c>
      <c r="AH15" s="53">
        <v>2</v>
      </c>
      <c r="AI15" s="15">
        <v>99</v>
      </c>
      <c r="AJ15" s="65">
        <f>VLOOKUP(AI15,المرجع!$B$3:$C$12,2)</f>
        <v>5</v>
      </c>
      <c r="AK15" s="44" t="str">
        <f>VLOOKUP(AJ15,المرجع!$C$3:$E$12,3)</f>
        <v xml:space="preserve">أ+ </v>
      </c>
      <c r="AL15" s="40">
        <f t="shared" si="6"/>
        <v>10</v>
      </c>
      <c r="AM15" s="53">
        <v>2</v>
      </c>
      <c r="AN15" s="15">
        <v>100</v>
      </c>
      <c r="AO15" s="65">
        <f>VLOOKUP(AN15,المرجع!$B$3:$C$12,2)</f>
        <v>5</v>
      </c>
      <c r="AP15" s="44" t="str">
        <f>VLOOKUP(AO15,المرجع!$C$3:$E$12,3)</f>
        <v xml:space="preserve">أ+ </v>
      </c>
      <c r="AQ15" s="40">
        <f t="shared" si="7"/>
        <v>10</v>
      </c>
      <c r="AR15" s="53">
        <v>2</v>
      </c>
      <c r="AS15" s="15">
        <v>90</v>
      </c>
      <c r="AT15" s="65">
        <f>VLOOKUP(AS15,المرجع!$B$3:$C$12,2)</f>
        <v>4.75</v>
      </c>
      <c r="AU15" s="44" t="str">
        <f>VLOOKUP(AT15,المرجع!$C$3:$E$12,3)</f>
        <v>أ</v>
      </c>
      <c r="AV15" s="40">
        <f t="shared" si="8"/>
        <v>9.5</v>
      </c>
      <c r="AW15" s="53">
        <v>2</v>
      </c>
      <c r="AX15" s="15">
        <v>84</v>
      </c>
      <c r="AY15" s="65">
        <f>VLOOKUP(AX15,المرجع!$B$3:$C$12,2)</f>
        <v>4</v>
      </c>
      <c r="AZ15" s="44" t="str">
        <f>VLOOKUP(AY15,المرجع!$C$3:$E$12,3)</f>
        <v>ب</v>
      </c>
      <c r="BA15" s="40">
        <f t="shared" si="9"/>
        <v>8</v>
      </c>
      <c r="BB15" s="56">
        <f t="shared" si="10"/>
        <v>105</v>
      </c>
      <c r="BC15" s="58">
        <f t="shared" si="11"/>
        <v>23</v>
      </c>
      <c r="BD15" s="60">
        <f t="shared" si="13"/>
        <v>4.5652173913043477</v>
      </c>
      <c r="BE15" s="91">
        <f>(BB15+'المستوى الثالث ح'!BB15+'المستوى الثاني 2023'!BB15+'المستوى الأول 2022'!BL15)/92</f>
        <v>4.0652173913043477</v>
      </c>
      <c r="BF15" s="59" t="str">
        <f>VLOOKUP(BD15,المرجع!$D$3:$F$12,3)</f>
        <v>جيد جد مرتفع</v>
      </c>
      <c r="BG15" s="57">
        <f t="shared" si="12"/>
        <v>13</v>
      </c>
    </row>
    <row r="16" spans="2:59" ht="24" customHeight="1">
      <c r="B16" s="31">
        <v>2023062</v>
      </c>
      <c r="C16" s="61" t="s">
        <v>47</v>
      </c>
      <c r="D16" s="53">
        <v>1</v>
      </c>
      <c r="E16" s="15">
        <v>96</v>
      </c>
      <c r="F16" s="65">
        <f>VLOOKUP(E16,المرجع!$B$3:$C$12,2)</f>
        <v>5</v>
      </c>
      <c r="G16" s="44" t="str">
        <f>VLOOKUP(F16,المرجع!$D$3:$E$12,2)</f>
        <v xml:space="preserve">أ+ </v>
      </c>
      <c r="H16" s="40">
        <f t="shared" si="0"/>
        <v>5</v>
      </c>
      <c r="I16" s="53">
        <v>3</v>
      </c>
      <c r="J16" s="15">
        <v>100</v>
      </c>
      <c r="K16" s="65">
        <f>VLOOKUP(J16,المرجع!$B$3:$C$12,2)</f>
        <v>5</v>
      </c>
      <c r="L16" s="44" t="str">
        <f>VLOOKUP(K16,المرجع!$C$3:$E$12,3)</f>
        <v xml:space="preserve">أ+ </v>
      </c>
      <c r="M16" s="40">
        <f t="shared" si="1"/>
        <v>15</v>
      </c>
      <c r="N16" s="53">
        <v>3</v>
      </c>
      <c r="O16" s="15">
        <v>98</v>
      </c>
      <c r="P16" s="65">
        <f>VLOOKUP(O16,المرجع!$B$3:$C$12,2)</f>
        <v>5</v>
      </c>
      <c r="Q16" s="44" t="str">
        <f>VLOOKUP(P16,المرجع!$C$3:$E$12,3)</f>
        <v xml:space="preserve">أ+ </v>
      </c>
      <c r="R16" s="40">
        <f t="shared" si="2"/>
        <v>15</v>
      </c>
      <c r="S16" s="53">
        <v>3</v>
      </c>
      <c r="T16" s="15">
        <v>88</v>
      </c>
      <c r="U16" s="65">
        <f>VLOOKUP(T16,المرجع!$B$3:$C$12,2)</f>
        <v>4.5</v>
      </c>
      <c r="V16" s="44" t="str">
        <f>VLOOKUP(U16,المرجع!$C$3:$E$12,3)</f>
        <v>ب+</v>
      </c>
      <c r="W16" s="40">
        <f t="shared" si="3"/>
        <v>13.5</v>
      </c>
      <c r="X16" s="53">
        <v>3</v>
      </c>
      <c r="Y16" s="15">
        <v>100</v>
      </c>
      <c r="Z16" s="65">
        <f>VLOOKUP(Y16,المرجع!$B$3:$C$12,2)</f>
        <v>5</v>
      </c>
      <c r="AA16" s="44" t="str">
        <f>VLOOKUP(Z16,المرجع!$C$3:$E$12,3)</f>
        <v xml:space="preserve">أ+ </v>
      </c>
      <c r="AB16" s="40">
        <f t="shared" si="4"/>
        <v>15</v>
      </c>
      <c r="AC16" s="53">
        <v>2</v>
      </c>
      <c r="AD16" s="15">
        <v>94</v>
      </c>
      <c r="AE16" s="65">
        <f>VLOOKUP(AD16,المرجع!$B$3:$C$12,2)</f>
        <v>4.75</v>
      </c>
      <c r="AF16" s="44" t="str">
        <f>VLOOKUP(AE16,المرجع!$C$3:$E$12,3)</f>
        <v>أ</v>
      </c>
      <c r="AG16" s="40">
        <f t="shared" si="5"/>
        <v>9.5</v>
      </c>
      <c r="AH16" s="53">
        <v>2</v>
      </c>
      <c r="AI16" s="15">
        <v>98</v>
      </c>
      <c r="AJ16" s="65">
        <f>VLOOKUP(AI16,المرجع!$B$3:$C$12,2)</f>
        <v>5</v>
      </c>
      <c r="AK16" s="44" t="str">
        <f>VLOOKUP(AJ16,المرجع!$C$3:$E$12,3)</f>
        <v xml:space="preserve">أ+ </v>
      </c>
      <c r="AL16" s="40">
        <f t="shared" si="6"/>
        <v>10</v>
      </c>
      <c r="AM16" s="53">
        <v>2</v>
      </c>
      <c r="AN16" s="15">
        <v>85</v>
      </c>
      <c r="AO16" s="65">
        <f>VLOOKUP(AN16,المرجع!$B$3:$C$12,2)</f>
        <v>4.5</v>
      </c>
      <c r="AP16" s="44" t="str">
        <f>VLOOKUP(AO16,المرجع!$C$3:$E$12,3)</f>
        <v>ب+</v>
      </c>
      <c r="AQ16" s="40">
        <f t="shared" si="7"/>
        <v>9</v>
      </c>
      <c r="AR16" s="53">
        <v>2</v>
      </c>
      <c r="AS16" s="15">
        <v>88</v>
      </c>
      <c r="AT16" s="65">
        <f>VLOOKUP(AS16,المرجع!$B$3:$C$12,2)</f>
        <v>4.5</v>
      </c>
      <c r="AU16" s="44" t="str">
        <f>VLOOKUP(AT16,المرجع!$C$3:$E$12,3)</f>
        <v>ب+</v>
      </c>
      <c r="AV16" s="40">
        <f t="shared" si="8"/>
        <v>9</v>
      </c>
      <c r="AW16" s="53">
        <v>2</v>
      </c>
      <c r="AX16" s="15">
        <v>50</v>
      </c>
      <c r="AY16" s="65">
        <f>VLOOKUP(AX16,المرجع!$B$3:$C$12,2)</f>
        <v>2</v>
      </c>
      <c r="AZ16" s="44" t="str">
        <f>VLOOKUP(AY16,المرجع!$C$3:$E$12,3)</f>
        <v>د</v>
      </c>
      <c r="BA16" s="40">
        <f t="shared" si="9"/>
        <v>4</v>
      </c>
      <c r="BB16" s="56">
        <f t="shared" si="10"/>
        <v>105</v>
      </c>
      <c r="BC16" s="58">
        <f t="shared" si="11"/>
        <v>23</v>
      </c>
      <c r="BD16" s="60">
        <f t="shared" si="13"/>
        <v>4.5652173913043477</v>
      </c>
      <c r="BE16" s="91">
        <f>(BB16+'المستوى الثالث ح'!BB16+'المستوى الثاني 2023'!BB16+'المستوى الأول 2022'!BL16)/92</f>
        <v>4.0461956521739131</v>
      </c>
      <c r="BF16" s="59" t="str">
        <f>VLOOKUP(BD16,المرجع!$D$3:$F$12,3)</f>
        <v>جيد جد مرتفع</v>
      </c>
      <c r="BG16" s="57">
        <f t="shared" si="12"/>
        <v>13</v>
      </c>
    </row>
    <row r="17" spans="2:59" ht="24" customHeight="1">
      <c r="B17" s="31">
        <v>2023019</v>
      </c>
      <c r="C17" s="61" t="s">
        <v>17</v>
      </c>
      <c r="D17" s="53">
        <v>1</v>
      </c>
      <c r="E17" s="15">
        <v>100</v>
      </c>
      <c r="F17" s="65">
        <f>VLOOKUP(E17,المرجع!$B$3:$C$12,2)</f>
        <v>5</v>
      </c>
      <c r="G17" s="44" t="str">
        <f>VLOOKUP(F17,المرجع!$D$3:$E$12,2)</f>
        <v xml:space="preserve">أ+ </v>
      </c>
      <c r="H17" s="40">
        <f t="shared" si="0"/>
        <v>5</v>
      </c>
      <c r="I17" s="53">
        <v>3</v>
      </c>
      <c r="J17" s="15">
        <v>98</v>
      </c>
      <c r="K17" s="65">
        <f>VLOOKUP(J17,المرجع!$B$3:$C$12,2)</f>
        <v>5</v>
      </c>
      <c r="L17" s="44" t="str">
        <f>VLOOKUP(K17,المرجع!$C$3:$E$12,3)</f>
        <v xml:space="preserve">أ+ </v>
      </c>
      <c r="M17" s="40">
        <f t="shared" si="1"/>
        <v>15</v>
      </c>
      <c r="N17" s="53">
        <v>3</v>
      </c>
      <c r="O17" s="15">
        <v>82</v>
      </c>
      <c r="P17" s="65">
        <f>VLOOKUP(O17,المرجع!$B$3:$C$12,2)</f>
        <v>4</v>
      </c>
      <c r="Q17" s="44" t="str">
        <f>VLOOKUP(P17,المرجع!$C$3:$E$12,3)</f>
        <v>ب</v>
      </c>
      <c r="R17" s="40">
        <f t="shared" si="2"/>
        <v>12</v>
      </c>
      <c r="S17" s="53">
        <v>3</v>
      </c>
      <c r="T17" s="15">
        <v>95</v>
      </c>
      <c r="U17" s="65">
        <f>VLOOKUP(T17,المرجع!$B$3:$C$12,2)</f>
        <v>5</v>
      </c>
      <c r="V17" s="44" t="str">
        <f>VLOOKUP(U17,المرجع!$C$3:$E$12,3)</f>
        <v xml:space="preserve">أ+ </v>
      </c>
      <c r="W17" s="40">
        <f t="shared" si="3"/>
        <v>15</v>
      </c>
      <c r="X17" s="53">
        <v>3</v>
      </c>
      <c r="Y17" s="15">
        <v>100</v>
      </c>
      <c r="Z17" s="65">
        <f>VLOOKUP(Y17,المرجع!$B$3:$C$12,2)</f>
        <v>5</v>
      </c>
      <c r="AA17" s="44" t="str">
        <f>VLOOKUP(Z17,المرجع!$C$3:$E$12,3)</f>
        <v xml:space="preserve">أ+ </v>
      </c>
      <c r="AB17" s="40">
        <f t="shared" si="4"/>
        <v>15</v>
      </c>
      <c r="AC17" s="53">
        <v>2</v>
      </c>
      <c r="AD17" s="15">
        <v>99</v>
      </c>
      <c r="AE17" s="65">
        <f>VLOOKUP(AD17,المرجع!$B$3:$C$12,2)</f>
        <v>5</v>
      </c>
      <c r="AF17" s="44" t="str">
        <f>VLOOKUP(AE17,المرجع!$C$3:$E$12,3)</f>
        <v xml:space="preserve">أ+ </v>
      </c>
      <c r="AG17" s="40">
        <f t="shared" si="5"/>
        <v>10</v>
      </c>
      <c r="AH17" s="53">
        <v>2</v>
      </c>
      <c r="AI17" s="15">
        <v>90</v>
      </c>
      <c r="AJ17" s="65">
        <f>VLOOKUP(AI17,المرجع!$B$3:$C$12,2)</f>
        <v>4.75</v>
      </c>
      <c r="AK17" s="44" t="str">
        <f>VLOOKUP(AJ17,المرجع!$C$3:$E$12,3)</f>
        <v>أ</v>
      </c>
      <c r="AL17" s="40">
        <f t="shared" si="6"/>
        <v>9.5</v>
      </c>
      <c r="AM17" s="53">
        <v>2</v>
      </c>
      <c r="AN17" s="15">
        <v>78</v>
      </c>
      <c r="AO17" s="65">
        <f>VLOOKUP(AN17,المرجع!$B$3:$C$12,2)</f>
        <v>3.5</v>
      </c>
      <c r="AP17" s="44" t="str">
        <f>VLOOKUP(AO17,المرجع!$C$3:$E$12,3)</f>
        <v>ج+</v>
      </c>
      <c r="AQ17" s="40">
        <f t="shared" si="7"/>
        <v>7</v>
      </c>
      <c r="AR17" s="53">
        <v>2</v>
      </c>
      <c r="AS17" s="15">
        <v>93</v>
      </c>
      <c r="AT17" s="65">
        <f>VLOOKUP(AS17,المرجع!$B$3:$C$12,2)</f>
        <v>4.75</v>
      </c>
      <c r="AU17" s="44" t="str">
        <f>VLOOKUP(AT17,المرجع!$C$3:$E$12,3)</f>
        <v>أ</v>
      </c>
      <c r="AV17" s="40">
        <f t="shared" si="8"/>
        <v>9.5</v>
      </c>
      <c r="AW17" s="53">
        <v>2</v>
      </c>
      <c r="AX17" s="15">
        <v>71</v>
      </c>
      <c r="AY17" s="65">
        <f>VLOOKUP(AX17,المرجع!$B$3:$C$12,2)</f>
        <v>3</v>
      </c>
      <c r="AZ17" s="44" t="str">
        <f>VLOOKUP(AY17,المرجع!$C$3:$E$12,3)</f>
        <v>ج</v>
      </c>
      <c r="BA17" s="40">
        <f t="shared" si="9"/>
        <v>6</v>
      </c>
      <c r="BB17" s="56">
        <f t="shared" si="10"/>
        <v>104</v>
      </c>
      <c r="BC17" s="58">
        <f t="shared" si="11"/>
        <v>23</v>
      </c>
      <c r="BD17" s="60">
        <f t="shared" si="13"/>
        <v>4.5217391304347823</v>
      </c>
      <c r="BE17" s="91">
        <f>(BB17+'المستوى الثالث ح'!BB17+'المستوى الثاني 2023'!BB17+'المستوى الأول 2022'!BL17)/92</f>
        <v>4.0326086956521738</v>
      </c>
      <c r="BF17" s="59" t="str">
        <f>VLOOKUP(BD17,المرجع!$D$3:$F$12,3)</f>
        <v>جيد جد مرتفع</v>
      </c>
      <c r="BG17" s="57">
        <f t="shared" si="12"/>
        <v>15</v>
      </c>
    </row>
    <row r="18" spans="2:59" ht="24" customHeight="1">
      <c r="B18" s="31">
        <v>2023038</v>
      </c>
      <c r="C18" s="61" t="s">
        <v>5</v>
      </c>
      <c r="D18" s="53">
        <v>1</v>
      </c>
      <c r="E18" s="15">
        <v>95</v>
      </c>
      <c r="F18" s="65">
        <f>VLOOKUP(E18,المرجع!$B$3:$C$12,2)</f>
        <v>5</v>
      </c>
      <c r="G18" s="44" t="str">
        <f>VLOOKUP(F18,المرجع!$D$3:$E$12,2)</f>
        <v xml:space="preserve">أ+ </v>
      </c>
      <c r="H18" s="40">
        <f t="shared" si="0"/>
        <v>5</v>
      </c>
      <c r="I18" s="53">
        <v>3</v>
      </c>
      <c r="J18" s="15">
        <v>100</v>
      </c>
      <c r="K18" s="65">
        <f>VLOOKUP(J18,المرجع!$B$3:$C$12,2)</f>
        <v>5</v>
      </c>
      <c r="L18" s="44" t="str">
        <f>VLOOKUP(K18,المرجع!$C$3:$E$12,3)</f>
        <v xml:space="preserve">أ+ </v>
      </c>
      <c r="M18" s="40">
        <f t="shared" si="1"/>
        <v>15</v>
      </c>
      <c r="N18" s="53">
        <v>3</v>
      </c>
      <c r="O18" s="15">
        <v>94</v>
      </c>
      <c r="P18" s="65">
        <f>VLOOKUP(O18,المرجع!$B$3:$C$12,2)</f>
        <v>4.75</v>
      </c>
      <c r="Q18" s="44" t="str">
        <f>VLOOKUP(P18,المرجع!$C$3:$E$12,3)</f>
        <v>أ</v>
      </c>
      <c r="R18" s="40">
        <f t="shared" si="2"/>
        <v>14.25</v>
      </c>
      <c r="S18" s="53">
        <v>3</v>
      </c>
      <c r="T18" s="15">
        <v>100</v>
      </c>
      <c r="U18" s="65">
        <f>VLOOKUP(T18,المرجع!$B$3:$C$12,2)</f>
        <v>5</v>
      </c>
      <c r="V18" s="44" t="str">
        <f>VLOOKUP(U18,المرجع!$C$3:$E$12,3)</f>
        <v xml:space="preserve">أ+ </v>
      </c>
      <c r="W18" s="40">
        <f t="shared" si="3"/>
        <v>15</v>
      </c>
      <c r="X18" s="53">
        <v>3</v>
      </c>
      <c r="Y18" s="15">
        <v>100</v>
      </c>
      <c r="Z18" s="65">
        <f>VLOOKUP(Y18,المرجع!$B$3:$C$12,2)</f>
        <v>5</v>
      </c>
      <c r="AA18" s="44" t="str">
        <f>VLOOKUP(Z18,المرجع!$C$3:$E$12,3)</f>
        <v xml:space="preserve">أ+ </v>
      </c>
      <c r="AB18" s="40">
        <f t="shared" si="4"/>
        <v>15</v>
      </c>
      <c r="AC18" s="53">
        <v>2</v>
      </c>
      <c r="AD18" s="15">
        <v>84</v>
      </c>
      <c r="AE18" s="65">
        <f>VLOOKUP(AD18,المرجع!$B$3:$C$12,2)</f>
        <v>4</v>
      </c>
      <c r="AF18" s="44" t="str">
        <f>VLOOKUP(AE18,المرجع!$C$3:$E$12,3)</f>
        <v>ب</v>
      </c>
      <c r="AG18" s="40">
        <f t="shared" si="5"/>
        <v>8</v>
      </c>
      <c r="AH18" s="53">
        <v>2</v>
      </c>
      <c r="AI18" s="15">
        <v>99</v>
      </c>
      <c r="AJ18" s="65">
        <f>VLOOKUP(AI18,المرجع!$B$3:$C$12,2)</f>
        <v>5</v>
      </c>
      <c r="AK18" s="44" t="str">
        <f>VLOOKUP(AJ18,المرجع!$C$3:$E$12,3)</f>
        <v xml:space="preserve">أ+ </v>
      </c>
      <c r="AL18" s="40">
        <f t="shared" si="6"/>
        <v>10</v>
      </c>
      <c r="AM18" s="53">
        <v>2</v>
      </c>
      <c r="AN18" s="15">
        <v>77</v>
      </c>
      <c r="AO18" s="65">
        <f>VLOOKUP(AN18,المرجع!$B$3:$C$12,2)</f>
        <v>3.5</v>
      </c>
      <c r="AP18" s="44" t="str">
        <f>VLOOKUP(AO18,المرجع!$C$3:$E$12,3)</f>
        <v>ج+</v>
      </c>
      <c r="AQ18" s="40">
        <f t="shared" si="7"/>
        <v>7</v>
      </c>
      <c r="AR18" s="53">
        <v>2</v>
      </c>
      <c r="AS18" s="15">
        <v>76</v>
      </c>
      <c r="AT18" s="65">
        <f>VLOOKUP(AS18,المرجع!$B$3:$C$12,2)</f>
        <v>3.5</v>
      </c>
      <c r="AU18" s="44" t="str">
        <f>VLOOKUP(AT18,المرجع!$C$3:$E$12,3)</f>
        <v>ج+</v>
      </c>
      <c r="AV18" s="40">
        <f t="shared" si="8"/>
        <v>7</v>
      </c>
      <c r="AW18" s="53">
        <v>2</v>
      </c>
      <c r="AX18" s="15">
        <v>73</v>
      </c>
      <c r="AY18" s="65">
        <f>VLOOKUP(AX18,المرجع!$B$3:$C$12,2)</f>
        <v>3</v>
      </c>
      <c r="AZ18" s="44" t="str">
        <f>VLOOKUP(AY18,المرجع!$C$3:$E$12,3)</f>
        <v>ج</v>
      </c>
      <c r="BA18" s="40">
        <f t="shared" si="9"/>
        <v>6</v>
      </c>
      <c r="BB18" s="56">
        <f t="shared" si="10"/>
        <v>102.25</v>
      </c>
      <c r="BC18" s="58">
        <f t="shared" si="11"/>
        <v>23</v>
      </c>
      <c r="BD18" s="60">
        <f t="shared" si="13"/>
        <v>4.4456521739130439</v>
      </c>
      <c r="BE18" s="91">
        <f>(BB18+'المستوى الثالث ح'!BB18+'المستوى الثاني 2023'!BB18+'المستوى الأول 2022'!BL18)/92</f>
        <v>3.9945652173913042</v>
      </c>
      <c r="BF18" s="59" t="str">
        <f>VLOOKUP(BD18,المرجع!$D$3:$F$12,3)</f>
        <v>جيد جد مرتفع</v>
      </c>
      <c r="BG18" s="57">
        <f t="shared" si="12"/>
        <v>16</v>
      </c>
    </row>
    <row r="19" spans="2:59" ht="24" customHeight="1">
      <c r="B19" s="31">
        <v>2023129</v>
      </c>
      <c r="C19" s="61" t="s">
        <v>92</v>
      </c>
      <c r="D19" s="53">
        <v>1</v>
      </c>
      <c r="E19" s="15">
        <v>80</v>
      </c>
      <c r="F19" s="65">
        <f>VLOOKUP(E19,المرجع!$B$3:$C$12,2)</f>
        <v>4</v>
      </c>
      <c r="G19" s="44" t="str">
        <f>VLOOKUP(F19,المرجع!$D$3:$E$12,2)</f>
        <v>ب</v>
      </c>
      <c r="H19" s="40">
        <f t="shared" si="0"/>
        <v>4</v>
      </c>
      <c r="I19" s="53">
        <v>3</v>
      </c>
      <c r="J19" s="15">
        <v>100</v>
      </c>
      <c r="K19" s="65">
        <f>VLOOKUP(J19,المرجع!$B$3:$C$12,2)</f>
        <v>5</v>
      </c>
      <c r="L19" s="44" t="str">
        <f>VLOOKUP(K19,المرجع!$C$3:$E$12,3)</f>
        <v xml:space="preserve">أ+ </v>
      </c>
      <c r="M19" s="40">
        <f t="shared" si="1"/>
        <v>15</v>
      </c>
      <c r="N19" s="53">
        <v>3</v>
      </c>
      <c r="O19" s="15">
        <v>66</v>
      </c>
      <c r="P19" s="65">
        <f>VLOOKUP(O19,المرجع!$B$3:$C$12,2)</f>
        <v>2.5</v>
      </c>
      <c r="Q19" s="44" t="str">
        <f>VLOOKUP(P19,المرجع!$C$3:$E$12,3)</f>
        <v>د+</v>
      </c>
      <c r="R19" s="40">
        <f t="shared" si="2"/>
        <v>7.5</v>
      </c>
      <c r="S19" s="53">
        <v>3</v>
      </c>
      <c r="T19" s="15">
        <v>100</v>
      </c>
      <c r="U19" s="65">
        <f>VLOOKUP(T19,المرجع!$B$3:$C$12,2)</f>
        <v>5</v>
      </c>
      <c r="V19" s="44" t="str">
        <f>VLOOKUP(U19,المرجع!$C$3:$E$12,3)</f>
        <v xml:space="preserve">أ+ </v>
      </c>
      <c r="W19" s="40">
        <f t="shared" si="3"/>
        <v>15</v>
      </c>
      <c r="X19" s="53">
        <v>3</v>
      </c>
      <c r="Y19" s="15">
        <v>100</v>
      </c>
      <c r="Z19" s="65">
        <f>VLOOKUP(Y19,المرجع!$B$3:$C$12,2)</f>
        <v>5</v>
      </c>
      <c r="AA19" s="44" t="str">
        <f>VLOOKUP(Z19,المرجع!$C$3:$E$12,3)</f>
        <v xml:space="preserve">أ+ </v>
      </c>
      <c r="AB19" s="40">
        <f t="shared" si="4"/>
        <v>15</v>
      </c>
      <c r="AC19" s="53">
        <v>2</v>
      </c>
      <c r="AD19" s="15">
        <v>88</v>
      </c>
      <c r="AE19" s="65">
        <f>VLOOKUP(AD19,المرجع!$B$3:$C$12,2)</f>
        <v>4.5</v>
      </c>
      <c r="AF19" s="44" t="str">
        <f>VLOOKUP(AE19,المرجع!$C$3:$E$12,3)</f>
        <v>ب+</v>
      </c>
      <c r="AG19" s="40">
        <f t="shared" si="5"/>
        <v>9</v>
      </c>
      <c r="AH19" s="53">
        <v>2</v>
      </c>
      <c r="AI19" s="15">
        <v>97</v>
      </c>
      <c r="AJ19" s="65">
        <f>VLOOKUP(AI19,المرجع!$B$3:$C$12,2)</f>
        <v>5</v>
      </c>
      <c r="AK19" s="44" t="str">
        <f>VLOOKUP(AJ19,المرجع!$C$3:$E$12,3)</f>
        <v xml:space="preserve">أ+ </v>
      </c>
      <c r="AL19" s="40">
        <f t="shared" si="6"/>
        <v>10</v>
      </c>
      <c r="AM19" s="53">
        <v>2</v>
      </c>
      <c r="AN19" s="15">
        <v>93</v>
      </c>
      <c r="AO19" s="65">
        <f>VLOOKUP(AN19,المرجع!$B$3:$C$12,2)</f>
        <v>4.75</v>
      </c>
      <c r="AP19" s="44" t="str">
        <f>VLOOKUP(AO19,المرجع!$C$3:$E$12,3)</f>
        <v>أ</v>
      </c>
      <c r="AQ19" s="40">
        <f t="shared" si="7"/>
        <v>9.5</v>
      </c>
      <c r="AR19" s="53">
        <v>2</v>
      </c>
      <c r="AS19" s="15">
        <v>100</v>
      </c>
      <c r="AT19" s="65">
        <f>VLOOKUP(AS19,المرجع!$B$3:$C$12,2)</f>
        <v>5</v>
      </c>
      <c r="AU19" s="44" t="str">
        <f>VLOOKUP(AT19,المرجع!$C$3:$E$12,3)</f>
        <v xml:space="preserve">أ+ </v>
      </c>
      <c r="AV19" s="40">
        <f t="shared" si="8"/>
        <v>10</v>
      </c>
      <c r="AW19" s="53">
        <v>2</v>
      </c>
      <c r="AX19" s="15">
        <v>78</v>
      </c>
      <c r="AY19" s="65">
        <f>VLOOKUP(AX19,المرجع!$B$3:$C$12,2)</f>
        <v>3.5</v>
      </c>
      <c r="AZ19" s="44" t="str">
        <f>VLOOKUP(AY19,المرجع!$C$3:$E$12,3)</f>
        <v>ج+</v>
      </c>
      <c r="BA19" s="40">
        <f t="shared" si="9"/>
        <v>7</v>
      </c>
      <c r="BB19" s="56">
        <f t="shared" si="10"/>
        <v>102</v>
      </c>
      <c r="BC19" s="58">
        <f t="shared" si="11"/>
        <v>23</v>
      </c>
      <c r="BD19" s="60">
        <f t="shared" si="13"/>
        <v>4.4347826086956523</v>
      </c>
      <c r="BE19" s="91">
        <f>(BB19+'المستوى الثالث ح'!BB19+'المستوى الثاني 2023'!BB19+'المستوى الأول 2022'!BL19)/92</f>
        <v>4.0163043478260869</v>
      </c>
      <c r="BF19" s="59" t="str">
        <f>VLOOKUP(BD19,المرجع!$D$3:$F$12,3)</f>
        <v>جيد جد مرتفع</v>
      </c>
      <c r="BG19" s="57">
        <f t="shared" si="12"/>
        <v>17</v>
      </c>
    </row>
    <row r="20" spans="2:59" ht="24" customHeight="1">
      <c r="B20" s="31">
        <v>2023087</v>
      </c>
      <c r="C20" s="61" t="s">
        <v>51</v>
      </c>
      <c r="D20" s="53">
        <v>1</v>
      </c>
      <c r="E20" s="15">
        <v>88</v>
      </c>
      <c r="F20" s="65">
        <f>VLOOKUP(E20,المرجع!$B$3:$C$12,2)</f>
        <v>4.5</v>
      </c>
      <c r="G20" s="44" t="str">
        <f>VLOOKUP(F20,المرجع!$D$3:$E$12,2)</f>
        <v>ب+</v>
      </c>
      <c r="H20" s="40">
        <f t="shared" si="0"/>
        <v>4.5</v>
      </c>
      <c r="I20" s="53">
        <v>3</v>
      </c>
      <c r="J20" s="15">
        <v>100</v>
      </c>
      <c r="K20" s="65">
        <f>VLOOKUP(J20,المرجع!$B$3:$C$12,2)</f>
        <v>5</v>
      </c>
      <c r="L20" s="44" t="str">
        <f>VLOOKUP(K20,المرجع!$C$3:$E$12,3)</f>
        <v xml:space="preserve">أ+ </v>
      </c>
      <c r="M20" s="40">
        <f t="shared" si="1"/>
        <v>15</v>
      </c>
      <c r="N20" s="53">
        <v>3</v>
      </c>
      <c r="O20" s="15">
        <v>76</v>
      </c>
      <c r="P20" s="65">
        <f>VLOOKUP(O20,المرجع!$B$3:$C$12,2)</f>
        <v>3.5</v>
      </c>
      <c r="Q20" s="44" t="str">
        <f>VLOOKUP(P20,المرجع!$C$3:$E$12,3)</f>
        <v>ج+</v>
      </c>
      <c r="R20" s="40">
        <f t="shared" si="2"/>
        <v>10.5</v>
      </c>
      <c r="S20" s="53">
        <v>3</v>
      </c>
      <c r="T20" s="15">
        <v>100</v>
      </c>
      <c r="U20" s="65">
        <f>VLOOKUP(T20,المرجع!$B$3:$C$12,2)</f>
        <v>5</v>
      </c>
      <c r="V20" s="44" t="str">
        <f>VLOOKUP(U20,المرجع!$C$3:$E$12,3)</f>
        <v xml:space="preserve">أ+ </v>
      </c>
      <c r="W20" s="40">
        <f t="shared" si="3"/>
        <v>15</v>
      </c>
      <c r="X20" s="53">
        <v>3</v>
      </c>
      <c r="Y20" s="15">
        <v>100</v>
      </c>
      <c r="Z20" s="65">
        <f>VLOOKUP(Y20,المرجع!$B$3:$C$12,2)</f>
        <v>5</v>
      </c>
      <c r="AA20" s="44" t="str">
        <f>VLOOKUP(Z20,المرجع!$C$3:$E$12,3)</f>
        <v xml:space="preserve">أ+ </v>
      </c>
      <c r="AB20" s="40">
        <f t="shared" si="4"/>
        <v>15</v>
      </c>
      <c r="AC20" s="53">
        <v>2</v>
      </c>
      <c r="AD20" s="15">
        <v>86</v>
      </c>
      <c r="AE20" s="65">
        <f>VLOOKUP(AD20,المرجع!$B$3:$C$12,2)</f>
        <v>4.5</v>
      </c>
      <c r="AF20" s="44" t="str">
        <f>VLOOKUP(AE20,المرجع!$C$3:$E$12,3)</f>
        <v>ب+</v>
      </c>
      <c r="AG20" s="40">
        <f t="shared" si="5"/>
        <v>9</v>
      </c>
      <c r="AH20" s="53">
        <v>2</v>
      </c>
      <c r="AI20" s="15">
        <v>95</v>
      </c>
      <c r="AJ20" s="65">
        <f>VLOOKUP(AI20,المرجع!$B$3:$C$12,2)</f>
        <v>5</v>
      </c>
      <c r="AK20" s="44" t="str">
        <f>VLOOKUP(AJ20,المرجع!$C$3:$E$12,3)</f>
        <v xml:space="preserve">أ+ </v>
      </c>
      <c r="AL20" s="40">
        <f t="shared" si="6"/>
        <v>10</v>
      </c>
      <c r="AM20" s="53">
        <v>2</v>
      </c>
      <c r="AN20" s="15">
        <v>83</v>
      </c>
      <c r="AO20" s="65">
        <f>VLOOKUP(AN20,المرجع!$B$3:$C$12,2)</f>
        <v>4</v>
      </c>
      <c r="AP20" s="44" t="str">
        <f>VLOOKUP(AO20,المرجع!$C$3:$E$12,3)</f>
        <v>ب</v>
      </c>
      <c r="AQ20" s="40">
        <f t="shared" si="7"/>
        <v>8</v>
      </c>
      <c r="AR20" s="53">
        <v>2</v>
      </c>
      <c r="AS20" s="15">
        <v>96</v>
      </c>
      <c r="AT20" s="65">
        <f>VLOOKUP(AS20,المرجع!$B$3:$C$12,2)</f>
        <v>5</v>
      </c>
      <c r="AU20" s="44" t="str">
        <f>VLOOKUP(AT20,المرجع!$C$3:$E$12,3)</f>
        <v xml:space="preserve">أ+ </v>
      </c>
      <c r="AV20" s="40">
        <f t="shared" si="8"/>
        <v>10</v>
      </c>
      <c r="AW20" s="53">
        <v>2</v>
      </c>
      <c r="AX20" s="15">
        <v>61</v>
      </c>
      <c r="AY20" s="65">
        <f>VLOOKUP(AX20,المرجع!$B$3:$C$12,2)</f>
        <v>2</v>
      </c>
      <c r="AZ20" s="44" t="str">
        <f>VLOOKUP(AY20,المرجع!$C$3:$E$12,3)</f>
        <v>د</v>
      </c>
      <c r="BA20" s="40">
        <f t="shared" si="9"/>
        <v>4</v>
      </c>
      <c r="BB20" s="56">
        <f t="shared" si="10"/>
        <v>101</v>
      </c>
      <c r="BC20" s="58">
        <f t="shared" si="11"/>
        <v>23</v>
      </c>
      <c r="BD20" s="60">
        <f t="shared" si="13"/>
        <v>4.3913043478260869</v>
      </c>
      <c r="BE20" s="91">
        <f>(BB20+'المستوى الثالث ح'!BB20+'المستوى الثاني 2023'!BB20+'المستوى الأول 2022'!BL20)/92</f>
        <v>3.9076086956521738</v>
      </c>
      <c r="BF20" s="59" t="str">
        <f>VLOOKUP(BD20,المرجع!$D$3:$F$12,3)</f>
        <v>جيد جد مرتفع</v>
      </c>
      <c r="BG20" s="57">
        <f t="shared" si="12"/>
        <v>18</v>
      </c>
    </row>
    <row r="21" spans="2:59" ht="24" customHeight="1">
      <c r="B21" s="31">
        <v>2023046</v>
      </c>
      <c r="C21" s="61" t="s">
        <v>12</v>
      </c>
      <c r="D21" s="53">
        <v>1</v>
      </c>
      <c r="E21" s="15">
        <v>97</v>
      </c>
      <c r="F21" s="65">
        <f>VLOOKUP(E21,المرجع!$B$3:$C$12,2)</f>
        <v>5</v>
      </c>
      <c r="G21" s="44" t="str">
        <f>VLOOKUP(F21,المرجع!$D$3:$E$12,2)</f>
        <v xml:space="preserve">أ+ </v>
      </c>
      <c r="H21" s="40">
        <f t="shared" si="0"/>
        <v>5</v>
      </c>
      <c r="I21" s="53">
        <v>3</v>
      </c>
      <c r="J21" s="15">
        <v>98</v>
      </c>
      <c r="K21" s="65">
        <f>VLOOKUP(J21,المرجع!$B$3:$C$12,2)</f>
        <v>5</v>
      </c>
      <c r="L21" s="44" t="str">
        <f>VLOOKUP(K21,المرجع!$C$3:$E$12,3)</f>
        <v xml:space="preserve">أ+ </v>
      </c>
      <c r="M21" s="40">
        <f t="shared" si="1"/>
        <v>15</v>
      </c>
      <c r="N21" s="53">
        <v>3</v>
      </c>
      <c r="O21" s="15">
        <v>54</v>
      </c>
      <c r="P21" s="65">
        <f>VLOOKUP(O21,المرجع!$B$3:$C$12,2)</f>
        <v>2</v>
      </c>
      <c r="Q21" s="44" t="str">
        <f>VLOOKUP(P21,المرجع!$C$3:$E$12,3)</f>
        <v>د</v>
      </c>
      <c r="R21" s="40">
        <f t="shared" si="2"/>
        <v>6</v>
      </c>
      <c r="S21" s="53">
        <v>3</v>
      </c>
      <c r="T21" s="15">
        <v>94</v>
      </c>
      <c r="U21" s="65">
        <f>VLOOKUP(T21,المرجع!$B$3:$C$12,2)</f>
        <v>4.75</v>
      </c>
      <c r="V21" s="44" t="str">
        <f>VLOOKUP(U21,المرجع!$C$3:$E$12,3)</f>
        <v>أ</v>
      </c>
      <c r="W21" s="40">
        <f t="shared" si="3"/>
        <v>14.25</v>
      </c>
      <c r="X21" s="53">
        <v>3</v>
      </c>
      <c r="Y21" s="15">
        <v>99</v>
      </c>
      <c r="Z21" s="65">
        <f>VLOOKUP(Y21,المرجع!$B$3:$C$12,2)</f>
        <v>5</v>
      </c>
      <c r="AA21" s="44" t="str">
        <f>VLOOKUP(Z21,المرجع!$C$3:$E$12,3)</f>
        <v xml:space="preserve">أ+ </v>
      </c>
      <c r="AB21" s="40">
        <f t="shared" si="4"/>
        <v>15</v>
      </c>
      <c r="AC21" s="53">
        <v>2</v>
      </c>
      <c r="AD21" s="15">
        <v>96</v>
      </c>
      <c r="AE21" s="65">
        <f>VLOOKUP(AD21,المرجع!$B$3:$C$12,2)</f>
        <v>5</v>
      </c>
      <c r="AF21" s="44" t="str">
        <f>VLOOKUP(AE21,المرجع!$C$3:$E$12,3)</f>
        <v xml:space="preserve">أ+ </v>
      </c>
      <c r="AG21" s="40">
        <f t="shared" si="5"/>
        <v>10</v>
      </c>
      <c r="AH21" s="53">
        <v>2</v>
      </c>
      <c r="AI21" s="15">
        <v>99</v>
      </c>
      <c r="AJ21" s="65">
        <f>VLOOKUP(AI21,المرجع!$B$3:$C$12,2)</f>
        <v>5</v>
      </c>
      <c r="AK21" s="44" t="str">
        <f>VLOOKUP(AJ21,المرجع!$C$3:$E$12,3)</f>
        <v xml:space="preserve">أ+ </v>
      </c>
      <c r="AL21" s="40">
        <f t="shared" si="6"/>
        <v>10</v>
      </c>
      <c r="AM21" s="53">
        <v>2</v>
      </c>
      <c r="AN21" s="15">
        <v>95</v>
      </c>
      <c r="AO21" s="65">
        <f>VLOOKUP(AN21,المرجع!$B$3:$C$12,2)</f>
        <v>5</v>
      </c>
      <c r="AP21" s="44" t="str">
        <f>VLOOKUP(AO21,المرجع!$C$3:$E$12,3)</f>
        <v xml:space="preserve">أ+ </v>
      </c>
      <c r="AQ21" s="40">
        <f t="shared" si="7"/>
        <v>10</v>
      </c>
      <c r="AR21" s="53">
        <v>2</v>
      </c>
      <c r="AS21" s="15">
        <v>87</v>
      </c>
      <c r="AT21" s="65">
        <f>VLOOKUP(AS21,المرجع!$B$3:$C$12,2)</f>
        <v>4.5</v>
      </c>
      <c r="AU21" s="44" t="str">
        <f>VLOOKUP(AT21,المرجع!$C$3:$E$12,3)</f>
        <v>ب+</v>
      </c>
      <c r="AV21" s="40">
        <f t="shared" si="8"/>
        <v>9</v>
      </c>
      <c r="AW21" s="53">
        <v>2</v>
      </c>
      <c r="AX21" s="15">
        <v>66</v>
      </c>
      <c r="AY21" s="65">
        <f>VLOOKUP(AX21,المرجع!$B$3:$C$12,2)</f>
        <v>2.5</v>
      </c>
      <c r="AZ21" s="44" t="str">
        <f>VLOOKUP(AY21,المرجع!$C$3:$E$12,3)</f>
        <v>د+</v>
      </c>
      <c r="BA21" s="40">
        <f t="shared" si="9"/>
        <v>5</v>
      </c>
      <c r="BB21" s="56">
        <f t="shared" si="10"/>
        <v>99.25</v>
      </c>
      <c r="BC21" s="58">
        <f t="shared" si="11"/>
        <v>23</v>
      </c>
      <c r="BD21" s="60">
        <f t="shared" si="13"/>
        <v>4.3152173913043477</v>
      </c>
      <c r="BE21" s="91">
        <f>(BB21+'المستوى الثالث ح'!BB21+'المستوى الثاني 2023'!BB21+'المستوى الأول 2022'!BL21)/92</f>
        <v>3.8831521739130435</v>
      </c>
      <c r="BF21" s="59" t="str">
        <f>VLOOKUP(BD21,المرجع!$D$3:$F$12,3)</f>
        <v>جيد جد مرتفع</v>
      </c>
      <c r="BG21" s="57">
        <f t="shared" si="12"/>
        <v>19</v>
      </c>
    </row>
    <row r="22" spans="2:59" ht="24" customHeight="1">
      <c r="B22" s="31">
        <v>2023084</v>
      </c>
      <c r="C22" s="61" t="s">
        <v>88</v>
      </c>
      <c r="D22" s="53">
        <v>1</v>
      </c>
      <c r="E22" s="15">
        <v>95</v>
      </c>
      <c r="F22" s="65">
        <f>VLOOKUP(E22,المرجع!$B$3:$C$12,2)</f>
        <v>5</v>
      </c>
      <c r="G22" s="44" t="str">
        <f>VLOOKUP(F22,المرجع!$D$3:$E$12,2)</f>
        <v xml:space="preserve">أ+ </v>
      </c>
      <c r="H22" s="40">
        <f t="shared" si="0"/>
        <v>5</v>
      </c>
      <c r="I22" s="53">
        <v>3</v>
      </c>
      <c r="J22" s="15">
        <v>100</v>
      </c>
      <c r="K22" s="65">
        <f>VLOOKUP(J22,المرجع!$B$3:$C$12,2)</f>
        <v>5</v>
      </c>
      <c r="L22" s="44" t="str">
        <f>VLOOKUP(K22,المرجع!$C$3:$E$12,3)</f>
        <v xml:space="preserve">أ+ </v>
      </c>
      <c r="M22" s="40">
        <f t="shared" si="1"/>
        <v>15</v>
      </c>
      <c r="N22" s="53">
        <v>3</v>
      </c>
      <c r="O22" s="15">
        <v>65</v>
      </c>
      <c r="P22" s="65">
        <f>VLOOKUP(O22,المرجع!$B$3:$C$12,2)</f>
        <v>2.5</v>
      </c>
      <c r="Q22" s="44" t="str">
        <f>VLOOKUP(P22,المرجع!$C$3:$E$12,3)</f>
        <v>د+</v>
      </c>
      <c r="R22" s="40">
        <f t="shared" si="2"/>
        <v>7.5</v>
      </c>
      <c r="S22" s="53">
        <v>3</v>
      </c>
      <c r="T22" s="15">
        <v>100</v>
      </c>
      <c r="U22" s="65">
        <f>VLOOKUP(T22,المرجع!$B$3:$C$12,2)</f>
        <v>5</v>
      </c>
      <c r="V22" s="44" t="str">
        <f>VLOOKUP(U22,المرجع!$C$3:$E$12,3)</f>
        <v xml:space="preserve">أ+ </v>
      </c>
      <c r="W22" s="40">
        <f t="shared" si="3"/>
        <v>15</v>
      </c>
      <c r="X22" s="53">
        <v>3</v>
      </c>
      <c r="Y22" s="15">
        <v>100</v>
      </c>
      <c r="Z22" s="65">
        <f>VLOOKUP(Y22,المرجع!$B$3:$C$12,2)</f>
        <v>5</v>
      </c>
      <c r="AA22" s="44" t="str">
        <f>VLOOKUP(Z22,المرجع!$C$3:$E$12,3)</f>
        <v xml:space="preserve">أ+ </v>
      </c>
      <c r="AB22" s="40">
        <f t="shared" si="4"/>
        <v>15</v>
      </c>
      <c r="AC22" s="53">
        <v>2</v>
      </c>
      <c r="AD22" s="15">
        <v>65</v>
      </c>
      <c r="AE22" s="65">
        <f>VLOOKUP(AD22,المرجع!$B$3:$C$12,2)</f>
        <v>2.5</v>
      </c>
      <c r="AF22" s="44" t="str">
        <f>VLOOKUP(AE22,المرجع!$C$3:$E$12,3)</f>
        <v>د+</v>
      </c>
      <c r="AG22" s="40">
        <f t="shared" si="5"/>
        <v>5</v>
      </c>
      <c r="AH22" s="53">
        <v>2</v>
      </c>
      <c r="AI22" s="15">
        <v>94</v>
      </c>
      <c r="AJ22" s="65">
        <f>VLOOKUP(AI22,المرجع!$B$3:$C$12,2)</f>
        <v>4.75</v>
      </c>
      <c r="AK22" s="44" t="str">
        <f>VLOOKUP(AJ22,المرجع!$C$3:$E$12,3)</f>
        <v>أ</v>
      </c>
      <c r="AL22" s="40">
        <f t="shared" si="6"/>
        <v>9.5</v>
      </c>
      <c r="AM22" s="53">
        <v>2</v>
      </c>
      <c r="AN22" s="15">
        <v>80</v>
      </c>
      <c r="AO22" s="65">
        <f>VLOOKUP(AN22,المرجع!$B$3:$C$12,2)</f>
        <v>4</v>
      </c>
      <c r="AP22" s="44" t="str">
        <f>VLOOKUP(AO22,المرجع!$C$3:$E$12,3)</f>
        <v>ب</v>
      </c>
      <c r="AQ22" s="40">
        <f t="shared" si="7"/>
        <v>8</v>
      </c>
      <c r="AR22" s="53">
        <v>2</v>
      </c>
      <c r="AS22" s="15">
        <v>100</v>
      </c>
      <c r="AT22" s="65">
        <f>VLOOKUP(AS22,المرجع!$B$3:$C$12,2)</f>
        <v>5</v>
      </c>
      <c r="AU22" s="44" t="str">
        <f>VLOOKUP(AT22,المرجع!$C$3:$E$12,3)</f>
        <v xml:space="preserve">أ+ </v>
      </c>
      <c r="AV22" s="40">
        <f t="shared" si="8"/>
        <v>10</v>
      </c>
      <c r="AW22" s="53">
        <v>2</v>
      </c>
      <c r="AX22" s="15">
        <v>86</v>
      </c>
      <c r="AY22" s="65">
        <f>VLOOKUP(AX22,المرجع!$B$3:$C$12,2)</f>
        <v>4.5</v>
      </c>
      <c r="AZ22" s="44" t="str">
        <f>VLOOKUP(AY22,المرجع!$C$3:$E$12,3)</f>
        <v>ب+</v>
      </c>
      <c r="BA22" s="40">
        <f t="shared" si="9"/>
        <v>9</v>
      </c>
      <c r="BB22" s="56">
        <f t="shared" si="10"/>
        <v>99</v>
      </c>
      <c r="BC22" s="58">
        <f t="shared" si="11"/>
        <v>23</v>
      </c>
      <c r="BD22" s="60">
        <f t="shared" si="13"/>
        <v>4.3043478260869561</v>
      </c>
      <c r="BE22" s="91">
        <f>(BB22+'المستوى الثالث ح'!BB22+'المستوى الثاني 2023'!BB22+'المستوى الأول 2022'!BL22)/92</f>
        <v>3.8722826086956523</v>
      </c>
      <c r="BF22" s="59" t="str">
        <f>VLOOKUP(BD22,المرجع!$D$3:$F$12,3)</f>
        <v>جيد جد مرتفع</v>
      </c>
      <c r="BG22" s="57">
        <f t="shared" si="12"/>
        <v>20</v>
      </c>
    </row>
    <row r="23" spans="2:59" ht="24" customHeight="1">
      <c r="B23" s="31">
        <v>2023015</v>
      </c>
      <c r="C23" s="61" t="s">
        <v>15</v>
      </c>
      <c r="D23" s="53">
        <v>1</v>
      </c>
      <c r="E23" s="15">
        <v>97</v>
      </c>
      <c r="F23" s="65">
        <f>VLOOKUP(E23,المرجع!$B$3:$C$12,2)</f>
        <v>5</v>
      </c>
      <c r="G23" s="44" t="str">
        <f>VLOOKUP(F23,المرجع!$D$3:$E$12,2)</f>
        <v xml:space="preserve">أ+ </v>
      </c>
      <c r="H23" s="40">
        <f t="shared" si="0"/>
        <v>5</v>
      </c>
      <c r="I23" s="53">
        <v>3</v>
      </c>
      <c r="J23" s="15">
        <v>97</v>
      </c>
      <c r="K23" s="65">
        <f>VLOOKUP(J23,المرجع!$B$3:$C$12,2)</f>
        <v>5</v>
      </c>
      <c r="L23" s="44" t="str">
        <f>VLOOKUP(K23,المرجع!$C$3:$E$12,3)</f>
        <v xml:space="preserve">أ+ </v>
      </c>
      <c r="M23" s="40">
        <f t="shared" si="1"/>
        <v>15</v>
      </c>
      <c r="N23" s="53">
        <v>3</v>
      </c>
      <c r="O23" s="15">
        <v>72</v>
      </c>
      <c r="P23" s="65">
        <f>VLOOKUP(O23,المرجع!$B$3:$C$12,2)</f>
        <v>3</v>
      </c>
      <c r="Q23" s="44" t="str">
        <f>VLOOKUP(P23,المرجع!$C$3:$E$12,3)</f>
        <v>ج</v>
      </c>
      <c r="R23" s="40">
        <f t="shared" si="2"/>
        <v>9</v>
      </c>
      <c r="S23" s="53">
        <v>3</v>
      </c>
      <c r="T23" s="15">
        <v>97</v>
      </c>
      <c r="U23" s="65">
        <f>VLOOKUP(T23,المرجع!$B$3:$C$12,2)</f>
        <v>5</v>
      </c>
      <c r="V23" s="44" t="str">
        <f>VLOOKUP(U23,المرجع!$C$3:$E$12,3)</f>
        <v xml:space="preserve">أ+ </v>
      </c>
      <c r="W23" s="40">
        <f t="shared" si="3"/>
        <v>15</v>
      </c>
      <c r="X23" s="53">
        <v>3</v>
      </c>
      <c r="Y23" s="15">
        <v>99</v>
      </c>
      <c r="Z23" s="65">
        <f>VLOOKUP(Y23,المرجع!$B$3:$C$12,2)</f>
        <v>5</v>
      </c>
      <c r="AA23" s="44" t="str">
        <f>VLOOKUP(Z23,المرجع!$C$3:$E$12,3)</f>
        <v xml:space="preserve">أ+ </v>
      </c>
      <c r="AB23" s="40">
        <f t="shared" si="4"/>
        <v>15</v>
      </c>
      <c r="AC23" s="53">
        <v>2</v>
      </c>
      <c r="AD23" s="15">
        <v>93</v>
      </c>
      <c r="AE23" s="65">
        <f>VLOOKUP(AD23,المرجع!$B$3:$C$12,2)</f>
        <v>4.75</v>
      </c>
      <c r="AF23" s="44" t="str">
        <f>VLOOKUP(AE23,المرجع!$C$3:$E$12,3)</f>
        <v>أ</v>
      </c>
      <c r="AG23" s="40">
        <f t="shared" si="5"/>
        <v>9.5</v>
      </c>
      <c r="AH23" s="53">
        <v>2</v>
      </c>
      <c r="AI23" s="15">
        <v>96</v>
      </c>
      <c r="AJ23" s="65">
        <f>VLOOKUP(AI23,المرجع!$B$3:$C$12,2)</f>
        <v>5</v>
      </c>
      <c r="AK23" s="44" t="str">
        <f>VLOOKUP(AJ23,المرجع!$C$3:$E$12,3)</f>
        <v xml:space="preserve">أ+ </v>
      </c>
      <c r="AL23" s="40">
        <f t="shared" si="6"/>
        <v>10</v>
      </c>
      <c r="AM23" s="53">
        <v>2</v>
      </c>
      <c r="AN23" s="15">
        <v>92</v>
      </c>
      <c r="AO23" s="65">
        <f>VLOOKUP(AN23,المرجع!$B$3:$C$12,2)</f>
        <v>4.75</v>
      </c>
      <c r="AP23" s="44" t="str">
        <f>VLOOKUP(AO23,المرجع!$C$3:$E$12,3)</f>
        <v>أ</v>
      </c>
      <c r="AQ23" s="40">
        <f t="shared" si="7"/>
        <v>9.5</v>
      </c>
      <c r="AR23" s="53">
        <v>2</v>
      </c>
      <c r="AS23" s="15">
        <v>79</v>
      </c>
      <c r="AT23" s="65">
        <f>VLOOKUP(AS23,المرجع!$B$3:$C$12,2)</f>
        <v>3.5</v>
      </c>
      <c r="AU23" s="44" t="str">
        <f>VLOOKUP(AT23,المرجع!$C$3:$E$12,3)</f>
        <v>ج+</v>
      </c>
      <c r="AV23" s="40">
        <f t="shared" si="8"/>
        <v>7</v>
      </c>
      <c r="AW23" s="53">
        <v>2</v>
      </c>
      <c r="AX23" s="15">
        <v>60</v>
      </c>
      <c r="AY23" s="65">
        <f>VLOOKUP(AX23,المرجع!$B$3:$C$12,2)</f>
        <v>2</v>
      </c>
      <c r="AZ23" s="44" t="str">
        <f>VLOOKUP(AY23,المرجع!$C$3:$E$12,3)</f>
        <v>د</v>
      </c>
      <c r="BA23" s="40">
        <f t="shared" si="9"/>
        <v>4</v>
      </c>
      <c r="BB23" s="56">
        <f t="shared" si="10"/>
        <v>99</v>
      </c>
      <c r="BC23" s="58">
        <f t="shared" si="11"/>
        <v>23</v>
      </c>
      <c r="BD23" s="60">
        <f t="shared" si="13"/>
        <v>4.3043478260869561</v>
      </c>
      <c r="BE23" s="91">
        <f>(BB23+'المستوى الثالث ح'!BB23+'المستوى الثاني 2023'!BB23+'المستوى الأول 2022'!BL23)/92</f>
        <v>3.8614130434782608</v>
      </c>
      <c r="BF23" s="59" t="str">
        <f>VLOOKUP(BD23,المرجع!$D$3:$F$12,3)</f>
        <v>جيد جد مرتفع</v>
      </c>
      <c r="BG23" s="57">
        <f t="shared" si="12"/>
        <v>20</v>
      </c>
    </row>
    <row r="24" spans="2:59" ht="24" customHeight="1">
      <c r="B24" s="31">
        <v>2023055</v>
      </c>
      <c r="C24" s="61" t="s">
        <v>91</v>
      </c>
      <c r="D24" s="53">
        <v>1</v>
      </c>
      <c r="E24" s="15">
        <v>92</v>
      </c>
      <c r="F24" s="65">
        <f>VLOOKUP(E24,المرجع!$B$3:$C$12,2)</f>
        <v>4.75</v>
      </c>
      <c r="G24" s="44" t="str">
        <f>VLOOKUP(F24,المرجع!$D$3:$E$12,2)</f>
        <v>أ</v>
      </c>
      <c r="H24" s="40">
        <f t="shared" si="0"/>
        <v>4.75</v>
      </c>
      <c r="I24" s="53">
        <v>3</v>
      </c>
      <c r="J24" s="15">
        <v>97</v>
      </c>
      <c r="K24" s="65">
        <f>VLOOKUP(J24,المرجع!$B$3:$C$12,2)</f>
        <v>5</v>
      </c>
      <c r="L24" s="44" t="str">
        <f>VLOOKUP(K24,المرجع!$C$3:$E$12,3)</f>
        <v xml:space="preserve">أ+ </v>
      </c>
      <c r="M24" s="40">
        <f t="shared" si="1"/>
        <v>15</v>
      </c>
      <c r="N24" s="53">
        <v>3</v>
      </c>
      <c r="O24" s="15">
        <v>51</v>
      </c>
      <c r="P24" s="65">
        <f>VLOOKUP(O24,المرجع!$B$3:$C$12,2)</f>
        <v>2</v>
      </c>
      <c r="Q24" s="44" t="str">
        <f>VLOOKUP(P24,المرجع!$C$3:$E$12,3)</f>
        <v>د</v>
      </c>
      <c r="R24" s="40">
        <f t="shared" si="2"/>
        <v>6</v>
      </c>
      <c r="S24" s="53">
        <v>3</v>
      </c>
      <c r="T24" s="15">
        <v>95</v>
      </c>
      <c r="U24" s="65">
        <f>VLOOKUP(T24,المرجع!$B$3:$C$12,2)</f>
        <v>5</v>
      </c>
      <c r="V24" s="44" t="str">
        <f>VLOOKUP(U24,المرجع!$C$3:$E$12,3)</f>
        <v xml:space="preserve">أ+ </v>
      </c>
      <c r="W24" s="40">
        <f t="shared" si="3"/>
        <v>15</v>
      </c>
      <c r="X24" s="53">
        <v>3</v>
      </c>
      <c r="Y24" s="15">
        <v>100</v>
      </c>
      <c r="Z24" s="65">
        <f>VLOOKUP(Y24,المرجع!$B$3:$C$12,2)</f>
        <v>5</v>
      </c>
      <c r="AA24" s="44" t="str">
        <f>VLOOKUP(Z24,المرجع!$C$3:$E$12,3)</f>
        <v xml:space="preserve">أ+ </v>
      </c>
      <c r="AB24" s="40">
        <f t="shared" si="4"/>
        <v>15</v>
      </c>
      <c r="AC24" s="53">
        <v>2</v>
      </c>
      <c r="AD24" s="15">
        <v>65</v>
      </c>
      <c r="AE24" s="65">
        <f>VLOOKUP(AD24,المرجع!$B$3:$C$12,2)</f>
        <v>2.5</v>
      </c>
      <c r="AF24" s="44" t="str">
        <f>VLOOKUP(AE24,المرجع!$C$3:$E$12,3)</f>
        <v>د+</v>
      </c>
      <c r="AG24" s="40">
        <f t="shared" si="5"/>
        <v>5</v>
      </c>
      <c r="AH24" s="53">
        <v>2</v>
      </c>
      <c r="AI24" s="15">
        <v>89</v>
      </c>
      <c r="AJ24" s="65">
        <f>VLOOKUP(AI24,المرجع!$B$3:$C$12,2)</f>
        <v>4.5</v>
      </c>
      <c r="AK24" s="44" t="str">
        <f>VLOOKUP(AJ24,المرجع!$C$3:$E$12,3)</f>
        <v>ب+</v>
      </c>
      <c r="AL24" s="40">
        <f t="shared" si="6"/>
        <v>9</v>
      </c>
      <c r="AM24" s="53">
        <v>2</v>
      </c>
      <c r="AN24" s="15">
        <v>89</v>
      </c>
      <c r="AO24" s="65">
        <f>VLOOKUP(AN24,المرجع!$B$3:$C$12,2)</f>
        <v>4.5</v>
      </c>
      <c r="AP24" s="44" t="str">
        <f>VLOOKUP(AO24,المرجع!$C$3:$E$12,3)</f>
        <v>ب+</v>
      </c>
      <c r="AQ24" s="40">
        <f t="shared" si="7"/>
        <v>9</v>
      </c>
      <c r="AR24" s="53">
        <v>2</v>
      </c>
      <c r="AS24" s="15">
        <v>100</v>
      </c>
      <c r="AT24" s="65">
        <f>VLOOKUP(AS24,المرجع!$B$3:$C$12,2)</f>
        <v>5</v>
      </c>
      <c r="AU24" s="44" t="str">
        <f>VLOOKUP(AT24,المرجع!$C$3:$E$12,3)</f>
        <v xml:space="preserve">أ+ </v>
      </c>
      <c r="AV24" s="40">
        <f t="shared" si="8"/>
        <v>10</v>
      </c>
      <c r="AW24" s="53">
        <v>2</v>
      </c>
      <c r="AX24" s="15">
        <v>93</v>
      </c>
      <c r="AY24" s="65">
        <f>VLOOKUP(AX24,المرجع!$B$3:$C$12,2)</f>
        <v>4.75</v>
      </c>
      <c r="AZ24" s="44" t="str">
        <f>VLOOKUP(AY24,المرجع!$C$3:$E$12,3)</f>
        <v>أ</v>
      </c>
      <c r="BA24" s="40">
        <f t="shared" si="9"/>
        <v>9.5</v>
      </c>
      <c r="BB24" s="56">
        <f t="shared" si="10"/>
        <v>98.25</v>
      </c>
      <c r="BC24" s="58">
        <f t="shared" si="11"/>
        <v>23</v>
      </c>
      <c r="BD24" s="60">
        <f t="shared" si="13"/>
        <v>4.2717391304347823</v>
      </c>
      <c r="BE24" s="91">
        <f>(BB24+'المستوى الثالث ح'!BB24+'المستوى الثاني 2023'!BB24+'المستوى الأول 2022'!BL24)/92</f>
        <v>3.8070652173913042</v>
      </c>
      <c r="BF24" s="59" t="str">
        <f>VLOOKUP(BD24,المرجع!$D$3:$F$12,3)</f>
        <v>جيد جد مرتفع</v>
      </c>
      <c r="BG24" s="57">
        <f t="shared" si="12"/>
        <v>22</v>
      </c>
    </row>
    <row r="25" spans="2:59" ht="24" customHeight="1">
      <c r="B25" s="31">
        <v>2023124</v>
      </c>
      <c r="C25" s="61" t="s">
        <v>9</v>
      </c>
      <c r="D25" s="53">
        <v>1</v>
      </c>
      <c r="E25" s="15">
        <v>60</v>
      </c>
      <c r="F25" s="65">
        <f>VLOOKUP(E25,المرجع!$B$3:$C$12,2)</f>
        <v>2</v>
      </c>
      <c r="G25" s="44" t="str">
        <f>VLOOKUP(F25,المرجع!$D$3:$E$12,2)</f>
        <v>د</v>
      </c>
      <c r="H25" s="40">
        <f t="shared" si="0"/>
        <v>2</v>
      </c>
      <c r="I25" s="53">
        <v>3</v>
      </c>
      <c r="J25" s="15">
        <v>100</v>
      </c>
      <c r="K25" s="65">
        <f>VLOOKUP(J25,المرجع!$B$3:$C$12,2)</f>
        <v>5</v>
      </c>
      <c r="L25" s="44" t="str">
        <f>VLOOKUP(K25,المرجع!$C$3:$E$12,3)</f>
        <v xml:space="preserve">أ+ </v>
      </c>
      <c r="M25" s="40">
        <f t="shared" si="1"/>
        <v>15</v>
      </c>
      <c r="N25" s="53">
        <v>3</v>
      </c>
      <c r="O25" s="15">
        <v>50</v>
      </c>
      <c r="P25" s="65">
        <f>VLOOKUP(O25,المرجع!$B$3:$C$12,2)</f>
        <v>2</v>
      </c>
      <c r="Q25" s="44" t="str">
        <f>VLOOKUP(P25,المرجع!$C$3:$E$12,3)</f>
        <v>د</v>
      </c>
      <c r="R25" s="40">
        <f t="shared" si="2"/>
        <v>6</v>
      </c>
      <c r="S25" s="53">
        <v>3</v>
      </c>
      <c r="T25" s="15">
        <v>89</v>
      </c>
      <c r="U25" s="65">
        <f>VLOOKUP(T25,المرجع!$B$3:$C$12,2)</f>
        <v>4.5</v>
      </c>
      <c r="V25" s="44" t="str">
        <f>VLOOKUP(U25,المرجع!$C$3:$E$12,3)</f>
        <v>ب+</v>
      </c>
      <c r="W25" s="40">
        <f t="shared" si="3"/>
        <v>13.5</v>
      </c>
      <c r="X25" s="53">
        <v>3</v>
      </c>
      <c r="Y25" s="15">
        <v>100</v>
      </c>
      <c r="Z25" s="65">
        <f>VLOOKUP(Y25,المرجع!$B$3:$C$12,2)</f>
        <v>5</v>
      </c>
      <c r="AA25" s="44" t="str">
        <f>VLOOKUP(Z25,المرجع!$C$3:$E$12,3)</f>
        <v xml:space="preserve">أ+ </v>
      </c>
      <c r="AB25" s="40">
        <f t="shared" si="4"/>
        <v>15</v>
      </c>
      <c r="AC25" s="53">
        <v>2</v>
      </c>
      <c r="AD25" s="15">
        <v>96</v>
      </c>
      <c r="AE25" s="65">
        <f>VLOOKUP(AD25,المرجع!$B$3:$C$12,2)</f>
        <v>5</v>
      </c>
      <c r="AF25" s="44" t="str">
        <f>VLOOKUP(AE25,المرجع!$C$3:$E$12,3)</f>
        <v xml:space="preserve">أ+ </v>
      </c>
      <c r="AG25" s="40">
        <f t="shared" si="5"/>
        <v>10</v>
      </c>
      <c r="AH25" s="53">
        <v>2</v>
      </c>
      <c r="AI25" s="15">
        <v>93</v>
      </c>
      <c r="AJ25" s="65">
        <f>VLOOKUP(AI25,المرجع!$B$3:$C$12,2)</f>
        <v>4.75</v>
      </c>
      <c r="AK25" s="44" t="str">
        <f>VLOOKUP(AJ25,المرجع!$C$3:$E$12,3)</f>
        <v>أ</v>
      </c>
      <c r="AL25" s="40">
        <f t="shared" si="6"/>
        <v>9.5</v>
      </c>
      <c r="AM25" s="53">
        <v>2</v>
      </c>
      <c r="AN25" s="15">
        <v>93</v>
      </c>
      <c r="AO25" s="65">
        <f>VLOOKUP(AN25,المرجع!$B$3:$C$12,2)</f>
        <v>4.75</v>
      </c>
      <c r="AP25" s="44" t="str">
        <f>VLOOKUP(AO25,المرجع!$C$3:$E$12,3)</f>
        <v>أ</v>
      </c>
      <c r="AQ25" s="40">
        <f t="shared" si="7"/>
        <v>9.5</v>
      </c>
      <c r="AR25" s="53">
        <v>2</v>
      </c>
      <c r="AS25" s="15">
        <v>81</v>
      </c>
      <c r="AT25" s="65">
        <f>VLOOKUP(AS25,المرجع!$B$3:$C$12,2)</f>
        <v>4</v>
      </c>
      <c r="AU25" s="44" t="str">
        <f>VLOOKUP(AT25,المرجع!$C$3:$E$12,3)</f>
        <v>ب</v>
      </c>
      <c r="AV25" s="40">
        <f t="shared" si="8"/>
        <v>8</v>
      </c>
      <c r="AW25" s="53">
        <v>2</v>
      </c>
      <c r="AX25" s="15">
        <v>92</v>
      </c>
      <c r="AY25" s="65">
        <f>VLOOKUP(AX25,المرجع!$B$3:$C$12,2)</f>
        <v>4.75</v>
      </c>
      <c r="AZ25" s="44" t="str">
        <f>VLOOKUP(AY25,المرجع!$C$3:$E$12,3)</f>
        <v>أ</v>
      </c>
      <c r="BA25" s="40">
        <f t="shared" si="9"/>
        <v>9.5</v>
      </c>
      <c r="BB25" s="56">
        <f t="shared" si="10"/>
        <v>98</v>
      </c>
      <c r="BC25" s="58">
        <f t="shared" si="11"/>
        <v>23</v>
      </c>
      <c r="BD25" s="60">
        <f t="shared" si="13"/>
        <v>4.2608695652173916</v>
      </c>
      <c r="BE25" s="91">
        <f>(BB25+'المستوى الثالث ح'!BB25+'المستوى الثاني 2023'!BB25+'المستوى الأول 2022'!BL25)/92</f>
        <v>3.7826086956521738</v>
      </c>
      <c r="BF25" s="59" t="str">
        <f>VLOOKUP(BD25,المرجع!$D$3:$F$12,3)</f>
        <v>جيد جد مرتفع</v>
      </c>
      <c r="BG25" s="57">
        <f t="shared" si="12"/>
        <v>23</v>
      </c>
    </row>
    <row r="26" spans="2:59" ht="24" customHeight="1">
      <c r="B26" s="31">
        <v>202357</v>
      </c>
      <c r="C26" s="61" t="s">
        <v>8</v>
      </c>
      <c r="D26" s="53">
        <v>1</v>
      </c>
      <c r="E26" s="15">
        <v>93</v>
      </c>
      <c r="F26" s="65">
        <f>VLOOKUP(E26,المرجع!$B$3:$C$12,2)</f>
        <v>4.75</v>
      </c>
      <c r="G26" s="44" t="str">
        <f>VLOOKUP(F26,المرجع!$D$3:$E$12,2)</f>
        <v>أ</v>
      </c>
      <c r="H26" s="40">
        <f t="shared" si="0"/>
        <v>4.75</v>
      </c>
      <c r="I26" s="53">
        <v>3</v>
      </c>
      <c r="J26" s="15">
        <v>97</v>
      </c>
      <c r="K26" s="65">
        <f>VLOOKUP(J26,المرجع!$B$3:$C$12,2)</f>
        <v>5</v>
      </c>
      <c r="L26" s="44" t="str">
        <f>VLOOKUP(K26,المرجع!$C$3:$E$12,3)</f>
        <v xml:space="preserve">أ+ </v>
      </c>
      <c r="M26" s="40">
        <f t="shared" si="1"/>
        <v>15</v>
      </c>
      <c r="N26" s="53">
        <v>3</v>
      </c>
      <c r="O26" s="15">
        <v>70</v>
      </c>
      <c r="P26" s="65">
        <f>VLOOKUP(O26,المرجع!$B$3:$C$12,2)</f>
        <v>3</v>
      </c>
      <c r="Q26" s="44" t="str">
        <f>VLOOKUP(P26,المرجع!$C$3:$E$12,3)</f>
        <v>ج</v>
      </c>
      <c r="R26" s="40">
        <f t="shared" si="2"/>
        <v>9</v>
      </c>
      <c r="S26" s="53">
        <v>3</v>
      </c>
      <c r="T26" s="15">
        <v>91</v>
      </c>
      <c r="U26" s="65">
        <f>VLOOKUP(T26,المرجع!$B$3:$C$12,2)</f>
        <v>4.75</v>
      </c>
      <c r="V26" s="44" t="str">
        <f>VLOOKUP(U26,المرجع!$C$3:$E$12,3)</f>
        <v>أ</v>
      </c>
      <c r="W26" s="40">
        <f t="shared" si="3"/>
        <v>14.25</v>
      </c>
      <c r="X26" s="53">
        <v>3</v>
      </c>
      <c r="Y26" s="15">
        <v>100</v>
      </c>
      <c r="Z26" s="65">
        <f>VLOOKUP(Y26,المرجع!$B$3:$C$12,2)</f>
        <v>5</v>
      </c>
      <c r="AA26" s="44" t="str">
        <f>VLOOKUP(Z26,المرجع!$C$3:$E$12,3)</f>
        <v xml:space="preserve">أ+ </v>
      </c>
      <c r="AB26" s="40">
        <f t="shared" si="4"/>
        <v>15</v>
      </c>
      <c r="AC26" s="53">
        <v>2</v>
      </c>
      <c r="AD26" s="15">
        <v>85</v>
      </c>
      <c r="AE26" s="65">
        <f>VLOOKUP(AD26,المرجع!$B$3:$C$12,2)</f>
        <v>4.5</v>
      </c>
      <c r="AF26" s="44" t="str">
        <f>VLOOKUP(AE26,المرجع!$C$3:$E$12,3)</f>
        <v>ب+</v>
      </c>
      <c r="AG26" s="40">
        <f t="shared" si="5"/>
        <v>9</v>
      </c>
      <c r="AH26" s="53">
        <v>2</v>
      </c>
      <c r="AI26" s="15">
        <v>88</v>
      </c>
      <c r="AJ26" s="65">
        <f>VLOOKUP(AI26,المرجع!$B$3:$C$12,2)</f>
        <v>4.5</v>
      </c>
      <c r="AK26" s="44" t="str">
        <f>VLOOKUP(AJ26,المرجع!$C$3:$E$12,3)</f>
        <v>ب+</v>
      </c>
      <c r="AL26" s="40">
        <f t="shared" si="6"/>
        <v>9</v>
      </c>
      <c r="AM26" s="53">
        <v>2</v>
      </c>
      <c r="AN26" s="15">
        <v>98</v>
      </c>
      <c r="AO26" s="65">
        <f>VLOOKUP(AN26,المرجع!$B$3:$C$12,2)</f>
        <v>5</v>
      </c>
      <c r="AP26" s="44" t="str">
        <f>VLOOKUP(AO26,المرجع!$C$3:$E$12,3)</f>
        <v xml:space="preserve">أ+ </v>
      </c>
      <c r="AQ26" s="40">
        <f t="shared" si="7"/>
        <v>10</v>
      </c>
      <c r="AR26" s="53">
        <v>2</v>
      </c>
      <c r="AS26" s="15">
        <v>77</v>
      </c>
      <c r="AT26" s="65">
        <f>VLOOKUP(AS26,المرجع!$B$3:$C$12,2)</f>
        <v>3.5</v>
      </c>
      <c r="AU26" s="44" t="str">
        <f>VLOOKUP(AT26,المرجع!$C$3:$E$12,3)</f>
        <v>ج+</v>
      </c>
      <c r="AV26" s="40">
        <f t="shared" si="8"/>
        <v>7</v>
      </c>
      <c r="AW26" s="53">
        <v>2</v>
      </c>
      <c r="AX26" s="15">
        <v>68</v>
      </c>
      <c r="AY26" s="65">
        <f>VLOOKUP(AX26,المرجع!$B$3:$C$12,2)</f>
        <v>2.5</v>
      </c>
      <c r="AZ26" s="44" t="str">
        <f>VLOOKUP(AY26,المرجع!$C$3:$E$12,3)</f>
        <v>د+</v>
      </c>
      <c r="BA26" s="40">
        <f t="shared" si="9"/>
        <v>5</v>
      </c>
      <c r="BB26" s="56">
        <f t="shared" si="10"/>
        <v>98</v>
      </c>
      <c r="BC26" s="58">
        <f t="shared" si="11"/>
        <v>23</v>
      </c>
      <c r="BD26" s="60">
        <f t="shared" si="13"/>
        <v>4.2608695652173916</v>
      </c>
      <c r="BE26" s="91">
        <f>(BB26+'المستوى الثالث ح'!BB26+'المستوى الثاني 2023'!BB26+'المستوى الأول 2022'!BL26)/92</f>
        <v>3.7826086956521738</v>
      </c>
      <c r="BF26" s="59" t="str">
        <f>VLOOKUP(BD26,المرجع!$D$3:$F$12,3)</f>
        <v>جيد جد مرتفع</v>
      </c>
      <c r="BG26" s="57">
        <f t="shared" si="12"/>
        <v>23</v>
      </c>
    </row>
    <row r="27" spans="2:59" ht="24" customHeight="1">
      <c r="B27" s="31">
        <v>2023040</v>
      </c>
      <c r="C27" s="61" t="s">
        <v>14</v>
      </c>
      <c r="D27" s="53">
        <v>1</v>
      </c>
      <c r="E27" s="15">
        <v>89</v>
      </c>
      <c r="F27" s="65">
        <f>VLOOKUP(E27,المرجع!$B$3:$C$12,2)</f>
        <v>4.5</v>
      </c>
      <c r="G27" s="44" t="str">
        <f>VLOOKUP(F27,المرجع!$D$3:$E$12,2)</f>
        <v>ب+</v>
      </c>
      <c r="H27" s="40">
        <f t="shared" si="0"/>
        <v>4.5</v>
      </c>
      <c r="I27" s="53">
        <v>3</v>
      </c>
      <c r="J27" s="15">
        <v>98</v>
      </c>
      <c r="K27" s="65">
        <f>VLOOKUP(J27,المرجع!$B$3:$C$12,2)</f>
        <v>5</v>
      </c>
      <c r="L27" s="44" t="str">
        <f>VLOOKUP(K27,المرجع!$C$3:$E$12,3)</f>
        <v xml:space="preserve">أ+ </v>
      </c>
      <c r="M27" s="40">
        <f t="shared" si="1"/>
        <v>15</v>
      </c>
      <c r="N27" s="53">
        <v>3</v>
      </c>
      <c r="O27" s="15">
        <v>71</v>
      </c>
      <c r="P27" s="65">
        <f>VLOOKUP(O27,المرجع!$B$3:$C$12,2)</f>
        <v>3</v>
      </c>
      <c r="Q27" s="44" t="str">
        <f>VLOOKUP(P27,المرجع!$C$3:$E$12,3)</f>
        <v>ج</v>
      </c>
      <c r="R27" s="40">
        <f t="shared" si="2"/>
        <v>9</v>
      </c>
      <c r="S27" s="53">
        <v>3</v>
      </c>
      <c r="T27" s="15">
        <v>94</v>
      </c>
      <c r="U27" s="65">
        <f>VLOOKUP(T27,المرجع!$B$3:$C$12,2)</f>
        <v>4.75</v>
      </c>
      <c r="V27" s="44" t="str">
        <f>VLOOKUP(U27,المرجع!$C$3:$E$12,3)</f>
        <v>أ</v>
      </c>
      <c r="W27" s="40">
        <f t="shared" si="3"/>
        <v>14.25</v>
      </c>
      <c r="X27" s="53">
        <v>3</v>
      </c>
      <c r="Y27" s="15">
        <v>97</v>
      </c>
      <c r="Z27" s="65">
        <f>VLOOKUP(Y27,المرجع!$B$3:$C$12,2)</f>
        <v>5</v>
      </c>
      <c r="AA27" s="44" t="str">
        <f>VLOOKUP(Z27,المرجع!$C$3:$E$12,3)</f>
        <v xml:space="preserve">أ+ </v>
      </c>
      <c r="AB27" s="40">
        <f t="shared" si="4"/>
        <v>15</v>
      </c>
      <c r="AC27" s="53">
        <v>2</v>
      </c>
      <c r="AD27" s="15">
        <v>89</v>
      </c>
      <c r="AE27" s="65">
        <f>VLOOKUP(AD27,المرجع!$B$3:$C$12,2)</f>
        <v>4.5</v>
      </c>
      <c r="AF27" s="44" t="str">
        <f>VLOOKUP(AE27,المرجع!$C$3:$E$12,3)</f>
        <v>ب+</v>
      </c>
      <c r="AG27" s="40">
        <f t="shared" si="5"/>
        <v>9</v>
      </c>
      <c r="AH27" s="53">
        <v>2</v>
      </c>
      <c r="AI27" s="15">
        <v>94</v>
      </c>
      <c r="AJ27" s="65">
        <f>VLOOKUP(AI27,المرجع!$B$3:$C$12,2)</f>
        <v>4.75</v>
      </c>
      <c r="AK27" s="44" t="str">
        <f>VLOOKUP(AJ27,المرجع!$C$3:$E$12,3)</f>
        <v>أ</v>
      </c>
      <c r="AL27" s="40">
        <f t="shared" si="6"/>
        <v>9.5</v>
      </c>
      <c r="AM27" s="53">
        <v>2</v>
      </c>
      <c r="AN27" s="15">
        <v>79</v>
      </c>
      <c r="AO27" s="65">
        <f>VLOOKUP(AN27,المرجع!$B$3:$C$12,2)</f>
        <v>3.5</v>
      </c>
      <c r="AP27" s="44" t="str">
        <f>VLOOKUP(AO27,المرجع!$C$3:$E$12,3)</f>
        <v>ج+</v>
      </c>
      <c r="AQ27" s="40">
        <f t="shared" si="7"/>
        <v>7</v>
      </c>
      <c r="AR27" s="53">
        <v>2</v>
      </c>
      <c r="AS27" s="15">
        <v>90</v>
      </c>
      <c r="AT27" s="65">
        <f>VLOOKUP(AS27,المرجع!$B$3:$C$12,2)</f>
        <v>4.75</v>
      </c>
      <c r="AU27" s="44" t="str">
        <f>VLOOKUP(AT27,المرجع!$C$3:$E$12,3)</f>
        <v>أ</v>
      </c>
      <c r="AV27" s="40">
        <f t="shared" si="8"/>
        <v>9.5</v>
      </c>
      <c r="AW27" s="53">
        <v>2</v>
      </c>
      <c r="AX27" s="15">
        <v>69</v>
      </c>
      <c r="AY27" s="65">
        <f>VLOOKUP(AX27,المرجع!$B$3:$C$12,2)</f>
        <v>2.5</v>
      </c>
      <c r="AZ27" s="44" t="str">
        <f>VLOOKUP(AY27,المرجع!$C$3:$E$12,3)</f>
        <v>د+</v>
      </c>
      <c r="BA27" s="40">
        <f t="shared" si="9"/>
        <v>5</v>
      </c>
      <c r="BB27" s="56">
        <f t="shared" si="10"/>
        <v>97.75</v>
      </c>
      <c r="BC27" s="58">
        <f t="shared" si="11"/>
        <v>23</v>
      </c>
      <c r="BD27" s="60">
        <f t="shared" si="13"/>
        <v>4.25</v>
      </c>
      <c r="BE27" s="91">
        <f>(BB27+'المستوى الثالث ح'!BB27+'المستوى الثاني 2023'!BB27+'المستوى الأول 2022'!BL27)/92</f>
        <v>3.7798913043478262</v>
      </c>
      <c r="BF27" s="59" t="str">
        <f>VLOOKUP(BD27,المرجع!$D$3:$F$12,3)</f>
        <v>جيد جد مرتفع</v>
      </c>
      <c r="BG27" s="57">
        <f t="shared" si="12"/>
        <v>25</v>
      </c>
    </row>
    <row r="28" spans="2:59" ht="24" customHeight="1">
      <c r="B28" s="31">
        <v>2023065</v>
      </c>
      <c r="C28" s="61" t="s">
        <v>57</v>
      </c>
      <c r="D28" s="53">
        <v>1</v>
      </c>
      <c r="E28" s="15">
        <v>94</v>
      </c>
      <c r="F28" s="65">
        <f>VLOOKUP(E28,المرجع!$B$3:$C$12,2)</f>
        <v>4.75</v>
      </c>
      <c r="G28" s="44" t="str">
        <f>VLOOKUP(F28,المرجع!$D$3:$E$12,2)</f>
        <v>أ</v>
      </c>
      <c r="H28" s="40">
        <f t="shared" si="0"/>
        <v>4.75</v>
      </c>
      <c r="I28" s="53">
        <v>3</v>
      </c>
      <c r="J28" s="15">
        <v>90</v>
      </c>
      <c r="K28" s="65">
        <f>VLOOKUP(J28,المرجع!$B$3:$C$12,2)</f>
        <v>4.75</v>
      </c>
      <c r="L28" s="44" t="str">
        <f>VLOOKUP(K28,المرجع!$C$3:$E$12,3)</f>
        <v>أ</v>
      </c>
      <c r="M28" s="40">
        <f t="shared" si="1"/>
        <v>14.25</v>
      </c>
      <c r="N28" s="53">
        <v>3</v>
      </c>
      <c r="O28" s="15">
        <v>62</v>
      </c>
      <c r="P28" s="65">
        <f>VLOOKUP(O28,المرجع!$B$3:$C$12,2)</f>
        <v>2</v>
      </c>
      <c r="Q28" s="44" t="str">
        <f>VLOOKUP(P28,المرجع!$C$3:$E$12,3)</f>
        <v>د</v>
      </c>
      <c r="R28" s="40">
        <f t="shared" si="2"/>
        <v>6</v>
      </c>
      <c r="S28" s="53">
        <v>3</v>
      </c>
      <c r="T28" s="15">
        <v>89</v>
      </c>
      <c r="U28" s="65">
        <f>VLOOKUP(T28,المرجع!$B$3:$C$12,2)</f>
        <v>4.5</v>
      </c>
      <c r="V28" s="44" t="str">
        <f>VLOOKUP(U28,المرجع!$C$3:$E$12,3)</f>
        <v>ب+</v>
      </c>
      <c r="W28" s="40">
        <f t="shared" si="3"/>
        <v>13.5</v>
      </c>
      <c r="X28" s="53">
        <v>3</v>
      </c>
      <c r="Y28" s="15">
        <v>100</v>
      </c>
      <c r="Z28" s="65">
        <f>VLOOKUP(Y28,المرجع!$B$3:$C$12,2)</f>
        <v>5</v>
      </c>
      <c r="AA28" s="44" t="str">
        <f>VLOOKUP(Z28,المرجع!$C$3:$E$12,3)</f>
        <v xml:space="preserve">أ+ </v>
      </c>
      <c r="AB28" s="40">
        <f t="shared" si="4"/>
        <v>15</v>
      </c>
      <c r="AC28" s="53">
        <v>2</v>
      </c>
      <c r="AD28" s="15">
        <v>83</v>
      </c>
      <c r="AE28" s="65">
        <f>VLOOKUP(AD28,المرجع!$B$3:$C$12,2)</f>
        <v>4</v>
      </c>
      <c r="AF28" s="44" t="str">
        <f>VLOOKUP(AE28,المرجع!$C$3:$E$12,3)</f>
        <v>ب</v>
      </c>
      <c r="AG28" s="40">
        <f t="shared" si="5"/>
        <v>8</v>
      </c>
      <c r="AH28" s="53">
        <v>2</v>
      </c>
      <c r="AI28" s="15">
        <v>91</v>
      </c>
      <c r="AJ28" s="65">
        <f>VLOOKUP(AI28,المرجع!$B$3:$C$12,2)</f>
        <v>4.75</v>
      </c>
      <c r="AK28" s="44" t="str">
        <f>VLOOKUP(AJ28,المرجع!$C$3:$E$12,3)</f>
        <v>أ</v>
      </c>
      <c r="AL28" s="40">
        <f t="shared" si="6"/>
        <v>9.5</v>
      </c>
      <c r="AM28" s="53">
        <v>2</v>
      </c>
      <c r="AN28" s="15">
        <v>84</v>
      </c>
      <c r="AO28" s="65">
        <f>VLOOKUP(AN28,المرجع!$B$3:$C$12,2)</f>
        <v>4</v>
      </c>
      <c r="AP28" s="44" t="str">
        <f>VLOOKUP(AO28,المرجع!$C$3:$E$12,3)</f>
        <v>ب</v>
      </c>
      <c r="AQ28" s="40">
        <f t="shared" si="7"/>
        <v>8</v>
      </c>
      <c r="AR28" s="53">
        <v>2</v>
      </c>
      <c r="AS28" s="15">
        <v>88</v>
      </c>
      <c r="AT28" s="65">
        <f>VLOOKUP(AS28,المرجع!$B$3:$C$12,2)</f>
        <v>4.5</v>
      </c>
      <c r="AU28" s="44" t="str">
        <f>VLOOKUP(AT28,المرجع!$C$3:$E$12,3)</f>
        <v>ب+</v>
      </c>
      <c r="AV28" s="40">
        <f t="shared" si="8"/>
        <v>9</v>
      </c>
      <c r="AW28" s="53">
        <v>2</v>
      </c>
      <c r="AX28" s="15">
        <v>91</v>
      </c>
      <c r="AY28" s="65">
        <f>VLOOKUP(AX28,المرجع!$B$3:$C$12,2)</f>
        <v>4.75</v>
      </c>
      <c r="AZ28" s="44" t="str">
        <f>VLOOKUP(AY28,المرجع!$C$3:$E$12,3)</f>
        <v>أ</v>
      </c>
      <c r="BA28" s="40">
        <f t="shared" si="9"/>
        <v>9.5</v>
      </c>
      <c r="BB28" s="56">
        <f t="shared" si="10"/>
        <v>97.5</v>
      </c>
      <c r="BC28" s="58">
        <f t="shared" si="11"/>
        <v>23</v>
      </c>
      <c r="BD28" s="60">
        <f t="shared" si="13"/>
        <v>4.2391304347826084</v>
      </c>
      <c r="BE28" s="91">
        <f>(BB28+'المستوى الثالث ح'!BB28+'المستوى الثاني 2023'!BB28+'المستوى الأول 2022'!BL28)/92</f>
        <v>3.7092391304347827</v>
      </c>
      <c r="BF28" s="59" t="str">
        <f>VLOOKUP(BD28,المرجع!$D$3:$F$12,3)</f>
        <v>جيد جد مرتفع</v>
      </c>
      <c r="BG28" s="57">
        <f t="shared" si="12"/>
        <v>26</v>
      </c>
    </row>
    <row r="29" spans="2:59" ht="24" customHeight="1">
      <c r="B29" s="31">
        <v>2023002</v>
      </c>
      <c r="C29" s="61" t="s">
        <v>0</v>
      </c>
      <c r="D29" s="53">
        <v>1</v>
      </c>
      <c r="E29" s="15">
        <v>99</v>
      </c>
      <c r="F29" s="65">
        <f>VLOOKUP(E29,المرجع!$B$3:$C$12,2)</f>
        <v>5</v>
      </c>
      <c r="G29" s="44" t="str">
        <f>VLOOKUP(F29,المرجع!$D$3:$E$12,2)</f>
        <v xml:space="preserve">أ+ </v>
      </c>
      <c r="H29" s="40">
        <f t="shared" si="0"/>
        <v>5</v>
      </c>
      <c r="I29" s="53">
        <v>3</v>
      </c>
      <c r="J29" s="15">
        <v>100</v>
      </c>
      <c r="K29" s="65">
        <f>VLOOKUP(J29,المرجع!$B$3:$C$12,2)</f>
        <v>5</v>
      </c>
      <c r="L29" s="44" t="str">
        <f>VLOOKUP(K29,المرجع!$C$3:$E$12,3)</f>
        <v xml:space="preserve">أ+ </v>
      </c>
      <c r="M29" s="40">
        <f t="shared" si="1"/>
        <v>15</v>
      </c>
      <c r="N29" s="53">
        <v>3</v>
      </c>
      <c r="O29" s="15">
        <v>88</v>
      </c>
      <c r="P29" s="65">
        <f>VLOOKUP(O29,المرجع!$B$3:$C$12,2)</f>
        <v>4.5</v>
      </c>
      <c r="Q29" s="44" t="str">
        <f>VLOOKUP(P29,المرجع!$C$3:$E$12,3)</f>
        <v>ب+</v>
      </c>
      <c r="R29" s="40">
        <f t="shared" si="2"/>
        <v>13.5</v>
      </c>
      <c r="S29" s="53">
        <v>3</v>
      </c>
      <c r="T29" s="15">
        <v>100</v>
      </c>
      <c r="U29" s="65">
        <f>VLOOKUP(T29,المرجع!$B$3:$C$12,2)</f>
        <v>5</v>
      </c>
      <c r="V29" s="44" t="str">
        <f>VLOOKUP(U29,المرجع!$C$3:$E$12,3)</f>
        <v xml:space="preserve">أ+ </v>
      </c>
      <c r="W29" s="40">
        <f t="shared" si="3"/>
        <v>15</v>
      </c>
      <c r="X29" s="53">
        <v>3</v>
      </c>
      <c r="Y29" s="15">
        <v>100</v>
      </c>
      <c r="Z29" s="65">
        <f>VLOOKUP(Y29,المرجع!$B$3:$C$12,2)</f>
        <v>5</v>
      </c>
      <c r="AA29" s="44" t="str">
        <f>VLOOKUP(Z29,المرجع!$C$3:$E$12,3)</f>
        <v xml:space="preserve">أ+ </v>
      </c>
      <c r="AB29" s="40">
        <f t="shared" si="4"/>
        <v>15</v>
      </c>
      <c r="AC29" s="53">
        <v>2</v>
      </c>
      <c r="AD29" s="15">
        <v>67</v>
      </c>
      <c r="AE29" s="65">
        <f>VLOOKUP(AD29,المرجع!$B$3:$C$12,2)</f>
        <v>2.5</v>
      </c>
      <c r="AF29" s="44" t="str">
        <f>VLOOKUP(AE29,المرجع!$C$3:$E$12,3)</f>
        <v>د+</v>
      </c>
      <c r="AG29" s="40">
        <f t="shared" si="5"/>
        <v>5</v>
      </c>
      <c r="AH29" s="53">
        <v>2</v>
      </c>
      <c r="AI29" s="15">
        <v>90</v>
      </c>
      <c r="AJ29" s="65">
        <f>VLOOKUP(AI29,المرجع!$B$3:$C$12,2)</f>
        <v>4.75</v>
      </c>
      <c r="AK29" s="44" t="str">
        <f>VLOOKUP(AJ29,المرجع!$C$3:$E$12,3)</f>
        <v>أ</v>
      </c>
      <c r="AL29" s="40">
        <f t="shared" si="6"/>
        <v>9.5</v>
      </c>
      <c r="AM29" s="53">
        <v>2</v>
      </c>
      <c r="AN29" s="15">
        <v>90</v>
      </c>
      <c r="AO29" s="65">
        <f>VLOOKUP(AN29,المرجع!$B$3:$C$12,2)</f>
        <v>4.75</v>
      </c>
      <c r="AP29" s="44" t="str">
        <f>VLOOKUP(AO29,المرجع!$C$3:$E$12,3)</f>
        <v>أ</v>
      </c>
      <c r="AQ29" s="40">
        <f t="shared" si="7"/>
        <v>9.5</v>
      </c>
      <c r="AR29" s="53">
        <v>2</v>
      </c>
      <c r="AS29" s="15">
        <v>68</v>
      </c>
      <c r="AT29" s="65">
        <f>VLOOKUP(AS29,المرجع!$B$3:$C$12,2)</f>
        <v>2.5</v>
      </c>
      <c r="AU29" s="44" t="str">
        <f>VLOOKUP(AT29,المرجع!$C$3:$E$12,3)</f>
        <v>د+</v>
      </c>
      <c r="AV29" s="40">
        <f t="shared" si="8"/>
        <v>5</v>
      </c>
      <c r="AW29" s="53">
        <v>2</v>
      </c>
      <c r="AX29" s="15">
        <v>65</v>
      </c>
      <c r="AY29" s="65">
        <f>VLOOKUP(AX29,المرجع!$B$3:$C$12,2)</f>
        <v>2.5</v>
      </c>
      <c r="AZ29" s="44" t="str">
        <f>VLOOKUP(AY29,المرجع!$C$3:$E$12,3)</f>
        <v>د+</v>
      </c>
      <c r="BA29" s="40">
        <f t="shared" si="9"/>
        <v>5</v>
      </c>
      <c r="BB29" s="56">
        <f t="shared" si="10"/>
        <v>97.5</v>
      </c>
      <c r="BC29" s="58">
        <f t="shared" si="11"/>
        <v>23</v>
      </c>
      <c r="BD29" s="60">
        <f t="shared" si="13"/>
        <v>4.2391304347826084</v>
      </c>
      <c r="BE29" s="91">
        <f>(BB29+'المستوى الثالث ح'!BB29+'المستوى الثاني 2023'!BB29+'المستوى الأول 2022'!BL29)/92</f>
        <v>3.7282608695652173</v>
      </c>
      <c r="BF29" s="59" t="str">
        <f>VLOOKUP(BD29,المرجع!$D$3:$F$12,3)</f>
        <v>جيد جد مرتفع</v>
      </c>
      <c r="BG29" s="57">
        <f t="shared" si="12"/>
        <v>26</v>
      </c>
    </row>
    <row r="30" spans="2:59" ht="24" customHeight="1">
      <c r="B30" s="31">
        <v>2023130</v>
      </c>
      <c r="C30" s="61" t="s">
        <v>60</v>
      </c>
      <c r="D30" s="53">
        <v>1</v>
      </c>
      <c r="E30" s="15">
        <v>90</v>
      </c>
      <c r="F30" s="65">
        <f>VLOOKUP(E30,المرجع!$B$3:$C$12,2)</f>
        <v>4.75</v>
      </c>
      <c r="G30" s="44" t="str">
        <f>VLOOKUP(F30,المرجع!$D$3:$E$12,2)</f>
        <v>أ</v>
      </c>
      <c r="H30" s="40">
        <f t="shared" si="0"/>
        <v>4.75</v>
      </c>
      <c r="I30" s="53">
        <v>3</v>
      </c>
      <c r="J30" s="15">
        <v>100</v>
      </c>
      <c r="K30" s="65">
        <f>VLOOKUP(J30,المرجع!$B$3:$C$12,2)</f>
        <v>5</v>
      </c>
      <c r="L30" s="44" t="str">
        <f>VLOOKUP(K30,المرجع!$C$3:$E$12,3)</f>
        <v xml:space="preserve">أ+ </v>
      </c>
      <c r="M30" s="40">
        <f t="shared" si="1"/>
        <v>15</v>
      </c>
      <c r="N30" s="53">
        <v>3</v>
      </c>
      <c r="O30" s="15">
        <v>74</v>
      </c>
      <c r="P30" s="65">
        <f>VLOOKUP(O30,المرجع!$B$3:$C$12,2)</f>
        <v>3</v>
      </c>
      <c r="Q30" s="44" t="str">
        <f>VLOOKUP(P30,المرجع!$C$3:$E$12,3)</f>
        <v>ج</v>
      </c>
      <c r="R30" s="40">
        <f t="shared" si="2"/>
        <v>9</v>
      </c>
      <c r="S30" s="53">
        <v>3</v>
      </c>
      <c r="T30" s="15">
        <v>96</v>
      </c>
      <c r="U30" s="65">
        <f>VLOOKUP(T30,المرجع!$B$3:$C$12,2)</f>
        <v>5</v>
      </c>
      <c r="V30" s="44" t="str">
        <f>VLOOKUP(U30,المرجع!$C$3:$E$12,3)</f>
        <v xml:space="preserve">أ+ </v>
      </c>
      <c r="W30" s="40">
        <f t="shared" si="3"/>
        <v>15</v>
      </c>
      <c r="X30" s="53">
        <v>3</v>
      </c>
      <c r="Y30" s="15">
        <v>100</v>
      </c>
      <c r="Z30" s="65">
        <f>VLOOKUP(Y30,المرجع!$B$3:$C$12,2)</f>
        <v>5</v>
      </c>
      <c r="AA30" s="44" t="str">
        <f>VLOOKUP(Z30,المرجع!$C$3:$E$12,3)</f>
        <v xml:space="preserve">أ+ </v>
      </c>
      <c r="AB30" s="40">
        <f t="shared" si="4"/>
        <v>15</v>
      </c>
      <c r="AC30" s="53">
        <v>2</v>
      </c>
      <c r="AD30" s="15">
        <v>91</v>
      </c>
      <c r="AE30" s="65">
        <f>VLOOKUP(AD30,المرجع!$B$3:$C$12,2)</f>
        <v>4.75</v>
      </c>
      <c r="AF30" s="44" t="str">
        <f>VLOOKUP(AE30,المرجع!$C$3:$E$12,3)</f>
        <v>أ</v>
      </c>
      <c r="AG30" s="40">
        <f t="shared" si="5"/>
        <v>9.5</v>
      </c>
      <c r="AH30" s="53">
        <v>2</v>
      </c>
      <c r="AI30" s="15">
        <v>80</v>
      </c>
      <c r="AJ30" s="65">
        <f>VLOOKUP(AI30,المرجع!$B$3:$C$12,2)</f>
        <v>4</v>
      </c>
      <c r="AK30" s="44" t="str">
        <f>VLOOKUP(AJ30,المرجع!$C$3:$E$12,3)</f>
        <v>ب</v>
      </c>
      <c r="AL30" s="40">
        <f t="shared" si="6"/>
        <v>8</v>
      </c>
      <c r="AM30" s="53">
        <v>2</v>
      </c>
      <c r="AN30" s="15">
        <v>98</v>
      </c>
      <c r="AO30" s="65">
        <f>VLOOKUP(AN30,المرجع!$B$3:$C$12,2)</f>
        <v>5</v>
      </c>
      <c r="AP30" s="44" t="str">
        <f>VLOOKUP(AO30,المرجع!$C$3:$E$12,3)</f>
        <v xml:space="preserve">أ+ </v>
      </c>
      <c r="AQ30" s="40">
        <f t="shared" si="7"/>
        <v>10</v>
      </c>
      <c r="AR30" s="53">
        <v>2</v>
      </c>
      <c r="AS30" s="15">
        <v>78</v>
      </c>
      <c r="AT30" s="65">
        <f>VLOOKUP(AS30,المرجع!$B$3:$C$12,2)</f>
        <v>3.5</v>
      </c>
      <c r="AU30" s="44" t="str">
        <f>VLOOKUP(AT30,المرجع!$C$3:$E$12,3)</f>
        <v>ج+</v>
      </c>
      <c r="AV30" s="40">
        <f t="shared" si="8"/>
        <v>7</v>
      </c>
      <c r="AW30" s="53">
        <v>2</v>
      </c>
      <c r="AX30" s="15">
        <v>50</v>
      </c>
      <c r="AY30" s="65">
        <f>VLOOKUP(AX30,المرجع!$B$3:$C$12,2)</f>
        <v>2</v>
      </c>
      <c r="AZ30" s="44" t="str">
        <f>VLOOKUP(AY30,المرجع!$C$3:$E$12,3)</f>
        <v>د</v>
      </c>
      <c r="BA30" s="40">
        <f t="shared" si="9"/>
        <v>4</v>
      </c>
      <c r="BB30" s="56">
        <f t="shared" si="10"/>
        <v>97.25</v>
      </c>
      <c r="BC30" s="58">
        <f t="shared" si="11"/>
        <v>23</v>
      </c>
      <c r="BD30" s="60">
        <f t="shared" si="13"/>
        <v>4.2282608695652177</v>
      </c>
      <c r="BE30" s="91">
        <f>(BB30+'المستوى الثالث ح'!BB30+'المستوى الثاني 2023'!BB30+'المستوى الأول 2022'!BL30)/92</f>
        <v>3.714673913043478</v>
      </c>
      <c r="BF30" s="59" t="str">
        <f>VLOOKUP(BD30,المرجع!$D$3:$F$12,3)</f>
        <v>جيد جد مرتفع</v>
      </c>
      <c r="BG30" s="57">
        <f t="shared" si="12"/>
        <v>28</v>
      </c>
    </row>
    <row r="31" spans="2:59" ht="24" customHeight="1">
      <c r="B31" s="31">
        <v>2023089</v>
      </c>
      <c r="C31" s="61" t="s">
        <v>55</v>
      </c>
      <c r="D31" s="53">
        <v>1</v>
      </c>
      <c r="E31" s="15">
        <v>98</v>
      </c>
      <c r="F31" s="65">
        <f>VLOOKUP(E31,المرجع!$B$3:$C$12,2)</f>
        <v>5</v>
      </c>
      <c r="G31" s="44" t="str">
        <f>VLOOKUP(F31,المرجع!$D$3:$E$12,2)</f>
        <v xml:space="preserve">أ+ </v>
      </c>
      <c r="H31" s="40">
        <f t="shared" si="0"/>
        <v>5</v>
      </c>
      <c r="I31" s="53">
        <v>3</v>
      </c>
      <c r="J31" s="15">
        <v>100</v>
      </c>
      <c r="K31" s="65">
        <f>VLOOKUP(J31,المرجع!$B$3:$C$12,2)</f>
        <v>5</v>
      </c>
      <c r="L31" s="44" t="str">
        <f>VLOOKUP(K31,المرجع!$C$3:$E$12,3)</f>
        <v xml:space="preserve">أ+ </v>
      </c>
      <c r="M31" s="40">
        <f t="shared" si="1"/>
        <v>15</v>
      </c>
      <c r="N31" s="53">
        <v>3</v>
      </c>
      <c r="O31" s="15">
        <v>63</v>
      </c>
      <c r="P31" s="65">
        <f>VLOOKUP(O31,المرجع!$B$3:$C$12,2)</f>
        <v>2</v>
      </c>
      <c r="Q31" s="44" t="str">
        <f>VLOOKUP(P31,المرجع!$C$3:$E$12,3)</f>
        <v>د</v>
      </c>
      <c r="R31" s="40">
        <f t="shared" si="2"/>
        <v>6</v>
      </c>
      <c r="S31" s="53">
        <v>3</v>
      </c>
      <c r="T31" s="15">
        <v>95</v>
      </c>
      <c r="U31" s="65">
        <f>VLOOKUP(T31,المرجع!$B$3:$C$12,2)</f>
        <v>5</v>
      </c>
      <c r="V31" s="44" t="str">
        <f>VLOOKUP(U31,المرجع!$C$3:$E$12,3)</f>
        <v xml:space="preserve">أ+ </v>
      </c>
      <c r="W31" s="40">
        <f t="shared" si="3"/>
        <v>15</v>
      </c>
      <c r="X31" s="53">
        <v>3</v>
      </c>
      <c r="Y31" s="15">
        <v>100</v>
      </c>
      <c r="Z31" s="65">
        <f>VLOOKUP(Y31,المرجع!$B$3:$C$12,2)</f>
        <v>5</v>
      </c>
      <c r="AA31" s="44" t="str">
        <f>VLOOKUP(Z31,المرجع!$C$3:$E$12,3)</f>
        <v xml:space="preserve">أ+ </v>
      </c>
      <c r="AB31" s="40">
        <f t="shared" si="4"/>
        <v>15</v>
      </c>
      <c r="AC31" s="53">
        <v>2</v>
      </c>
      <c r="AD31" s="15">
        <v>91</v>
      </c>
      <c r="AE31" s="65">
        <f>VLOOKUP(AD31,المرجع!$B$3:$C$12,2)</f>
        <v>4.75</v>
      </c>
      <c r="AF31" s="44" t="str">
        <f>VLOOKUP(AE31,المرجع!$C$3:$E$12,3)</f>
        <v>أ</v>
      </c>
      <c r="AG31" s="40">
        <f t="shared" si="5"/>
        <v>9.5</v>
      </c>
      <c r="AH31" s="53">
        <v>2</v>
      </c>
      <c r="AI31" s="15">
        <v>91</v>
      </c>
      <c r="AJ31" s="65">
        <f>VLOOKUP(AI31,المرجع!$B$3:$C$12,2)</f>
        <v>4.75</v>
      </c>
      <c r="AK31" s="44" t="str">
        <f>VLOOKUP(AJ31,المرجع!$C$3:$E$12,3)</f>
        <v>أ</v>
      </c>
      <c r="AL31" s="40">
        <f t="shared" si="6"/>
        <v>9.5</v>
      </c>
      <c r="AM31" s="53">
        <v>2</v>
      </c>
      <c r="AN31" s="15">
        <v>80</v>
      </c>
      <c r="AO31" s="65">
        <f>VLOOKUP(AN31,المرجع!$B$3:$C$12,2)</f>
        <v>4</v>
      </c>
      <c r="AP31" s="44" t="str">
        <f>VLOOKUP(AO31,المرجع!$C$3:$E$12,3)</f>
        <v>ب</v>
      </c>
      <c r="AQ31" s="40">
        <f t="shared" si="7"/>
        <v>8</v>
      </c>
      <c r="AR31" s="53">
        <v>2</v>
      </c>
      <c r="AS31" s="15">
        <v>96</v>
      </c>
      <c r="AT31" s="65">
        <f>VLOOKUP(AS31,المرجع!$B$3:$C$12,2)</f>
        <v>5</v>
      </c>
      <c r="AU31" s="44" t="str">
        <f>VLOOKUP(AT31,المرجع!$C$3:$E$12,3)</f>
        <v xml:space="preserve">أ+ </v>
      </c>
      <c r="AV31" s="40">
        <f t="shared" si="8"/>
        <v>10</v>
      </c>
      <c r="AW31" s="53">
        <v>2</v>
      </c>
      <c r="AX31" s="15">
        <v>64</v>
      </c>
      <c r="AY31" s="65">
        <f>VLOOKUP(AX31,المرجع!$B$3:$C$12,2)</f>
        <v>2</v>
      </c>
      <c r="AZ31" s="44" t="str">
        <f>VLOOKUP(AY31,المرجع!$C$3:$E$12,3)</f>
        <v>د</v>
      </c>
      <c r="BA31" s="40">
        <f t="shared" si="9"/>
        <v>4</v>
      </c>
      <c r="BB31" s="56">
        <f t="shared" si="10"/>
        <v>97</v>
      </c>
      <c r="BC31" s="58">
        <f t="shared" si="11"/>
        <v>23</v>
      </c>
      <c r="BD31" s="60">
        <f t="shared" si="13"/>
        <v>4.2173913043478262</v>
      </c>
      <c r="BE31" s="91">
        <f>(BB31+'المستوى الثالث ح'!BB31+'المستوى الثاني 2023'!BB31+'المستوى الأول 2022'!BL31)/92</f>
        <v>3.6956521739130435</v>
      </c>
      <c r="BF31" s="59" t="str">
        <f>VLOOKUP(BD31,المرجع!$D$3:$F$12,3)</f>
        <v>جيد جد مرتفع</v>
      </c>
      <c r="BG31" s="57">
        <f t="shared" si="12"/>
        <v>29</v>
      </c>
    </row>
    <row r="32" spans="2:59" ht="24" customHeight="1">
      <c r="B32" s="31">
        <v>2023082</v>
      </c>
      <c r="C32" s="61" t="s">
        <v>59</v>
      </c>
      <c r="D32" s="53">
        <v>1</v>
      </c>
      <c r="E32" s="15">
        <v>94</v>
      </c>
      <c r="F32" s="65">
        <f>VLOOKUP(E32,المرجع!$B$3:$C$12,2)</f>
        <v>4.75</v>
      </c>
      <c r="G32" s="44" t="str">
        <f>VLOOKUP(F32,المرجع!$D$3:$E$12,2)</f>
        <v>أ</v>
      </c>
      <c r="H32" s="40">
        <f t="shared" si="0"/>
        <v>4.75</v>
      </c>
      <c r="I32" s="53">
        <v>3</v>
      </c>
      <c r="J32" s="15">
        <v>90</v>
      </c>
      <c r="K32" s="65">
        <f>VLOOKUP(J32,المرجع!$B$3:$C$12,2)</f>
        <v>4.75</v>
      </c>
      <c r="L32" s="44" t="str">
        <f>VLOOKUP(K32,المرجع!$C$3:$E$12,3)</f>
        <v>أ</v>
      </c>
      <c r="M32" s="40">
        <f t="shared" si="1"/>
        <v>14.25</v>
      </c>
      <c r="N32" s="53">
        <v>3</v>
      </c>
      <c r="O32" s="15">
        <v>90</v>
      </c>
      <c r="P32" s="65">
        <f>VLOOKUP(O32,المرجع!$B$3:$C$12,2)</f>
        <v>4.75</v>
      </c>
      <c r="Q32" s="44" t="str">
        <f>VLOOKUP(P32,المرجع!$C$3:$E$12,3)</f>
        <v>أ</v>
      </c>
      <c r="R32" s="40">
        <f t="shared" si="2"/>
        <v>14.25</v>
      </c>
      <c r="S32" s="53">
        <v>3</v>
      </c>
      <c r="T32" s="15">
        <v>100</v>
      </c>
      <c r="U32" s="65">
        <f>VLOOKUP(T32,المرجع!$B$3:$C$12,2)</f>
        <v>5</v>
      </c>
      <c r="V32" s="44" t="str">
        <f>VLOOKUP(U32,المرجع!$C$3:$E$12,3)</f>
        <v xml:space="preserve">أ+ </v>
      </c>
      <c r="W32" s="40">
        <f t="shared" si="3"/>
        <v>15</v>
      </c>
      <c r="X32" s="53">
        <v>3</v>
      </c>
      <c r="Y32" s="15">
        <v>100</v>
      </c>
      <c r="Z32" s="65">
        <f>VLOOKUP(Y32,المرجع!$B$3:$C$12,2)</f>
        <v>5</v>
      </c>
      <c r="AA32" s="44" t="str">
        <f>VLOOKUP(Z32,المرجع!$C$3:$E$12,3)</f>
        <v xml:space="preserve">أ+ </v>
      </c>
      <c r="AB32" s="40">
        <f t="shared" si="4"/>
        <v>15</v>
      </c>
      <c r="AC32" s="53">
        <v>2</v>
      </c>
      <c r="AD32" s="15">
        <v>96</v>
      </c>
      <c r="AE32" s="65">
        <f>VLOOKUP(AD32,المرجع!$B$3:$C$12,2)</f>
        <v>5</v>
      </c>
      <c r="AF32" s="44" t="str">
        <f>VLOOKUP(AE32,المرجع!$C$3:$E$12,3)</f>
        <v xml:space="preserve">أ+ </v>
      </c>
      <c r="AG32" s="40">
        <f t="shared" si="5"/>
        <v>10</v>
      </c>
      <c r="AH32" s="53">
        <v>2</v>
      </c>
      <c r="AI32" s="15">
        <v>72</v>
      </c>
      <c r="AJ32" s="65">
        <f>VLOOKUP(AI32,المرجع!$B$3:$C$12,2)</f>
        <v>3</v>
      </c>
      <c r="AK32" s="44" t="str">
        <f>VLOOKUP(AJ32,المرجع!$C$3:$E$12,3)</f>
        <v>ج</v>
      </c>
      <c r="AL32" s="40">
        <f t="shared" si="6"/>
        <v>6</v>
      </c>
      <c r="AM32" s="53">
        <v>2</v>
      </c>
      <c r="AN32" s="15">
        <v>82</v>
      </c>
      <c r="AO32" s="65">
        <f>VLOOKUP(AN32,المرجع!$B$3:$C$12,2)</f>
        <v>4</v>
      </c>
      <c r="AP32" s="44" t="str">
        <f>VLOOKUP(AO32,المرجع!$C$3:$E$12,3)</f>
        <v>ب</v>
      </c>
      <c r="AQ32" s="40">
        <f t="shared" si="7"/>
        <v>8</v>
      </c>
      <c r="AR32" s="53">
        <v>2</v>
      </c>
      <c r="AS32" s="15">
        <v>92</v>
      </c>
      <c r="AT32" s="65">
        <f>VLOOKUP(AS32,المرجع!$B$3:$C$12,2)</f>
        <v>4.75</v>
      </c>
      <c r="AU32" s="44" t="str">
        <f>VLOOKUP(AT32,المرجع!$C$3:$E$12,3)</f>
        <v>أ</v>
      </c>
      <c r="AV32" s="40">
        <f t="shared" si="8"/>
        <v>9.5</v>
      </c>
      <c r="AW32" s="53">
        <v>2</v>
      </c>
      <c r="AX32" s="15">
        <v>42</v>
      </c>
      <c r="AY32" s="65">
        <f>VLOOKUP(AX32,المرجع!$B$3:$C$12,2)</f>
        <v>0</v>
      </c>
      <c r="AZ32" s="44" t="str">
        <f>VLOOKUP(AY32,المرجع!$C$3:$E$12,3)</f>
        <v>ه</v>
      </c>
      <c r="BA32" s="40">
        <f t="shared" si="9"/>
        <v>0</v>
      </c>
      <c r="BB32" s="56">
        <f t="shared" si="10"/>
        <v>96.75</v>
      </c>
      <c r="BC32" s="58">
        <f t="shared" si="11"/>
        <v>23</v>
      </c>
      <c r="BD32" s="60">
        <f t="shared" si="13"/>
        <v>4.2065217391304346</v>
      </c>
      <c r="BE32" s="91">
        <f>(BB32+'المستوى الثالث ح'!BB32+'المستوى الثاني 2023'!BB32+'المستوى الأول 2022'!BL32)/92</f>
        <v>3.714673913043478</v>
      </c>
      <c r="BF32" s="59" t="str">
        <f>VLOOKUP(BD32,المرجع!$D$3:$F$12,3)</f>
        <v>جيد جد مرتفع</v>
      </c>
      <c r="BG32" s="57">
        <f t="shared" si="12"/>
        <v>30</v>
      </c>
    </row>
    <row r="33" spans="2:59" ht="24" customHeight="1">
      <c r="B33" s="31">
        <v>2023039</v>
      </c>
      <c r="C33" s="61" t="s">
        <v>89</v>
      </c>
      <c r="D33" s="53">
        <v>1</v>
      </c>
      <c r="E33" s="15">
        <v>80</v>
      </c>
      <c r="F33" s="65">
        <f>VLOOKUP(E33,المرجع!$B$3:$C$12,2)</f>
        <v>4</v>
      </c>
      <c r="G33" s="44" t="str">
        <f>VLOOKUP(F33,المرجع!$D$3:$E$12,2)</f>
        <v>ب</v>
      </c>
      <c r="H33" s="40">
        <f t="shared" si="0"/>
        <v>4</v>
      </c>
      <c r="I33" s="53">
        <v>3</v>
      </c>
      <c r="J33" s="15">
        <v>97</v>
      </c>
      <c r="K33" s="65">
        <f>VLOOKUP(J33,المرجع!$B$3:$C$12,2)</f>
        <v>5</v>
      </c>
      <c r="L33" s="44" t="str">
        <f>VLOOKUP(K33,المرجع!$C$3:$E$12,3)</f>
        <v xml:space="preserve">أ+ </v>
      </c>
      <c r="M33" s="40">
        <f t="shared" si="1"/>
        <v>15</v>
      </c>
      <c r="N33" s="53">
        <v>3</v>
      </c>
      <c r="O33" s="15">
        <v>69</v>
      </c>
      <c r="P33" s="65">
        <f>VLOOKUP(O33,المرجع!$B$3:$C$12,2)</f>
        <v>2.5</v>
      </c>
      <c r="Q33" s="44" t="str">
        <f>VLOOKUP(P33,المرجع!$C$3:$E$12,3)</f>
        <v>د+</v>
      </c>
      <c r="R33" s="40">
        <f t="shared" si="2"/>
        <v>7.5</v>
      </c>
      <c r="S33" s="53">
        <v>3</v>
      </c>
      <c r="T33" s="15">
        <v>100</v>
      </c>
      <c r="U33" s="65">
        <f>VLOOKUP(T33,المرجع!$B$3:$C$12,2)</f>
        <v>5</v>
      </c>
      <c r="V33" s="44" t="str">
        <f>VLOOKUP(U33,المرجع!$C$3:$E$12,3)</f>
        <v xml:space="preserve">أ+ </v>
      </c>
      <c r="W33" s="40">
        <f t="shared" si="3"/>
        <v>15</v>
      </c>
      <c r="X33" s="53">
        <v>3</v>
      </c>
      <c r="Y33" s="15">
        <v>100</v>
      </c>
      <c r="Z33" s="65">
        <f>VLOOKUP(Y33,المرجع!$B$3:$C$12,2)</f>
        <v>5</v>
      </c>
      <c r="AA33" s="44" t="str">
        <f>VLOOKUP(Z33,المرجع!$C$3:$E$12,3)</f>
        <v xml:space="preserve">أ+ </v>
      </c>
      <c r="AB33" s="40">
        <f t="shared" si="4"/>
        <v>15</v>
      </c>
      <c r="AC33" s="53">
        <v>2</v>
      </c>
      <c r="AD33" s="15">
        <v>73</v>
      </c>
      <c r="AE33" s="65">
        <f>VLOOKUP(AD33,المرجع!$B$3:$C$12,2)</f>
        <v>3</v>
      </c>
      <c r="AF33" s="44" t="str">
        <f>VLOOKUP(AE33,المرجع!$C$3:$E$12,3)</f>
        <v>ج</v>
      </c>
      <c r="AG33" s="40">
        <f t="shared" si="5"/>
        <v>6</v>
      </c>
      <c r="AH33" s="53">
        <v>2</v>
      </c>
      <c r="AI33" s="15">
        <v>91</v>
      </c>
      <c r="AJ33" s="65">
        <f>VLOOKUP(AI33,المرجع!$B$3:$C$12,2)</f>
        <v>4.75</v>
      </c>
      <c r="AK33" s="44" t="str">
        <f>VLOOKUP(AJ33,المرجع!$C$3:$E$12,3)</f>
        <v>أ</v>
      </c>
      <c r="AL33" s="40">
        <f t="shared" si="6"/>
        <v>9.5</v>
      </c>
      <c r="AM33" s="53">
        <v>2</v>
      </c>
      <c r="AN33" s="15">
        <v>91</v>
      </c>
      <c r="AO33" s="65">
        <f>VLOOKUP(AN33,المرجع!$B$3:$C$12,2)</f>
        <v>4.75</v>
      </c>
      <c r="AP33" s="44" t="str">
        <f>VLOOKUP(AO33,المرجع!$C$3:$E$12,3)</f>
        <v>أ</v>
      </c>
      <c r="AQ33" s="40">
        <f t="shared" si="7"/>
        <v>9.5</v>
      </c>
      <c r="AR33" s="53">
        <v>2</v>
      </c>
      <c r="AS33" s="15">
        <v>95</v>
      </c>
      <c r="AT33" s="65">
        <f>VLOOKUP(AS33,المرجع!$B$3:$C$12,2)</f>
        <v>5</v>
      </c>
      <c r="AU33" s="44" t="str">
        <f>VLOOKUP(AT33,المرجع!$C$3:$E$12,3)</f>
        <v xml:space="preserve">أ+ </v>
      </c>
      <c r="AV33" s="40">
        <f t="shared" si="8"/>
        <v>10</v>
      </c>
      <c r="AW33" s="53">
        <v>2</v>
      </c>
      <c r="AX33" s="15">
        <v>68</v>
      </c>
      <c r="AY33" s="65">
        <f>VLOOKUP(AX33,المرجع!$B$3:$C$12,2)</f>
        <v>2.5</v>
      </c>
      <c r="AZ33" s="44" t="str">
        <f>VLOOKUP(AY33,المرجع!$C$3:$E$12,3)</f>
        <v>د+</v>
      </c>
      <c r="BA33" s="40">
        <f t="shared" si="9"/>
        <v>5</v>
      </c>
      <c r="BB33" s="56">
        <f t="shared" si="10"/>
        <v>96.5</v>
      </c>
      <c r="BC33" s="58">
        <f t="shared" si="11"/>
        <v>23</v>
      </c>
      <c r="BD33" s="60">
        <f t="shared" si="13"/>
        <v>4.1956521739130439</v>
      </c>
      <c r="BE33" s="91">
        <f>(BB33+'المستوى الثالث ح'!BB33+'المستوى الثاني 2023'!BB33+'المستوى الأول 2022'!BL33)/92</f>
        <v>3.6902173913043477</v>
      </c>
      <c r="BF33" s="59" t="str">
        <f>VLOOKUP(BD33,المرجع!$D$3:$F$12,3)</f>
        <v>جيد جد مرتفع</v>
      </c>
      <c r="BG33" s="57">
        <f t="shared" si="12"/>
        <v>31</v>
      </c>
    </row>
    <row r="34" spans="2:59" ht="24" customHeight="1">
      <c r="B34" s="31">
        <v>2023009</v>
      </c>
      <c r="C34" s="61" t="s">
        <v>19</v>
      </c>
      <c r="D34" s="53">
        <v>1</v>
      </c>
      <c r="E34" s="15">
        <v>100</v>
      </c>
      <c r="F34" s="65">
        <f>VLOOKUP(E34,المرجع!$B$3:$C$12,2)</f>
        <v>5</v>
      </c>
      <c r="G34" s="44" t="str">
        <f>VLOOKUP(F34,المرجع!$D$3:$E$12,2)</f>
        <v xml:space="preserve">أ+ </v>
      </c>
      <c r="H34" s="40">
        <f t="shared" si="0"/>
        <v>5</v>
      </c>
      <c r="I34" s="53">
        <v>3</v>
      </c>
      <c r="J34" s="15">
        <v>99</v>
      </c>
      <c r="K34" s="65">
        <f>VLOOKUP(J34,المرجع!$B$3:$C$12,2)</f>
        <v>5</v>
      </c>
      <c r="L34" s="44" t="str">
        <f>VLOOKUP(K34,المرجع!$C$3:$E$12,3)</f>
        <v xml:space="preserve">أ+ </v>
      </c>
      <c r="M34" s="40">
        <f t="shared" si="1"/>
        <v>15</v>
      </c>
      <c r="N34" s="53">
        <v>3</v>
      </c>
      <c r="O34" s="15">
        <v>64</v>
      </c>
      <c r="P34" s="65">
        <f>VLOOKUP(O34,المرجع!$B$3:$C$12,2)</f>
        <v>2</v>
      </c>
      <c r="Q34" s="44" t="str">
        <f>VLOOKUP(P34,المرجع!$C$3:$E$12,3)</f>
        <v>د</v>
      </c>
      <c r="R34" s="40">
        <f t="shared" si="2"/>
        <v>6</v>
      </c>
      <c r="S34" s="53">
        <v>3</v>
      </c>
      <c r="T34" s="15">
        <v>100</v>
      </c>
      <c r="U34" s="65">
        <f>VLOOKUP(T34,المرجع!$B$3:$C$12,2)</f>
        <v>5</v>
      </c>
      <c r="V34" s="44" t="str">
        <f>VLOOKUP(U34,المرجع!$C$3:$E$12,3)</f>
        <v xml:space="preserve">أ+ </v>
      </c>
      <c r="W34" s="40">
        <f t="shared" si="3"/>
        <v>15</v>
      </c>
      <c r="X34" s="53">
        <v>3</v>
      </c>
      <c r="Y34" s="15">
        <v>90</v>
      </c>
      <c r="Z34" s="65">
        <f>VLOOKUP(Y34,المرجع!$B$3:$C$12,2)</f>
        <v>4.75</v>
      </c>
      <c r="AA34" s="44" t="str">
        <f>VLOOKUP(Z34,المرجع!$C$3:$E$12,3)</f>
        <v>أ</v>
      </c>
      <c r="AB34" s="40">
        <f t="shared" si="4"/>
        <v>14.25</v>
      </c>
      <c r="AC34" s="53">
        <v>2</v>
      </c>
      <c r="AD34" s="15">
        <v>96</v>
      </c>
      <c r="AE34" s="65">
        <f>VLOOKUP(AD34,المرجع!$B$3:$C$12,2)</f>
        <v>5</v>
      </c>
      <c r="AF34" s="44" t="str">
        <f>VLOOKUP(AE34,المرجع!$C$3:$E$12,3)</f>
        <v xml:space="preserve">أ+ </v>
      </c>
      <c r="AG34" s="40">
        <f t="shared" si="5"/>
        <v>10</v>
      </c>
      <c r="AH34" s="53">
        <v>2</v>
      </c>
      <c r="AI34" s="15">
        <v>94</v>
      </c>
      <c r="AJ34" s="65">
        <f>VLOOKUP(AI34,المرجع!$B$3:$C$12,2)</f>
        <v>4.75</v>
      </c>
      <c r="AK34" s="44" t="str">
        <f>VLOOKUP(AJ34,المرجع!$C$3:$E$12,3)</f>
        <v>أ</v>
      </c>
      <c r="AL34" s="40">
        <f t="shared" si="6"/>
        <v>9.5</v>
      </c>
      <c r="AM34" s="53">
        <v>2</v>
      </c>
      <c r="AN34" s="15">
        <v>88</v>
      </c>
      <c r="AO34" s="65">
        <f>VLOOKUP(AN34,المرجع!$B$3:$C$12,2)</f>
        <v>4.5</v>
      </c>
      <c r="AP34" s="44" t="str">
        <f>VLOOKUP(AO34,المرجع!$C$3:$E$12,3)</f>
        <v>ب+</v>
      </c>
      <c r="AQ34" s="40">
        <f t="shared" si="7"/>
        <v>9</v>
      </c>
      <c r="AR34" s="53">
        <v>2</v>
      </c>
      <c r="AS34" s="15">
        <v>80</v>
      </c>
      <c r="AT34" s="65">
        <f>VLOOKUP(AS34,المرجع!$B$3:$C$12,2)</f>
        <v>4</v>
      </c>
      <c r="AU34" s="44" t="str">
        <f>VLOOKUP(AT34,المرجع!$C$3:$E$12,3)</f>
        <v>ب</v>
      </c>
      <c r="AV34" s="40">
        <f t="shared" si="8"/>
        <v>8</v>
      </c>
      <c r="AW34" s="53">
        <v>2</v>
      </c>
      <c r="AX34" s="15">
        <v>56</v>
      </c>
      <c r="AY34" s="65">
        <f>VLOOKUP(AX34,المرجع!$B$3:$C$12,2)</f>
        <v>2</v>
      </c>
      <c r="AZ34" s="44" t="str">
        <f>VLOOKUP(AY34,المرجع!$C$3:$E$12,3)</f>
        <v>د</v>
      </c>
      <c r="BA34" s="40">
        <f t="shared" si="9"/>
        <v>4</v>
      </c>
      <c r="BB34" s="56">
        <f t="shared" si="10"/>
        <v>95.75</v>
      </c>
      <c r="BC34" s="58">
        <f t="shared" si="11"/>
        <v>23</v>
      </c>
      <c r="BD34" s="60">
        <f t="shared" si="13"/>
        <v>4.1630434782608692</v>
      </c>
      <c r="BE34" s="91">
        <f>(BB34+'المستوى الثالث ح'!BB34+'المستوى الثاني 2023'!BB34+'المستوى الأول 2022'!BL34)/92</f>
        <v>3.589673913043478</v>
      </c>
      <c r="BF34" s="59" t="str">
        <f>VLOOKUP(BD34,المرجع!$D$3:$F$12,3)</f>
        <v>جيد جد مرتفع</v>
      </c>
      <c r="BG34" s="57">
        <f t="shared" si="12"/>
        <v>32</v>
      </c>
    </row>
    <row r="35" spans="2:59" ht="24" customHeight="1">
      <c r="B35" s="31">
        <v>2023081</v>
      </c>
      <c r="C35" s="61" t="s">
        <v>52</v>
      </c>
      <c r="D35" s="53">
        <v>1</v>
      </c>
      <c r="E35" s="15">
        <v>95</v>
      </c>
      <c r="F35" s="65">
        <f>VLOOKUP(E35,المرجع!$B$3:$C$12,2)</f>
        <v>5</v>
      </c>
      <c r="G35" s="44" t="str">
        <f>VLOOKUP(F35,المرجع!$D$3:$E$12,2)</f>
        <v xml:space="preserve">أ+ </v>
      </c>
      <c r="H35" s="40">
        <f t="shared" ref="H35:H66" si="14">F35*D35</f>
        <v>5</v>
      </c>
      <c r="I35" s="53">
        <v>3</v>
      </c>
      <c r="J35" s="15">
        <v>100</v>
      </c>
      <c r="K35" s="65">
        <f>VLOOKUP(J35,المرجع!$B$3:$C$12,2)</f>
        <v>5</v>
      </c>
      <c r="L35" s="44" t="str">
        <f>VLOOKUP(K35,المرجع!$C$3:$E$12,3)</f>
        <v xml:space="preserve">أ+ </v>
      </c>
      <c r="M35" s="40">
        <f t="shared" ref="M35:M66" si="15">K35*I35</f>
        <v>15</v>
      </c>
      <c r="N35" s="53">
        <v>3</v>
      </c>
      <c r="O35" s="15">
        <v>61</v>
      </c>
      <c r="P35" s="65">
        <f>VLOOKUP(O35,المرجع!$B$3:$C$12,2)</f>
        <v>2</v>
      </c>
      <c r="Q35" s="44" t="str">
        <f>VLOOKUP(P35,المرجع!$C$3:$E$12,3)</f>
        <v>د</v>
      </c>
      <c r="R35" s="40">
        <f t="shared" ref="R35:R66" si="16">P35*N35</f>
        <v>6</v>
      </c>
      <c r="S35" s="53">
        <v>3</v>
      </c>
      <c r="T35" s="15">
        <v>90</v>
      </c>
      <c r="U35" s="65">
        <f>VLOOKUP(T35,المرجع!$B$3:$C$12,2)</f>
        <v>4.75</v>
      </c>
      <c r="V35" s="44" t="str">
        <f>VLOOKUP(U35,المرجع!$C$3:$E$12,3)</f>
        <v>أ</v>
      </c>
      <c r="W35" s="40">
        <f t="shared" ref="W35:W66" si="17">U35*S35</f>
        <v>14.25</v>
      </c>
      <c r="X35" s="53">
        <v>3</v>
      </c>
      <c r="Y35" s="15">
        <v>100</v>
      </c>
      <c r="Z35" s="65">
        <f>VLOOKUP(Y35,المرجع!$B$3:$C$12,2)</f>
        <v>5</v>
      </c>
      <c r="AA35" s="44" t="str">
        <f>VLOOKUP(Z35,المرجع!$C$3:$E$12,3)</f>
        <v xml:space="preserve">أ+ </v>
      </c>
      <c r="AB35" s="40">
        <f t="shared" ref="AB35:AB66" si="18">Z35*X35</f>
        <v>15</v>
      </c>
      <c r="AC35" s="53">
        <v>2</v>
      </c>
      <c r="AD35" s="15">
        <v>76</v>
      </c>
      <c r="AE35" s="65">
        <f>VLOOKUP(AD35,المرجع!$B$3:$C$12,2)</f>
        <v>3.5</v>
      </c>
      <c r="AF35" s="44" t="str">
        <f>VLOOKUP(AE35,المرجع!$C$3:$E$12,3)</f>
        <v>ج+</v>
      </c>
      <c r="AG35" s="40">
        <f t="shared" ref="AG35:AG66" si="19">AE35*AC35</f>
        <v>7</v>
      </c>
      <c r="AH35" s="53">
        <v>2</v>
      </c>
      <c r="AI35" s="15">
        <v>53</v>
      </c>
      <c r="AJ35" s="65">
        <f>VLOOKUP(AI35,المرجع!$B$3:$C$12,2)</f>
        <v>2</v>
      </c>
      <c r="AK35" s="44" t="str">
        <f>VLOOKUP(AJ35,المرجع!$C$3:$E$12,3)</f>
        <v>د</v>
      </c>
      <c r="AL35" s="40">
        <f t="shared" ref="AL35:AL66" si="20">AJ35*AH35</f>
        <v>4</v>
      </c>
      <c r="AM35" s="53">
        <v>2</v>
      </c>
      <c r="AN35" s="15">
        <v>93</v>
      </c>
      <c r="AO35" s="65">
        <f>VLOOKUP(AN35,المرجع!$B$3:$C$12,2)</f>
        <v>4.75</v>
      </c>
      <c r="AP35" s="44" t="str">
        <f>VLOOKUP(AO35,المرجع!$C$3:$E$12,3)</f>
        <v>أ</v>
      </c>
      <c r="AQ35" s="40">
        <f t="shared" ref="AQ35:AQ66" si="21">AO35*AM35</f>
        <v>9.5</v>
      </c>
      <c r="AR35" s="53">
        <v>2</v>
      </c>
      <c r="AS35" s="15">
        <v>97</v>
      </c>
      <c r="AT35" s="65">
        <f>VLOOKUP(AS35,المرجع!$B$3:$C$12,2)</f>
        <v>5</v>
      </c>
      <c r="AU35" s="44" t="str">
        <f>VLOOKUP(AT35,المرجع!$C$3:$E$12,3)</f>
        <v xml:space="preserve">أ+ </v>
      </c>
      <c r="AV35" s="40">
        <f t="shared" ref="AV35:AV66" si="22">AT35*AR35</f>
        <v>10</v>
      </c>
      <c r="AW35" s="53">
        <v>2</v>
      </c>
      <c r="AX35" s="15">
        <v>86</v>
      </c>
      <c r="AY35" s="65">
        <f>VLOOKUP(AX35,المرجع!$B$3:$C$12,2)</f>
        <v>4.5</v>
      </c>
      <c r="AZ35" s="44" t="str">
        <f>VLOOKUP(AY35,المرجع!$C$3:$E$12,3)</f>
        <v>ب+</v>
      </c>
      <c r="BA35" s="40">
        <f t="shared" ref="BA35:BA66" si="23">AY35*AW35</f>
        <v>9</v>
      </c>
      <c r="BB35" s="56">
        <f t="shared" ref="BB35:BB66" si="24">BA35+AV35+AQ35+AL35+AG35+AB35+W35+R35+M35+H35</f>
        <v>94.75</v>
      </c>
      <c r="BC35" s="58">
        <f t="shared" ref="BC35:BC66" si="25">AW35+AR35+AM35+AH35+AC35+X35+S35+N35+I35+D35</f>
        <v>23</v>
      </c>
      <c r="BD35" s="60">
        <f t="shared" ref="BD35:BD66" si="26">BB35/BC35</f>
        <v>4.1195652173913047</v>
      </c>
      <c r="BE35" s="91">
        <f>(BB35+'المستوى الثالث ح'!BB35+'المستوى الثاني 2023'!BB35+'المستوى الأول 2022'!BL35)/92</f>
        <v>3.6847826086956523</v>
      </c>
      <c r="BF35" s="59" t="str">
        <f>VLOOKUP(BD35,المرجع!$D$3:$F$12,3)</f>
        <v>جيد جد مرتفع</v>
      </c>
      <c r="BG35" s="57">
        <f t="shared" ref="BG35:BG66" si="27">RANK(BD35,$BD$3:$BD$75)</f>
        <v>33</v>
      </c>
    </row>
    <row r="36" spans="2:59" ht="24" customHeight="1">
      <c r="B36" s="31">
        <v>2023090</v>
      </c>
      <c r="C36" s="61" t="s">
        <v>49</v>
      </c>
      <c r="D36" s="53">
        <v>1</v>
      </c>
      <c r="E36" s="15">
        <v>96</v>
      </c>
      <c r="F36" s="65">
        <f>VLOOKUP(E36,المرجع!$B$3:$C$12,2)</f>
        <v>5</v>
      </c>
      <c r="G36" s="44" t="str">
        <f>VLOOKUP(F36,المرجع!$D$3:$E$12,2)</f>
        <v xml:space="preserve">أ+ </v>
      </c>
      <c r="H36" s="40">
        <f t="shared" si="14"/>
        <v>5</v>
      </c>
      <c r="I36" s="53">
        <v>3</v>
      </c>
      <c r="J36" s="15">
        <v>100</v>
      </c>
      <c r="K36" s="65">
        <f>VLOOKUP(J36,المرجع!$B$3:$C$12,2)</f>
        <v>5</v>
      </c>
      <c r="L36" s="44" t="str">
        <f>VLOOKUP(K36,المرجع!$C$3:$E$12,3)</f>
        <v xml:space="preserve">أ+ </v>
      </c>
      <c r="M36" s="40">
        <f t="shared" si="15"/>
        <v>15</v>
      </c>
      <c r="N36" s="53">
        <v>3</v>
      </c>
      <c r="O36" s="15">
        <v>58</v>
      </c>
      <c r="P36" s="65">
        <f>VLOOKUP(O36,المرجع!$B$3:$C$12,2)</f>
        <v>2</v>
      </c>
      <c r="Q36" s="44" t="str">
        <f>VLOOKUP(P36,المرجع!$C$3:$E$12,3)</f>
        <v>د</v>
      </c>
      <c r="R36" s="40">
        <f t="shared" si="16"/>
        <v>6</v>
      </c>
      <c r="S36" s="53">
        <v>3</v>
      </c>
      <c r="T36" s="15">
        <v>94</v>
      </c>
      <c r="U36" s="65">
        <f>VLOOKUP(T36,المرجع!$B$3:$C$12,2)</f>
        <v>4.75</v>
      </c>
      <c r="V36" s="44" t="str">
        <f>VLOOKUP(U36,المرجع!$C$3:$E$12,3)</f>
        <v>أ</v>
      </c>
      <c r="W36" s="40">
        <f t="shared" si="17"/>
        <v>14.25</v>
      </c>
      <c r="X36" s="53">
        <v>3</v>
      </c>
      <c r="Y36" s="15">
        <v>100</v>
      </c>
      <c r="Z36" s="65">
        <f>VLOOKUP(Y36,المرجع!$B$3:$C$12,2)</f>
        <v>5</v>
      </c>
      <c r="AA36" s="44" t="str">
        <f>VLOOKUP(Z36,المرجع!$C$3:$E$12,3)</f>
        <v xml:space="preserve">أ+ </v>
      </c>
      <c r="AB36" s="40">
        <f t="shared" si="18"/>
        <v>15</v>
      </c>
      <c r="AC36" s="53">
        <v>2</v>
      </c>
      <c r="AD36" s="15">
        <v>93</v>
      </c>
      <c r="AE36" s="65">
        <f>VLOOKUP(AD36,المرجع!$B$3:$C$12,2)</f>
        <v>4.75</v>
      </c>
      <c r="AF36" s="44" t="str">
        <f>VLOOKUP(AE36,المرجع!$C$3:$E$12,3)</f>
        <v>أ</v>
      </c>
      <c r="AG36" s="40">
        <f t="shared" si="19"/>
        <v>9.5</v>
      </c>
      <c r="AH36" s="53">
        <v>2</v>
      </c>
      <c r="AI36" s="15">
        <v>92</v>
      </c>
      <c r="AJ36" s="65">
        <f>VLOOKUP(AI36,المرجع!$B$3:$C$12,2)</f>
        <v>4.75</v>
      </c>
      <c r="AK36" s="44" t="str">
        <f>VLOOKUP(AJ36,المرجع!$C$3:$E$12,3)</f>
        <v>أ</v>
      </c>
      <c r="AL36" s="40">
        <f t="shared" si="20"/>
        <v>9.5</v>
      </c>
      <c r="AM36" s="53">
        <v>2</v>
      </c>
      <c r="AN36" s="15">
        <v>74</v>
      </c>
      <c r="AO36" s="65">
        <f>VLOOKUP(AN36,المرجع!$B$3:$C$12,2)</f>
        <v>3</v>
      </c>
      <c r="AP36" s="44" t="str">
        <f>VLOOKUP(AO36,المرجع!$C$3:$E$12,3)</f>
        <v>ج</v>
      </c>
      <c r="AQ36" s="40">
        <f t="shared" si="21"/>
        <v>6</v>
      </c>
      <c r="AR36" s="53">
        <v>2</v>
      </c>
      <c r="AS36" s="15">
        <v>90</v>
      </c>
      <c r="AT36" s="65">
        <f>VLOOKUP(AS36,المرجع!$B$3:$C$12,2)</f>
        <v>4.75</v>
      </c>
      <c r="AU36" s="44" t="str">
        <f>VLOOKUP(AT36,المرجع!$C$3:$E$12,3)</f>
        <v>أ</v>
      </c>
      <c r="AV36" s="40">
        <f t="shared" si="22"/>
        <v>9.5</v>
      </c>
      <c r="AW36" s="53">
        <v>2</v>
      </c>
      <c r="AX36" s="15">
        <v>60</v>
      </c>
      <c r="AY36" s="65">
        <f>VLOOKUP(AX36,المرجع!$B$3:$C$12,2)</f>
        <v>2</v>
      </c>
      <c r="AZ36" s="44" t="str">
        <f>VLOOKUP(AY36,المرجع!$C$3:$E$12,3)</f>
        <v>د</v>
      </c>
      <c r="BA36" s="40">
        <f t="shared" si="23"/>
        <v>4</v>
      </c>
      <c r="BB36" s="56">
        <f t="shared" si="24"/>
        <v>93.75</v>
      </c>
      <c r="BC36" s="58">
        <f t="shared" si="25"/>
        <v>23</v>
      </c>
      <c r="BD36" s="60">
        <f t="shared" si="26"/>
        <v>4.0760869565217392</v>
      </c>
      <c r="BE36" s="91">
        <f>(BB36+'المستوى الثالث ح'!BB36+'المستوى الثاني 2023'!BB36+'المستوى الأول 2022'!BL36)/92</f>
        <v>3.5516304347826089</v>
      </c>
      <c r="BF36" s="59" t="str">
        <f>VLOOKUP(BD36,المرجع!$D$3:$F$12,3)</f>
        <v xml:space="preserve">جيد جدا </v>
      </c>
      <c r="BG36" s="57">
        <f t="shared" si="27"/>
        <v>34</v>
      </c>
    </row>
    <row r="37" spans="2:59" ht="24" customHeight="1">
      <c r="B37" s="31">
        <v>2023030</v>
      </c>
      <c r="C37" s="61" t="s">
        <v>6</v>
      </c>
      <c r="D37" s="53">
        <v>1</v>
      </c>
      <c r="E37" s="15">
        <v>96</v>
      </c>
      <c r="F37" s="65">
        <f>VLOOKUP(E37,المرجع!$B$3:$C$12,2)</f>
        <v>5</v>
      </c>
      <c r="G37" s="44" t="str">
        <f>VLOOKUP(F37,المرجع!$D$3:$E$12,2)</f>
        <v xml:space="preserve">أ+ </v>
      </c>
      <c r="H37" s="40">
        <f t="shared" si="14"/>
        <v>5</v>
      </c>
      <c r="I37" s="53">
        <v>3</v>
      </c>
      <c r="J37" s="15">
        <v>100</v>
      </c>
      <c r="K37" s="65">
        <f>VLOOKUP(J37,المرجع!$B$3:$C$12,2)</f>
        <v>5</v>
      </c>
      <c r="L37" s="44" t="str">
        <f>VLOOKUP(K37,المرجع!$C$3:$E$12,3)</f>
        <v xml:space="preserve">أ+ </v>
      </c>
      <c r="M37" s="40">
        <f t="shared" si="15"/>
        <v>15</v>
      </c>
      <c r="N37" s="53">
        <v>3</v>
      </c>
      <c r="O37" s="15">
        <v>58</v>
      </c>
      <c r="P37" s="65">
        <f>VLOOKUP(O37,المرجع!$B$3:$C$12,2)</f>
        <v>2</v>
      </c>
      <c r="Q37" s="44" t="str">
        <f>VLOOKUP(P37,المرجع!$C$3:$E$12,3)</f>
        <v>د</v>
      </c>
      <c r="R37" s="40">
        <f t="shared" si="16"/>
        <v>6</v>
      </c>
      <c r="S37" s="53">
        <v>3</v>
      </c>
      <c r="T37" s="15">
        <v>100</v>
      </c>
      <c r="U37" s="65">
        <f>VLOOKUP(T37,المرجع!$B$3:$C$12,2)</f>
        <v>5</v>
      </c>
      <c r="V37" s="44" t="str">
        <f>VLOOKUP(U37,المرجع!$C$3:$E$12,3)</f>
        <v xml:space="preserve">أ+ </v>
      </c>
      <c r="W37" s="40">
        <f t="shared" si="17"/>
        <v>15</v>
      </c>
      <c r="X37" s="53">
        <v>3</v>
      </c>
      <c r="Y37" s="15">
        <v>100</v>
      </c>
      <c r="Z37" s="65">
        <f>VLOOKUP(Y37,المرجع!$B$3:$C$12,2)</f>
        <v>5</v>
      </c>
      <c r="AA37" s="44" t="str">
        <f>VLOOKUP(Z37,المرجع!$C$3:$E$12,3)</f>
        <v xml:space="preserve">أ+ </v>
      </c>
      <c r="AB37" s="40">
        <f t="shared" si="18"/>
        <v>15</v>
      </c>
      <c r="AC37" s="53">
        <v>2</v>
      </c>
      <c r="AD37" s="15">
        <v>62</v>
      </c>
      <c r="AE37" s="65">
        <f>VLOOKUP(AD37,المرجع!$B$3:$C$12,2)</f>
        <v>2</v>
      </c>
      <c r="AF37" s="44" t="str">
        <f>VLOOKUP(AE37,المرجع!$C$3:$E$12,3)</f>
        <v>د</v>
      </c>
      <c r="AG37" s="40">
        <f t="shared" si="19"/>
        <v>4</v>
      </c>
      <c r="AH37" s="53">
        <v>2</v>
      </c>
      <c r="AI37" s="15">
        <v>91</v>
      </c>
      <c r="AJ37" s="65">
        <f>VLOOKUP(AI37,المرجع!$B$3:$C$12,2)</f>
        <v>4.75</v>
      </c>
      <c r="AK37" s="44" t="str">
        <f>VLOOKUP(AJ37,المرجع!$C$3:$E$12,3)</f>
        <v>أ</v>
      </c>
      <c r="AL37" s="40">
        <f t="shared" si="20"/>
        <v>9.5</v>
      </c>
      <c r="AM37" s="53">
        <v>2</v>
      </c>
      <c r="AN37" s="15">
        <v>90</v>
      </c>
      <c r="AO37" s="65">
        <f>VLOOKUP(AN37,المرجع!$B$3:$C$12,2)</f>
        <v>4.75</v>
      </c>
      <c r="AP37" s="44" t="str">
        <f>VLOOKUP(AO37,المرجع!$C$3:$E$12,3)</f>
        <v>أ</v>
      </c>
      <c r="AQ37" s="40">
        <f t="shared" si="21"/>
        <v>9.5</v>
      </c>
      <c r="AR37" s="53">
        <v>2</v>
      </c>
      <c r="AS37" s="15">
        <v>75</v>
      </c>
      <c r="AT37" s="65">
        <f>VLOOKUP(AS37,المرجع!$B$3:$C$12,2)</f>
        <v>3.5</v>
      </c>
      <c r="AU37" s="44" t="str">
        <f>VLOOKUP(AT37,المرجع!$C$3:$E$12,3)</f>
        <v>ج+</v>
      </c>
      <c r="AV37" s="40">
        <f t="shared" si="22"/>
        <v>7</v>
      </c>
      <c r="AW37" s="53">
        <v>2</v>
      </c>
      <c r="AX37" s="15">
        <v>77</v>
      </c>
      <c r="AY37" s="65">
        <f>VLOOKUP(AX37,المرجع!$B$3:$C$12,2)</f>
        <v>3.5</v>
      </c>
      <c r="AZ37" s="44" t="str">
        <f>VLOOKUP(AY37,المرجع!$C$3:$E$12,3)</f>
        <v>ج+</v>
      </c>
      <c r="BA37" s="40">
        <f t="shared" si="23"/>
        <v>7</v>
      </c>
      <c r="BB37" s="56">
        <f t="shared" si="24"/>
        <v>93</v>
      </c>
      <c r="BC37" s="58">
        <f t="shared" si="25"/>
        <v>23</v>
      </c>
      <c r="BD37" s="60">
        <f t="shared" si="26"/>
        <v>4.0434782608695654</v>
      </c>
      <c r="BE37" s="91">
        <f>(BB37+'المستوى الثالث ح'!BB37+'المستوى الثاني 2023'!BB37+'المستوى الأول 2022'!BL37)/92</f>
        <v>3.5679347826086958</v>
      </c>
      <c r="BF37" s="59" t="str">
        <f>VLOOKUP(BD37,المرجع!$D$3:$F$12,3)</f>
        <v xml:space="preserve">جيد جدا </v>
      </c>
      <c r="BG37" s="57">
        <f t="shared" si="27"/>
        <v>35</v>
      </c>
    </row>
    <row r="38" spans="2:59" ht="24" customHeight="1">
      <c r="B38" s="31">
        <v>2023079</v>
      </c>
      <c r="C38" s="61" t="s">
        <v>66</v>
      </c>
      <c r="D38" s="53">
        <v>1</v>
      </c>
      <c r="E38" s="15">
        <v>83</v>
      </c>
      <c r="F38" s="65">
        <f>VLOOKUP(E38,المرجع!$B$3:$C$12,2)</f>
        <v>4</v>
      </c>
      <c r="G38" s="44" t="str">
        <f>VLOOKUP(F38,المرجع!$D$3:$E$12,2)</f>
        <v>ب</v>
      </c>
      <c r="H38" s="40">
        <f t="shared" si="14"/>
        <v>4</v>
      </c>
      <c r="I38" s="53">
        <v>3</v>
      </c>
      <c r="J38" s="15">
        <v>95</v>
      </c>
      <c r="K38" s="65">
        <f>VLOOKUP(J38,المرجع!$B$3:$C$12,2)</f>
        <v>5</v>
      </c>
      <c r="L38" s="44" t="str">
        <f>VLOOKUP(K38,المرجع!$C$3:$E$12,3)</f>
        <v xml:space="preserve">أ+ </v>
      </c>
      <c r="M38" s="40">
        <f t="shared" si="15"/>
        <v>15</v>
      </c>
      <c r="N38" s="53">
        <v>3</v>
      </c>
      <c r="O38" s="15">
        <v>50</v>
      </c>
      <c r="P38" s="65">
        <f>VLOOKUP(O38,المرجع!$B$3:$C$12,2)</f>
        <v>2</v>
      </c>
      <c r="Q38" s="44" t="str">
        <f>VLOOKUP(P38,المرجع!$C$3:$E$12,3)</f>
        <v>د</v>
      </c>
      <c r="R38" s="40">
        <f t="shared" si="16"/>
        <v>6</v>
      </c>
      <c r="S38" s="53">
        <v>3</v>
      </c>
      <c r="T38" s="15">
        <v>75</v>
      </c>
      <c r="U38" s="65">
        <f>VLOOKUP(T38,المرجع!$B$3:$C$12,2)</f>
        <v>3.5</v>
      </c>
      <c r="V38" s="44" t="str">
        <f>VLOOKUP(U38,المرجع!$C$3:$E$12,3)</f>
        <v>ج+</v>
      </c>
      <c r="W38" s="40">
        <f t="shared" si="17"/>
        <v>10.5</v>
      </c>
      <c r="X38" s="53">
        <v>3</v>
      </c>
      <c r="Y38" s="15">
        <v>100</v>
      </c>
      <c r="Z38" s="65">
        <f>VLOOKUP(Y38,المرجع!$B$3:$C$12,2)</f>
        <v>5</v>
      </c>
      <c r="AA38" s="44" t="str">
        <f>VLOOKUP(Z38,المرجع!$C$3:$E$12,3)</f>
        <v xml:space="preserve">أ+ </v>
      </c>
      <c r="AB38" s="40">
        <f t="shared" si="18"/>
        <v>15</v>
      </c>
      <c r="AC38" s="53">
        <v>2</v>
      </c>
      <c r="AD38" s="15">
        <v>77</v>
      </c>
      <c r="AE38" s="65">
        <f>VLOOKUP(AD38,المرجع!$B$3:$C$12,2)</f>
        <v>3.5</v>
      </c>
      <c r="AF38" s="44" t="str">
        <f>VLOOKUP(AE38,المرجع!$C$3:$E$12,3)</f>
        <v>ج+</v>
      </c>
      <c r="AG38" s="40">
        <f t="shared" si="19"/>
        <v>7</v>
      </c>
      <c r="AH38" s="53">
        <v>2</v>
      </c>
      <c r="AI38" s="15">
        <v>86</v>
      </c>
      <c r="AJ38" s="65">
        <f>VLOOKUP(AI38,المرجع!$B$3:$C$12,2)</f>
        <v>4.5</v>
      </c>
      <c r="AK38" s="44" t="str">
        <f>VLOOKUP(AJ38,المرجع!$C$3:$E$12,3)</f>
        <v>ب+</v>
      </c>
      <c r="AL38" s="40">
        <f t="shared" si="20"/>
        <v>9</v>
      </c>
      <c r="AM38" s="53">
        <v>2</v>
      </c>
      <c r="AN38" s="15">
        <v>87</v>
      </c>
      <c r="AO38" s="65">
        <f>VLOOKUP(AN38,المرجع!$B$3:$C$12,2)</f>
        <v>4.5</v>
      </c>
      <c r="AP38" s="44" t="str">
        <f>VLOOKUP(AO38,المرجع!$C$3:$E$12,3)</f>
        <v>ب+</v>
      </c>
      <c r="AQ38" s="40">
        <f t="shared" si="21"/>
        <v>9</v>
      </c>
      <c r="AR38" s="53">
        <v>2</v>
      </c>
      <c r="AS38" s="15">
        <v>88</v>
      </c>
      <c r="AT38" s="65">
        <f>VLOOKUP(AS38,المرجع!$B$3:$C$12,2)</f>
        <v>4.5</v>
      </c>
      <c r="AU38" s="44" t="str">
        <f>VLOOKUP(AT38,المرجع!$C$3:$E$12,3)</f>
        <v>ب+</v>
      </c>
      <c r="AV38" s="40">
        <f t="shared" si="22"/>
        <v>9</v>
      </c>
      <c r="AW38" s="53">
        <v>2</v>
      </c>
      <c r="AX38" s="15">
        <v>83</v>
      </c>
      <c r="AY38" s="65">
        <f>VLOOKUP(AX38,المرجع!$B$3:$C$12,2)</f>
        <v>4</v>
      </c>
      <c r="AZ38" s="44" t="str">
        <f>VLOOKUP(AY38,المرجع!$C$3:$E$12,3)</f>
        <v>ب</v>
      </c>
      <c r="BA38" s="40">
        <f t="shared" si="23"/>
        <v>8</v>
      </c>
      <c r="BB38" s="56">
        <f t="shared" si="24"/>
        <v>92.5</v>
      </c>
      <c r="BC38" s="58">
        <f t="shared" si="25"/>
        <v>23</v>
      </c>
      <c r="BD38" s="60">
        <f t="shared" si="26"/>
        <v>4.0217391304347823</v>
      </c>
      <c r="BE38" s="91">
        <f>(BB38+'المستوى الثالث ح'!BB38+'المستوى الثاني 2023'!BB38+'المستوى الأول 2022'!BL38)/92</f>
        <v>3.5679347826086958</v>
      </c>
      <c r="BF38" s="59" t="str">
        <f>VLOOKUP(BD38,المرجع!$D$3:$F$12,3)</f>
        <v xml:space="preserve">جيد جدا </v>
      </c>
      <c r="BG38" s="57">
        <f t="shared" si="27"/>
        <v>36</v>
      </c>
    </row>
    <row r="39" spans="2:59" ht="24" customHeight="1">
      <c r="B39" s="31">
        <v>2023047</v>
      </c>
      <c r="C39" s="61" t="s">
        <v>21</v>
      </c>
      <c r="D39" s="53">
        <v>1</v>
      </c>
      <c r="E39" s="15">
        <v>88</v>
      </c>
      <c r="F39" s="65">
        <f>VLOOKUP(E39,المرجع!$B$3:$C$12,2)</f>
        <v>4.5</v>
      </c>
      <c r="G39" s="44" t="str">
        <f>VLOOKUP(F39,المرجع!$D$3:$E$12,2)</f>
        <v>ب+</v>
      </c>
      <c r="H39" s="40">
        <f t="shared" si="14"/>
        <v>4.5</v>
      </c>
      <c r="I39" s="53">
        <v>3</v>
      </c>
      <c r="J39" s="15">
        <v>97</v>
      </c>
      <c r="K39" s="65">
        <f>VLOOKUP(J39,المرجع!$B$3:$C$12,2)</f>
        <v>5</v>
      </c>
      <c r="L39" s="44" t="str">
        <f>VLOOKUP(K39,المرجع!$C$3:$E$12,3)</f>
        <v xml:space="preserve">أ+ </v>
      </c>
      <c r="M39" s="40">
        <f t="shared" si="15"/>
        <v>15</v>
      </c>
      <c r="N39" s="53">
        <v>3</v>
      </c>
      <c r="O39" s="15">
        <v>72</v>
      </c>
      <c r="P39" s="65">
        <f>VLOOKUP(O39,المرجع!$B$3:$C$12,2)</f>
        <v>3</v>
      </c>
      <c r="Q39" s="44" t="str">
        <f>VLOOKUP(P39,المرجع!$C$3:$E$12,3)</f>
        <v>ج</v>
      </c>
      <c r="R39" s="40">
        <f t="shared" si="16"/>
        <v>9</v>
      </c>
      <c r="S39" s="53">
        <v>3</v>
      </c>
      <c r="T39" s="15">
        <v>85</v>
      </c>
      <c r="U39" s="65">
        <f>VLOOKUP(T39,المرجع!$B$3:$C$12,2)</f>
        <v>4.5</v>
      </c>
      <c r="V39" s="44" t="str">
        <f>VLOOKUP(U39,المرجع!$C$3:$E$12,3)</f>
        <v>ب+</v>
      </c>
      <c r="W39" s="40">
        <f t="shared" si="17"/>
        <v>13.5</v>
      </c>
      <c r="X39" s="53">
        <v>3</v>
      </c>
      <c r="Y39" s="15">
        <v>99</v>
      </c>
      <c r="Z39" s="65">
        <f>VLOOKUP(Y39,المرجع!$B$3:$C$12,2)</f>
        <v>5</v>
      </c>
      <c r="AA39" s="44" t="str">
        <f>VLOOKUP(Z39,المرجع!$C$3:$E$12,3)</f>
        <v xml:space="preserve">أ+ </v>
      </c>
      <c r="AB39" s="40">
        <f t="shared" si="18"/>
        <v>15</v>
      </c>
      <c r="AC39" s="53">
        <v>2</v>
      </c>
      <c r="AD39" s="15">
        <v>64</v>
      </c>
      <c r="AE39" s="65">
        <f>VLOOKUP(AD39,المرجع!$B$3:$C$12,2)</f>
        <v>2</v>
      </c>
      <c r="AF39" s="44" t="str">
        <f>VLOOKUP(AE39,المرجع!$C$3:$E$12,3)</f>
        <v>د</v>
      </c>
      <c r="AG39" s="40">
        <f t="shared" si="19"/>
        <v>4</v>
      </c>
      <c r="AH39" s="53">
        <v>2</v>
      </c>
      <c r="AI39" s="15">
        <v>85</v>
      </c>
      <c r="AJ39" s="65">
        <f>VLOOKUP(AI39,المرجع!$B$3:$C$12,2)</f>
        <v>4.5</v>
      </c>
      <c r="AK39" s="44" t="str">
        <f>VLOOKUP(AJ39,المرجع!$C$3:$E$12,3)</f>
        <v>ب+</v>
      </c>
      <c r="AL39" s="40">
        <f t="shared" si="20"/>
        <v>9</v>
      </c>
      <c r="AM39" s="53">
        <v>2</v>
      </c>
      <c r="AN39" s="15">
        <v>90</v>
      </c>
      <c r="AO39" s="65">
        <f>VLOOKUP(AN39,المرجع!$B$3:$C$12,2)</f>
        <v>4.75</v>
      </c>
      <c r="AP39" s="44" t="str">
        <f>VLOOKUP(AO39,المرجع!$C$3:$E$12,3)</f>
        <v>أ</v>
      </c>
      <c r="AQ39" s="40">
        <f t="shared" si="21"/>
        <v>9.5</v>
      </c>
      <c r="AR39" s="53">
        <v>2</v>
      </c>
      <c r="AS39" s="15">
        <v>85</v>
      </c>
      <c r="AT39" s="65">
        <f>VLOOKUP(AS39,المرجع!$B$3:$C$12,2)</f>
        <v>4.5</v>
      </c>
      <c r="AU39" s="44" t="str">
        <f>VLOOKUP(AT39,المرجع!$C$3:$E$12,3)</f>
        <v>ب+</v>
      </c>
      <c r="AV39" s="40">
        <f t="shared" si="22"/>
        <v>9</v>
      </c>
      <c r="AW39" s="53">
        <v>2</v>
      </c>
      <c r="AX39" s="15">
        <v>56</v>
      </c>
      <c r="AY39" s="65">
        <f>VLOOKUP(AX39,المرجع!$B$3:$C$12,2)</f>
        <v>2</v>
      </c>
      <c r="AZ39" s="44" t="str">
        <f>VLOOKUP(AY39,المرجع!$C$3:$E$12,3)</f>
        <v>د</v>
      </c>
      <c r="BA39" s="40">
        <f t="shared" si="23"/>
        <v>4</v>
      </c>
      <c r="BB39" s="56">
        <f t="shared" si="24"/>
        <v>92.5</v>
      </c>
      <c r="BC39" s="58">
        <f t="shared" si="25"/>
        <v>23</v>
      </c>
      <c r="BD39" s="60">
        <f t="shared" si="26"/>
        <v>4.0217391304347823</v>
      </c>
      <c r="BE39" s="91">
        <f>(BB39+'المستوى الثالث ح'!BB39+'المستوى الثاني 2023'!BB39+'المستوى الأول 2022'!BL39)/92</f>
        <v>3.4809782608695654</v>
      </c>
      <c r="BF39" s="59" t="str">
        <f>VLOOKUP(BD39,المرجع!$D$3:$F$12,3)</f>
        <v xml:space="preserve">جيد جدا </v>
      </c>
      <c r="BG39" s="57">
        <f t="shared" si="27"/>
        <v>36</v>
      </c>
    </row>
    <row r="40" spans="2:59" ht="24" customHeight="1">
      <c r="B40" s="31">
        <v>2023060</v>
      </c>
      <c r="C40" s="61" t="s">
        <v>76</v>
      </c>
      <c r="D40" s="53">
        <v>1</v>
      </c>
      <c r="E40" s="15">
        <v>98</v>
      </c>
      <c r="F40" s="65">
        <f>VLOOKUP(E40,المرجع!$B$3:$C$12,2)</f>
        <v>5</v>
      </c>
      <c r="G40" s="44" t="str">
        <f>VLOOKUP(F40,المرجع!$D$3:$E$12,2)</f>
        <v xml:space="preserve">أ+ </v>
      </c>
      <c r="H40" s="40">
        <f t="shared" si="14"/>
        <v>5</v>
      </c>
      <c r="I40" s="53">
        <v>3</v>
      </c>
      <c r="J40" s="15">
        <v>85</v>
      </c>
      <c r="K40" s="65">
        <f>VLOOKUP(J40,المرجع!$B$3:$C$12,2)</f>
        <v>4.5</v>
      </c>
      <c r="L40" s="44" t="str">
        <f>VLOOKUP(K40,المرجع!$C$3:$E$12,3)</f>
        <v>ب+</v>
      </c>
      <c r="M40" s="40">
        <f t="shared" si="15"/>
        <v>13.5</v>
      </c>
      <c r="N40" s="53">
        <v>3</v>
      </c>
      <c r="O40" s="15">
        <v>50</v>
      </c>
      <c r="P40" s="65">
        <f>VLOOKUP(O40,المرجع!$B$3:$C$12,2)</f>
        <v>2</v>
      </c>
      <c r="Q40" s="44" t="str">
        <f>VLOOKUP(P40,المرجع!$C$3:$E$12,3)</f>
        <v>د</v>
      </c>
      <c r="R40" s="40">
        <f t="shared" si="16"/>
        <v>6</v>
      </c>
      <c r="S40" s="53">
        <v>3</v>
      </c>
      <c r="T40" s="15">
        <v>75</v>
      </c>
      <c r="U40" s="65">
        <f>VLOOKUP(T40,المرجع!$B$3:$C$12,2)</f>
        <v>3.5</v>
      </c>
      <c r="V40" s="44" t="str">
        <f>VLOOKUP(U40,المرجع!$C$3:$E$12,3)</f>
        <v>ج+</v>
      </c>
      <c r="W40" s="40">
        <f t="shared" si="17"/>
        <v>10.5</v>
      </c>
      <c r="X40" s="53">
        <v>3</v>
      </c>
      <c r="Y40" s="15">
        <v>100</v>
      </c>
      <c r="Z40" s="65">
        <f>VLOOKUP(Y40,المرجع!$B$3:$C$12,2)</f>
        <v>5</v>
      </c>
      <c r="AA40" s="44" t="str">
        <f>VLOOKUP(Z40,المرجع!$C$3:$E$12,3)</f>
        <v xml:space="preserve">أ+ </v>
      </c>
      <c r="AB40" s="40">
        <f t="shared" si="18"/>
        <v>15</v>
      </c>
      <c r="AC40" s="53">
        <v>2</v>
      </c>
      <c r="AD40" s="15">
        <v>91</v>
      </c>
      <c r="AE40" s="65">
        <f>VLOOKUP(AD40,المرجع!$B$3:$C$12,2)</f>
        <v>4.75</v>
      </c>
      <c r="AF40" s="44" t="str">
        <f>VLOOKUP(AE40,المرجع!$C$3:$E$12,3)</f>
        <v>أ</v>
      </c>
      <c r="AG40" s="40">
        <f t="shared" si="19"/>
        <v>9.5</v>
      </c>
      <c r="AH40" s="53">
        <v>2</v>
      </c>
      <c r="AI40" s="15">
        <v>93</v>
      </c>
      <c r="AJ40" s="65">
        <f>VLOOKUP(AI40,المرجع!$B$3:$C$12,2)</f>
        <v>4.75</v>
      </c>
      <c r="AK40" s="44" t="str">
        <f>VLOOKUP(AJ40,المرجع!$C$3:$E$12,3)</f>
        <v>أ</v>
      </c>
      <c r="AL40" s="40">
        <f t="shared" si="20"/>
        <v>9.5</v>
      </c>
      <c r="AM40" s="53">
        <v>2</v>
      </c>
      <c r="AN40" s="15">
        <v>85</v>
      </c>
      <c r="AO40" s="65">
        <f>VLOOKUP(AN40,المرجع!$B$3:$C$12,2)</f>
        <v>4.5</v>
      </c>
      <c r="AP40" s="44" t="str">
        <f>VLOOKUP(AO40,المرجع!$C$3:$E$12,3)</f>
        <v>ب+</v>
      </c>
      <c r="AQ40" s="40">
        <f t="shared" si="21"/>
        <v>9</v>
      </c>
      <c r="AR40" s="53">
        <v>2</v>
      </c>
      <c r="AS40" s="15">
        <v>84</v>
      </c>
      <c r="AT40" s="65">
        <f>VLOOKUP(AS40,المرجع!$B$3:$C$12,2)</f>
        <v>4</v>
      </c>
      <c r="AU40" s="44" t="str">
        <f>VLOOKUP(AT40,المرجع!$C$3:$E$12,3)</f>
        <v>ب</v>
      </c>
      <c r="AV40" s="40">
        <f t="shared" si="22"/>
        <v>8</v>
      </c>
      <c r="AW40" s="53">
        <v>2</v>
      </c>
      <c r="AX40" s="15">
        <v>71</v>
      </c>
      <c r="AY40" s="65">
        <f>VLOOKUP(AX40,المرجع!$B$3:$C$12,2)</f>
        <v>3</v>
      </c>
      <c r="AZ40" s="44" t="str">
        <f>VLOOKUP(AY40,المرجع!$C$3:$E$12,3)</f>
        <v>ج</v>
      </c>
      <c r="BA40" s="40">
        <f t="shared" si="23"/>
        <v>6</v>
      </c>
      <c r="BB40" s="56">
        <f t="shared" si="24"/>
        <v>92</v>
      </c>
      <c r="BC40" s="58">
        <f t="shared" si="25"/>
        <v>23</v>
      </c>
      <c r="BD40" s="60">
        <f t="shared" si="26"/>
        <v>4</v>
      </c>
      <c r="BE40" s="91">
        <f>(BB40+'المستوى الثالث ح'!BB40+'المستوى الثاني 2023'!BB40+'المستوى الأول 2022'!BL40)/92</f>
        <v>3.4864130434782608</v>
      </c>
      <c r="BF40" s="59" t="str">
        <f>VLOOKUP(BD40,المرجع!$D$3:$F$12,3)</f>
        <v xml:space="preserve">جيد جدا </v>
      </c>
      <c r="BG40" s="57">
        <f t="shared" si="27"/>
        <v>38</v>
      </c>
    </row>
    <row r="41" spans="2:59" ht="24" customHeight="1">
      <c r="B41" s="31">
        <v>2023101</v>
      </c>
      <c r="C41" s="61" t="s">
        <v>65</v>
      </c>
      <c r="D41" s="53">
        <v>1</v>
      </c>
      <c r="E41" s="15">
        <v>99</v>
      </c>
      <c r="F41" s="65">
        <f>VLOOKUP(E41,المرجع!$B$3:$C$12,2)</f>
        <v>5</v>
      </c>
      <c r="G41" s="44" t="str">
        <f>VLOOKUP(F41,المرجع!$D$3:$E$12,2)</f>
        <v xml:space="preserve">أ+ </v>
      </c>
      <c r="H41" s="40">
        <f t="shared" si="14"/>
        <v>5</v>
      </c>
      <c r="I41" s="53">
        <v>3</v>
      </c>
      <c r="J41" s="15">
        <v>100</v>
      </c>
      <c r="K41" s="65">
        <f>VLOOKUP(J41,المرجع!$B$3:$C$12,2)</f>
        <v>5</v>
      </c>
      <c r="L41" s="44" t="str">
        <f>VLOOKUP(K41,المرجع!$C$3:$E$12,3)</f>
        <v xml:space="preserve">أ+ </v>
      </c>
      <c r="M41" s="40">
        <f t="shared" si="15"/>
        <v>15</v>
      </c>
      <c r="N41" s="53">
        <v>3</v>
      </c>
      <c r="O41" s="15">
        <v>70</v>
      </c>
      <c r="P41" s="65">
        <f>VLOOKUP(O41,المرجع!$B$3:$C$12,2)</f>
        <v>3</v>
      </c>
      <c r="Q41" s="44" t="str">
        <f>VLOOKUP(P41,المرجع!$C$3:$E$12,3)</f>
        <v>ج</v>
      </c>
      <c r="R41" s="40">
        <f t="shared" si="16"/>
        <v>9</v>
      </c>
      <c r="S41" s="53">
        <v>3</v>
      </c>
      <c r="T41" s="15">
        <v>100</v>
      </c>
      <c r="U41" s="65">
        <f>VLOOKUP(T41,المرجع!$B$3:$C$12,2)</f>
        <v>5</v>
      </c>
      <c r="V41" s="44" t="str">
        <f>VLOOKUP(U41,المرجع!$C$3:$E$12,3)</f>
        <v xml:space="preserve">أ+ </v>
      </c>
      <c r="W41" s="40">
        <f t="shared" si="17"/>
        <v>15</v>
      </c>
      <c r="X41" s="53">
        <v>3</v>
      </c>
      <c r="Y41" s="15">
        <v>100</v>
      </c>
      <c r="Z41" s="65">
        <f>VLOOKUP(Y41,المرجع!$B$3:$C$12,2)</f>
        <v>5</v>
      </c>
      <c r="AA41" s="44" t="str">
        <f>VLOOKUP(Z41,المرجع!$C$3:$E$12,3)</f>
        <v xml:space="preserve">أ+ </v>
      </c>
      <c r="AB41" s="40">
        <f t="shared" si="18"/>
        <v>15</v>
      </c>
      <c r="AC41" s="53">
        <v>2</v>
      </c>
      <c r="AD41" s="15">
        <v>78</v>
      </c>
      <c r="AE41" s="65">
        <f>VLOOKUP(AD41,المرجع!$B$3:$C$12,2)</f>
        <v>3.5</v>
      </c>
      <c r="AF41" s="44" t="str">
        <f>VLOOKUP(AE41,المرجع!$C$3:$E$12,3)</f>
        <v>ج+</v>
      </c>
      <c r="AG41" s="40">
        <f t="shared" si="19"/>
        <v>7</v>
      </c>
      <c r="AH41" s="53">
        <v>2</v>
      </c>
      <c r="AI41" s="15">
        <v>68</v>
      </c>
      <c r="AJ41" s="65">
        <f>VLOOKUP(AI41,المرجع!$B$3:$C$12,2)</f>
        <v>2.5</v>
      </c>
      <c r="AK41" s="44" t="str">
        <f>VLOOKUP(AJ41,المرجع!$C$3:$E$12,3)</f>
        <v>د+</v>
      </c>
      <c r="AL41" s="40">
        <f t="shared" si="20"/>
        <v>5</v>
      </c>
      <c r="AM41" s="53">
        <v>2</v>
      </c>
      <c r="AN41" s="15">
        <v>75</v>
      </c>
      <c r="AO41" s="65">
        <f>VLOOKUP(AN41,المرجع!$B$3:$C$12,2)</f>
        <v>3.5</v>
      </c>
      <c r="AP41" s="44" t="str">
        <f>VLOOKUP(AO41,المرجع!$C$3:$E$12,3)</f>
        <v>ج+</v>
      </c>
      <c r="AQ41" s="40">
        <f t="shared" si="21"/>
        <v>7</v>
      </c>
      <c r="AR41" s="53">
        <v>2</v>
      </c>
      <c r="AS41" s="15">
        <v>89</v>
      </c>
      <c r="AT41" s="65">
        <f>VLOOKUP(AS41,المرجع!$B$3:$C$12,2)</f>
        <v>4.5</v>
      </c>
      <c r="AU41" s="44" t="str">
        <f>VLOOKUP(AT41,المرجع!$C$3:$E$12,3)</f>
        <v>ب+</v>
      </c>
      <c r="AV41" s="40">
        <f t="shared" si="22"/>
        <v>9</v>
      </c>
      <c r="AW41" s="53">
        <v>2</v>
      </c>
      <c r="AX41" s="15">
        <v>69</v>
      </c>
      <c r="AY41" s="65">
        <f>VLOOKUP(AX41,المرجع!$B$3:$C$12,2)</f>
        <v>2.5</v>
      </c>
      <c r="AZ41" s="44" t="str">
        <f>VLOOKUP(AY41,المرجع!$C$3:$E$12,3)</f>
        <v>د+</v>
      </c>
      <c r="BA41" s="40">
        <f t="shared" si="23"/>
        <v>5</v>
      </c>
      <c r="BB41" s="56">
        <f t="shared" si="24"/>
        <v>92</v>
      </c>
      <c r="BC41" s="58">
        <f t="shared" si="25"/>
        <v>23</v>
      </c>
      <c r="BD41" s="60">
        <f t="shared" si="26"/>
        <v>4</v>
      </c>
      <c r="BE41" s="91">
        <f>(BB41+'المستوى الثالث ح'!BB41+'المستوى الثاني 2023'!BB41+'المستوى الأول 2022'!BL41)/92</f>
        <v>3.4809782608695654</v>
      </c>
      <c r="BF41" s="59" t="str">
        <f>VLOOKUP(BD41,المرجع!$D$3:$F$12,3)</f>
        <v xml:space="preserve">جيد جدا </v>
      </c>
      <c r="BG41" s="57">
        <f t="shared" si="27"/>
        <v>38</v>
      </c>
    </row>
    <row r="42" spans="2:59" ht="24" customHeight="1">
      <c r="B42" s="31">
        <v>2023042</v>
      </c>
      <c r="C42" s="61" t="s">
        <v>13</v>
      </c>
      <c r="D42" s="53">
        <v>1</v>
      </c>
      <c r="E42" s="15">
        <v>83</v>
      </c>
      <c r="F42" s="65">
        <f>VLOOKUP(E42,المرجع!$B$3:$C$12,2)</f>
        <v>4</v>
      </c>
      <c r="G42" s="44" t="str">
        <f>VLOOKUP(F42,المرجع!$D$3:$E$12,2)</f>
        <v>ب</v>
      </c>
      <c r="H42" s="40">
        <f t="shared" si="14"/>
        <v>4</v>
      </c>
      <c r="I42" s="53">
        <v>3</v>
      </c>
      <c r="J42" s="15">
        <v>98</v>
      </c>
      <c r="K42" s="65">
        <f>VLOOKUP(J42,المرجع!$B$3:$C$12,2)</f>
        <v>5</v>
      </c>
      <c r="L42" s="44" t="str">
        <f>VLOOKUP(K42,المرجع!$C$3:$E$12,3)</f>
        <v xml:space="preserve">أ+ </v>
      </c>
      <c r="M42" s="40">
        <f t="shared" si="15"/>
        <v>15</v>
      </c>
      <c r="N42" s="53">
        <v>3</v>
      </c>
      <c r="O42" s="15">
        <v>68</v>
      </c>
      <c r="P42" s="65">
        <f>VLOOKUP(O42,المرجع!$B$3:$C$12,2)</f>
        <v>2.5</v>
      </c>
      <c r="Q42" s="44" t="str">
        <f>VLOOKUP(P42,المرجع!$C$3:$E$12,3)</f>
        <v>د+</v>
      </c>
      <c r="R42" s="40">
        <f t="shared" si="16"/>
        <v>7.5</v>
      </c>
      <c r="S42" s="53">
        <v>3</v>
      </c>
      <c r="T42" s="15">
        <v>95</v>
      </c>
      <c r="U42" s="65">
        <f>VLOOKUP(T42,المرجع!$B$3:$C$12,2)</f>
        <v>5</v>
      </c>
      <c r="V42" s="44" t="str">
        <f>VLOOKUP(U42,المرجع!$C$3:$E$12,3)</f>
        <v xml:space="preserve">أ+ </v>
      </c>
      <c r="W42" s="40">
        <f t="shared" si="17"/>
        <v>15</v>
      </c>
      <c r="X42" s="53">
        <v>3</v>
      </c>
      <c r="Y42" s="15">
        <v>100</v>
      </c>
      <c r="Z42" s="65">
        <f>VLOOKUP(Y42,المرجع!$B$3:$C$12,2)</f>
        <v>5</v>
      </c>
      <c r="AA42" s="44" t="str">
        <f>VLOOKUP(Z42,المرجع!$C$3:$E$12,3)</f>
        <v xml:space="preserve">أ+ </v>
      </c>
      <c r="AB42" s="40">
        <f t="shared" si="18"/>
        <v>15</v>
      </c>
      <c r="AC42" s="53">
        <v>2</v>
      </c>
      <c r="AD42" s="15">
        <v>74</v>
      </c>
      <c r="AE42" s="65">
        <f>VLOOKUP(AD42,المرجع!$B$3:$C$12,2)</f>
        <v>3</v>
      </c>
      <c r="AF42" s="44" t="str">
        <f>VLOOKUP(AE42,المرجع!$C$3:$E$12,3)</f>
        <v>ج</v>
      </c>
      <c r="AG42" s="40">
        <f t="shared" si="19"/>
        <v>6</v>
      </c>
      <c r="AH42" s="53">
        <v>2</v>
      </c>
      <c r="AI42" s="15">
        <v>60</v>
      </c>
      <c r="AJ42" s="65">
        <f>VLOOKUP(AI42,المرجع!$B$3:$C$12,2)</f>
        <v>2</v>
      </c>
      <c r="AK42" s="44" t="str">
        <f>VLOOKUP(AJ42,المرجع!$C$3:$E$12,3)</f>
        <v>د</v>
      </c>
      <c r="AL42" s="40">
        <f t="shared" si="20"/>
        <v>4</v>
      </c>
      <c r="AM42" s="53">
        <v>2</v>
      </c>
      <c r="AN42" s="15">
        <v>87</v>
      </c>
      <c r="AO42" s="65">
        <f>VLOOKUP(AN42,المرجع!$B$3:$C$12,2)</f>
        <v>4.5</v>
      </c>
      <c r="AP42" s="44" t="str">
        <f>VLOOKUP(AO42,المرجع!$C$3:$E$12,3)</f>
        <v>ب+</v>
      </c>
      <c r="AQ42" s="40">
        <f t="shared" si="21"/>
        <v>9</v>
      </c>
      <c r="AR42" s="53">
        <v>2</v>
      </c>
      <c r="AS42" s="15">
        <v>92</v>
      </c>
      <c r="AT42" s="65">
        <f>VLOOKUP(AS42,المرجع!$B$3:$C$12,2)</f>
        <v>4.75</v>
      </c>
      <c r="AU42" s="44" t="str">
        <f>VLOOKUP(AT42,المرجع!$C$3:$E$12,3)</f>
        <v>أ</v>
      </c>
      <c r="AV42" s="40">
        <f t="shared" si="22"/>
        <v>9.5</v>
      </c>
      <c r="AW42" s="53">
        <v>2</v>
      </c>
      <c r="AX42" s="15">
        <v>50</v>
      </c>
      <c r="AY42" s="65">
        <f>VLOOKUP(AX42,المرجع!$B$3:$C$12,2)</f>
        <v>2</v>
      </c>
      <c r="AZ42" s="44" t="str">
        <f>VLOOKUP(AY42,المرجع!$C$3:$E$12,3)</f>
        <v>د</v>
      </c>
      <c r="BA42" s="40">
        <f t="shared" si="23"/>
        <v>4</v>
      </c>
      <c r="BB42" s="56">
        <f t="shared" si="24"/>
        <v>89</v>
      </c>
      <c r="BC42" s="58">
        <f t="shared" si="25"/>
        <v>23</v>
      </c>
      <c r="BD42" s="60">
        <f t="shared" si="26"/>
        <v>3.8695652173913042</v>
      </c>
      <c r="BE42" s="91">
        <f>(BB42+'المستوى الثالث ح'!BB42+'المستوى الثاني 2023'!BB42+'المستوى الأول 2022'!BL42)/92</f>
        <v>3.3614130434782608</v>
      </c>
      <c r="BF42" s="59" t="str">
        <f>VLOOKUP(BD42,المرجع!$D$3:$F$12,3)</f>
        <v xml:space="preserve">جيد جدا </v>
      </c>
      <c r="BG42" s="57">
        <f t="shared" si="27"/>
        <v>40</v>
      </c>
    </row>
    <row r="43" spans="2:59" ht="24" customHeight="1">
      <c r="B43" s="31">
        <v>2023018</v>
      </c>
      <c r="C43" s="61" t="s">
        <v>18</v>
      </c>
      <c r="D43" s="53">
        <v>1</v>
      </c>
      <c r="E43" s="15">
        <v>76</v>
      </c>
      <c r="F43" s="65">
        <f>VLOOKUP(E43,المرجع!$B$3:$C$12,2)</f>
        <v>3.5</v>
      </c>
      <c r="G43" s="44" t="str">
        <f>VLOOKUP(F43,المرجع!$D$3:$E$12,2)</f>
        <v>ج+</v>
      </c>
      <c r="H43" s="40">
        <f t="shared" si="14"/>
        <v>3.5</v>
      </c>
      <c r="I43" s="53">
        <v>3</v>
      </c>
      <c r="J43" s="15">
        <v>94</v>
      </c>
      <c r="K43" s="65">
        <f>VLOOKUP(J43,المرجع!$B$3:$C$12,2)</f>
        <v>4.75</v>
      </c>
      <c r="L43" s="44" t="str">
        <f>VLOOKUP(K43,المرجع!$C$3:$E$12,3)</f>
        <v>أ</v>
      </c>
      <c r="M43" s="40">
        <f t="shared" si="15"/>
        <v>14.25</v>
      </c>
      <c r="N43" s="53">
        <v>3</v>
      </c>
      <c r="O43" s="15">
        <v>71</v>
      </c>
      <c r="P43" s="65">
        <f>VLOOKUP(O43,المرجع!$B$3:$C$12,2)</f>
        <v>3</v>
      </c>
      <c r="Q43" s="44" t="str">
        <f>VLOOKUP(P43,المرجع!$C$3:$E$12,3)</f>
        <v>ج</v>
      </c>
      <c r="R43" s="40">
        <f t="shared" si="16"/>
        <v>9</v>
      </c>
      <c r="S43" s="53">
        <v>3</v>
      </c>
      <c r="T43" s="15">
        <v>75</v>
      </c>
      <c r="U43" s="65">
        <f>VLOOKUP(T43,المرجع!$B$3:$C$12,2)</f>
        <v>3.5</v>
      </c>
      <c r="V43" s="44" t="str">
        <f>VLOOKUP(U43,المرجع!$C$3:$E$12,3)</f>
        <v>ج+</v>
      </c>
      <c r="W43" s="40">
        <f t="shared" si="17"/>
        <v>10.5</v>
      </c>
      <c r="X43" s="53">
        <v>3</v>
      </c>
      <c r="Y43" s="15">
        <v>100</v>
      </c>
      <c r="Z43" s="65">
        <f>VLOOKUP(Y43,المرجع!$B$3:$C$12,2)</f>
        <v>5</v>
      </c>
      <c r="AA43" s="44" t="str">
        <f>VLOOKUP(Z43,المرجع!$C$3:$E$12,3)</f>
        <v xml:space="preserve">أ+ </v>
      </c>
      <c r="AB43" s="40">
        <f t="shared" si="18"/>
        <v>15</v>
      </c>
      <c r="AC43" s="53">
        <v>2</v>
      </c>
      <c r="AD43" s="15">
        <v>90</v>
      </c>
      <c r="AE43" s="65">
        <f>VLOOKUP(AD43,المرجع!$B$3:$C$12,2)</f>
        <v>4.75</v>
      </c>
      <c r="AF43" s="44" t="str">
        <f>VLOOKUP(AE43,المرجع!$C$3:$E$12,3)</f>
        <v>أ</v>
      </c>
      <c r="AG43" s="40">
        <f t="shared" si="19"/>
        <v>9.5</v>
      </c>
      <c r="AH43" s="53">
        <v>2</v>
      </c>
      <c r="AI43" s="15">
        <v>58</v>
      </c>
      <c r="AJ43" s="65">
        <f>VLOOKUP(AI43,المرجع!$B$3:$C$12,2)</f>
        <v>2</v>
      </c>
      <c r="AK43" s="44" t="str">
        <f>VLOOKUP(AJ43,المرجع!$C$3:$E$12,3)</f>
        <v>د</v>
      </c>
      <c r="AL43" s="40">
        <f t="shared" si="20"/>
        <v>4</v>
      </c>
      <c r="AM43" s="53">
        <v>2</v>
      </c>
      <c r="AN43" s="15">
        <v>80</v>
      </c>
      <c r="AO43" s="65">
        <f>VLOOKUP(AN43,المرجع!$B$3:$C$12,2)</f>
        <v>4</v>
      </c>
      <c r="AP43" s="44" t="str">
        <f>VLOOKUP(AO43,المرجع!$C$3:$E$12,3)</f>
        <v>ب</v>
      </c>
      <c r="AQ43" s="40">
        <f t="shared" si="21"/>
        <v>8</v>
      </c>
      <c r="AR43" s="53">
        <v>2</v>
      </c>
      <c r="AS43" s="15">
        <v>91</v>
      </c>
      <c r="AT43" s="65">
        <f>VLOOKUP(AS43,المرجع!$B$3:$C$12,2)</f>
        <v>4.75</v>
      </c>
      <c r="AU43" s="44" t="str">
        <f>VLOOKUP(AT43,المرجع!$C$3:$E$12,3)</f>
        <v>أ</v>
      </c>
      <c r="AV43" s="40">
        <f t="shared" si="22"/>
        <v>9.5</v>
      </c>
      <c r="AW43" s="53">
        <v>2</v>
      </c>
      <c r="AX43" s="15">
        <v>69</v>
      </c>
      <c r="AY43" s="65">
        <f>VLOOKUP(AX43,المرجع!$B$3:$C$12,2)</f>
        <v>2.5</v>
      </c>
      <c r="AZ43" s="44" t="str">
        <f>VLOOKUP(AY43,المرجع!$C$3:$E$12,3)</f>
        <v>د+</v>
      </c>
      <c r="BA43" s="40">
        <f t="shared" si="23"/>
        <v>5</v>
      </c>
      <c r="BB43" s="56">
        <f t="shared" si="24"/>
        <v>88.25</v>
      </c>
      <c r="BC43" s="58">
        <f t="shared" si="25"/>
        <v>23</v>
      </c>
      <c r="BD43" s="60">
        <f t="shared" si="26"/>
        <v>3.8369565217391304</v>
      </c>
      <c r="BE43" s="91">
        <f>(BB43+'المستوى الثالث ح'!BB43+'المستوى الثاني 2023'!BB43+'المستوى الأول 2022'!BL43)/92</f>
        <v>3.3070652173913042</v>
      </c>
      <c r="BF43" s="59" t="str">
        <f>VLOOKUP(BD43,المرجع!$D$3:$F$12,3)</f>
        <v xml:space="preserve">جيد جدا </v>
      </c>
      <c r="BG43" s="57">
        <f t="shared" si="27"/>
        <v>41</v>
      </c>
    </row>
    <row r="44" spans="2:59" ht="24" customHeight="1">
      <c r="B44" s="31">
        <v>2023088</v>
      </c>
      <c r="C44" s="61" t="s">
        <v>73</v>
      </c>
      <c r="D44" s="53">
        <v>1</v>
      </c>
      <c r="E44" s="15">
        <v>87</v>
      </c>
      <c r="F44" s="65">
        <f>VLOOKUP(E44,المرجع!$B$3:$C$12,2)</f>
        <v>4.5</v>
      </c>
      <c r="G44" s="44" t="str">
        <f>VLOOKUP(F44,المرجع!$D$3:$E$12,2)</f>
        <v>ب+</v>
      </c>
      <c r="H44" s="40">
        <f t="shared" si="14"/>
        <v>4.5</v>
      </c>
      <c r="I44" s="53">
        <v>3</v>
      </c>
      <c r="J44" s="15">
        <v>100</v>
      </c>
      <c r="K44" s="65">
        <f>VLOOKUP(J44,المرجع!$B$3:$C$12,2)</f>
        <v>5</v>
      </c>
      <c r="L44" s="44" t="str">
        <f>VLOOKUP(K44,المرجع!$C$3:$E$12,3)</f>
        <v xml:space="preserve">أ+ </v>
      </c>
      <c r="M44" s="40">
        <f t="shared" si="15"/>
        <v>15</v>
      </c>
      <c r="N44" s="53">
        <v>3</v>
      </c>
      <c r="O44" s="15">
        <v>60</v>
      </c>
      <c r="P44" s="65">
        <f>VLOOKUP(O44,المرجع!$B$3:$C$12,2)</f>
        <v>2</v>
      </c>
      <c r="Q44" s="44" t="str">
        <f>VLOOKUP(P44,المرجع!$C$3:$E$12,3)</f>
        <v>د</v>
      </c>
      <c r="R44" s="40">
        <f t="shared" si="16"/>
        <v>6</v>
      </c>
      <c r="S44" s="53">
        <v>3</v>
      </c>
      <c r="T44" s="15">
        <v>75</v>
      </c>
      <c r="U44" s="65">
        <f>VLOOKUP(T44,المرجع!$B$3:$C$12,2)</f>
        <v>3.5</v>
      </c>
      <c r="V44" s="44" t="str">
        <f>VLOOKUP(U44,المرجع!$C$3:$E$12,3)</f>
        <v>ج+</v>
      </c>
      <c r="W44" s="40">
        <f t="shared" si="17"/>
        <v>10.5</v>
      </c>
      <c r="X44" s="53">
        <v>3</v>
      </c>
      <c r="Y44" s="15">
        <v>95</v>
      </c>
      <c r="Z44" s="65">
        <f>VLOOKUP(Y44,المرجع!$B$3:$C$12,2)</f>
        <v>5</v>
      </c>
      <c r="AA44" s="44" t="str">
        <f>VLOOKUP(Z44,المرجع!$C$3:$E$12,3)</f>
        <v xml:space="preserve">أ+ </v>
      </c>
      <c r="AB44" s="40">
        <f t="shared" si="18"/>
        <v>15</v>
      </c>
      <c r="AC44" s="53">
        <v>2</v>
      </c>
      <c r="AD44" s="15">
        <v>85</v>
      </c>
      <c r="AE44" s="65">
        <f>VLOOKUP(AD44,المرجع!$B$3:$C$12,2)</f>
        <v>4.5</v>
      </c>
      <c r="AF44" s="44" t="str">
        <f>VLOOKUP(AE44,المرجع!$C$3:$E$12,3)</f>
        <v>ب+</v>
      </c>
      <c r="AG44" s="40">
        <f t="shared" si="19"/>
        <v>9</v>
      </c>
      <c r="AH44" s="53">
        <v>2</v>
      </c>
      <c r="AI44" s="15">
        <v>88</v>
      </c>
      <c r="AJ44" s="65">
        <f>VLOOKUP(AI44,المرجع!$B$3:$C$12,2)</f>
        <v>4.5</v>
      </c>
      <c r="AK44" s="44" t="str">
        <f>VLOOKUP(AJ44,المرجع!$C$3:$E$12,3)</f>
        <v>ب+</v>
      </c>
      <c r="AL44" s="40">
        <f t="shared" si="20"/>
        <v>9</v>
      </c>
      <c r="AM44" s="53">
        <v>2</v>
      </c>
      <c r="AN44" s="15">
        <v>58</v>
      </c>
      <c r="AO44" s="65">
        <f>VLOOKUP(AN44,المرجع!$B$3:$C$12,2)</f>
        <v>2</v>
      </c>
      <c r="AP44" s="44" t="str">
        <f>VLOOKUP(AO44,المرجع!$C$3:$E$12,3)</f>
        <v>د</v>
      </c>
      <c r="AQ44" s="40">
        <f t="shared" si="21"/>
        <v>4</v>
      </c>
      <c r="AR44" s="53">
        <v>2</v>
      </c>
      <c r="AS44" s="15">
        <v>82</v>
      </c>
      <c r="AT44" s="65">
        <f>VLOOKUP(AS44,المرجع!$B$3:$C$12,2)</f>
        <v>4</v>
      </c>
      <c r="AU44" s="44" t="str">
        <f>VLOOKUP(AT44,المرجع!$C$3:$E$12,3)</f>
        <v>ب</v>
      </c>
      <c r="AV44" s="40">
        <f t="shared" si="22"/>
        <v>8</v>
      </c>
      <c r="AW44" s="53">
        <v>2</v>
      </c>
      <c r="AX44" s="15">
        <v>78</v>
      </c>
      <c r="AY44" s="65">
        <f>VLOOKUP(AX44,المرجع!$B$3:$C$12,2)</f>
        <v>3.5</v>
      </c>
      <c r="AZ44" s="44" t="str">
        <f>VLOOKUP(AY44,المرجع!$C$3:$E$12,3)</f>
        <v>ج+</v>
      </c>
      <c r="BA44" s="40">
        <f t="shared" si="23"/>
        <v>7</v>
      </c>
      <c r="BB44" s="56">
        <f t="shared" si="24"/>
        <v>88</v>
      </c>
      <c r="BC44" s="58">
        <f t="shared" si="25"/>
        <v>23</v>
      </c>
      <c r="BD44" s="60">
        <f t="shared" si="26"/>
        <v>3.8260869565217392</v>
      </c>
      <c r="BE44" s="91">
        <f>(BB44+'المستوى الثالث ح'!BB44+'المستوى الثاني 2023'!BB44+'المستوى الأول 2022'!BL44)/92</f>
        <v>3.2798913043478262</v>
      </c>
      <c r="BF44" s="59" t="str">
        <f>VLOOKUP(BD44,المرجع!$D$3:$F$12,3)</f>
        <v xml:space="preserve">جيد جدا </v>
      </c>
      <c r="BG44" s="57">
        <f t="shared" si="27"/>
        <v>42</v>
      </c>
    </row>
    <row r="45" spans="2:59" ht="24" customHeight="1">
      <c r="B45" s="31">
        <v>2023067</v>
      </c>
      <c r="C45" s="61" t="s">
        <v>71</v>
      </c>
      <c r="D45" s="53">
        <v>1</v>
      </c>
      <c r="E45" s="15">
        <v>38</v>
      </c>
      <c r="F45" s="65">
        <f>VLOOKUP(E45,المرجع!$B$3:$C$12,2)</f>
        <v>0</v>
      </c>
      <c r="G45" s="44" t="str">
        <f>VLOOKUP(F45,المرجع!$D$3:$E$12,2)</f>
        <v>ه</v>
      </c>
      <c r="H45" s="40">
        <f t="shared" si="14"/>
        <v>0</v>
      </c>
      <c r="I45" s="53">
        <v>3</v>
      </c>
      <c r="J45" s="15">
        <v>95</v>
      </c>
      <c r="K45" s="65">
        <f>VLOOKUP(J45,المرجع!$B$3:$C$12,2)</f>
        <v>5</v>
      </c>
      <c r="L45" s="44" t="str">
        <f>VLOOKUP(K45,المرجع!$C$3:$E$12,3)</f>
        <v xml:space="preserve">أ+ </v>
      </c>
      <c r="M45" s="40">
        <f t="shared" si="15"/>
        <v>15</v>
      </c>
      <c r="N45" s="53">
        <v>3</v>
      </c>
      <c r="O45" s="15">
        <v>57</v>
      </c>
      <c r="P45" s="65">
        <f>VLOOKUP(O45,المرجع!$B$3:$C$12,2)</f>
        <v>2</v>
      </c>
      <c r="Q45" s="44" t="str">
        <f>VLOOKUP(P45,المرجع!$C$3:$E$12,3)</f>
        <v>د</v>
      </c>
      <c r="R45" s="40">
        <f t="shared" si="16"/>
        <v>6</v>
      </c>
      <c r="S45" s="53">
        <v>3</v>
      </c>
      <c r="T45" s="15">
        <v>85</v>
      </c>
      <c r="U45" s="65">
        <f>VLOOKUP(T45,المرجع!$B$3:$C$12,2)</f>
        <v>4.5</v>
      </c>
      <c r="V45" s="44" t="str">
        <f>VLOOKUP(U45,المرجع!$C$3:$E$12,3)</f>
        <v>ب+</v>
      </c>
      <c r="W45" s="40">
        <f t="shared" si="17"/>
        <v>13.5</v>
      </c>
      <c r="X45" s="53">
        <v>3</v>
      </c>
      <c r="Y45" s="15">
        <v>100</v>
      </c>
      <c r="Z45" s="65">
        <f>VLOOKUP(Y45,المرجع!$B$3:$C$12,2)</f>
        <v>5</v>
      </c>
      <c r="AA45" s="44" t="str">
        <f>VLOOKUP(Z45,المرجع!$C$3:$E$12,3)</f>
        <v xml:space="preserve">أ+ </v>
      </c>
      <c r="AB45" s="40">
        <f t="shared" si="18"/>
        <v>15</v>
      </c>
      <c r="AC45" s="53">
        <v>2</v>
      </c>
      <c r="AD45" s="15">
        <v>90</v>
      </c>
      <c r="AE45" s="65">
        <f>VLOOKUP(AD45,المرجع!$B$3:$C$12,2)</f>
        <v>4.75</v>
      </c>
      <c r="AF45" s="44" t="str">
        <f>VLOOKUP(AE45,المرجع!$C$3:$E$12,3)</f>
        <v>أ</v>
      </c>
      <c r="AG45" s="40">
        <f t="shared" si="19"/>
        <v>9.5</v>
      </c>
      <c r="AH45" s="53">
        <v>2</v>
      </c>
      <c r="AI45" s="15">
        <v>79</v>
      </c>
      <c r="AJ45" s="65">
        <f>VLOOKUP(AI45,المرجع!$B$3:$C$12,2)</f>
        <v>3.5</v>
      </c>
      <c r="AK45" s="44" t="str">
        <f>VLOOKUP(AJ45,المرجع!$C$3:$E$12,3)</f>
        <v>ج+</v>
      </c>
      <c r="AL45" s="40">
        <f t="shared" si="20"/>
        <v>7</v>
      </c>
      <c r="AM45" s="53">
        <v>2</v>
      </c>
      <c r="AN45" s="15">
        <v>85</v>
      </c>
      <c r="AO45" s="65">
        <f>VLOOKUP(AN45,المرجع!$B$3:$C$12,2)</f>
        <v>4.5</v>
      </c>
      <c r="AP45" s="44" t="str">
        <f>VLOOKUP(AO45,المرجع!$C$3:$E$12,3)</f>
        <v>ب+</v>
      </c>
      <c r="AQ45" s="40">
        <f t="shared" si="21"/>
        <v>9</v>
      </c>
      <c r="AR45" s="53">
        <v>2</v>
      </c>
      <c r="AS45" s="15">
        <v>85</v>
      </c>
      <c r="AT45" s="65">
        <f>VLOOKUP(AS45,المرجع!$B$3:$C$12,2)</f>
        <v>4.5</v>
      </c>
      <c r="AU45" s="44" t="str">
        <f>VLOOKUP(AT45,المرجع!$C$3:$E$12,3)</f>
        <v>ب+</v>
      </c>
      <c r="AV45" s="40">
        <f t="shared" si="22"/>
        <v>9</v>
      </c>
      <c r="AW45" s="53">
        <v>2</v>
      </c>
      <c r="AX45" s="15">
        <v>63</v>
      </c>
      <c r="AY45" s="65">
        <f>VLOOKUP(AX45,المرجع!$B$3:$C$12,2)</f>
        <v>2</v>
      </c>
      <c r="AZ45" s="44" t="str">
        <f>VLOOKUP(AY45,المرجع!$C$3:$E$12,3)</f>
        <v>د</v>
      </c>
      <c r="BA45" s="40">
        <f t="shared" si="23"/>
        <v>4</v>
      </c>
      <c r="BB45" s="56">
        <f t="shared" si="24"/>
        <v>88</v>
      </c>
      <c r="BC45" s="58">
        <f t="shared" si="25"/>
        <v>23</v>
      </c>
      <c r="BD45" s="60">
        <f t="shared" si="26"/>
        <v>3.8260869565217392</v>
      </c>
      <c r="BE45" s="91">
        <f>(BB45+'المستوى الثالث ح'!BB45+'المستوى الثاني 2023'!BB45+'المستوى الأول 2022'!BL45)/92</f>
        <v>3.3722826086956523</v>
      </c>
      <c r="BF45" s="59" t="str">
        <f>VLOOKUP(BD45,المرجع!$D$3:$F$12,3)</f>
        <v xml:space="preserve">جيد جدا </v>
      </c>
      <c r="BG45" s="57">
        <f t="shared" si="27"/>
        <v>42</v>
      </c>
    </row>
    <row r="46" spans="2:59" ht="24" customHeight="1">
      <c r="B46" s="31">
        <v>2023096</v>
      </c>
      <c r="C46" s="61" t="s">
        <v>64</v>
      </c>
      <c r="D46" s="53">
        <v>1</v>
      </c>
      <c r="E46" s="15">
        <v>99</v>
      </c>
      <c r="F46" s="65">
        <f>VLOOKUP(E46,المرجع!$B$3:$C$12,2)</f>
        <v>5</v>
      </c>
      <c r="G46" s="44" t="str">
        <f>VLOOKUP(F46,المرجع!$D$3:$E$12,2)</f>
        <v xml:space="preserve">أ+ </v>
      </c>
      <c r="H46" s="40">
        <f t="shared" si="14"/>
        <v>5</v>
      </c>
      <c r="I46" s="53">
        <v>3</v>
      </c>
      <c r="J46" s="15">
        <v>90</v>
      </c>
      <c r="K46" s="65">
        <f>VLOOKUP(J46,المرجع!$B$3:$C$12,2)</f>
        <v>4.75</v>
      </c>
      <c r="L46" s="44" t="str">
        <f>VLOOKUP(K46,المرجع!$C$3:$E$12,3)</f>
        <v>أ</v>
      </c>
      <c r="M46" s="40">
        <f t="shared" si="15"/>
        <v>14.25</v>
      </c>
      <c r="N46" s="53">
        <v>3</v>
      </c>
      <c r="O46" s="15">
        <v>50</v>
      </c>
      <c r="P46" s="65">
        <f>VLOOKUP(O46,المرجع!$B$3:$C$12,2)</f>
        <v>2</v>
      </c>
      <c r="Q46" s="44" t="str">
        <f>VLOOKUP(P46,المرجع!$C$3:$E$12,3)</f>
        <v>د</v>
      </c>
      <c r="R46" s="40">
        <f t="shared" si="16"/>
        <v>6</v>
      </c>
      <c r="S46" s="53">
        <v>3</v>
      </c>
      <c r="T46" s="15">
        <v>75</v>
      </c>
      <c r="U46" s="65">
        <f>VLOOKUP(T46,المرجع!$B$3:$C$12,2)</f>
        <v>3.5</v>
      </c>
      <c r="V46" s="44" t="str">
        <f>VLOOKUP(U46,المرجع!$C$3:$E$12,3)</f>
        <v>ج+</v>
      </c>
      <c r="W46" s="40">
        <f t="shared" si="17"/>
        <v>10.5</v>
      </c>
      <c r="X46" s="53">
        <v>3</v>
      </c>
      <c r="Y46" s="15">
        <v>100</v>
      </c>
      <c r="Z46" s="65">
        <f>VLOOKUP(Y46,المرجع!$B$3:$C$12,2)</f>
        <v>5</v>
      </c>
      <c r="AA46" s="44" t="str">
        <f>VLOOKUP(Z46,المرجع!$C$3:$E$12,3)</f>
        <v xml:space="preserve">أ+ </v>
      </c>
      <c r="AB46" s="40">
        <f t="shared" si="18"/>
        <v>15</v>
      </c>
      <c r="AC46" s="53">
        <v>2</v>
      </c>
      <c r="AD46" s="15">
        <v>78</v>
      </c>
      <c r="AE46" s="65">
        <f>VLOOKUP(AD46,المرجع!$B$3:$C$12,2)</f>
        <v>3.5</v>
      </c>
      <c r="AF46" s="44" t="str">
        <f>VLOOKUP(AE46,المرجع!$C$3:$E$12,3)</f>
        <v>ج+</v>
      </c>
      <c r="AG46" s="40">
        <f t="shared" si="19"/>
        <v>7</v>
      </c>
      <c r="AH46" s="53">
        <v>2</v>
      </c>
      <c r="AI46" s="15">
        <v>80</v>
      </c>
      <c r="AJ46" s="65">
        <f>VLOOKUP(AI46,المرجع!$B$3:$C$12,2)</f>
        <v>4</v>
      </c>
      <c r="AK46" s="44" t="str">
        <f>VLOOKUP(AJ46,المرجع!$C$3:$E$12,3)</f>
        <v>ب</v>
      </c>
      <c r="AL46" s="40">
        <f t="shared" si="20"/>
        <v>8</v>
      </c>
      <c r="AM46" s="53">
        <v>2</v>
      </c>
      <c r="AN46" s="15">
        <v>73</v>
      </c>
      <c r="AO46" s="65">
        <f>VLOOKUP(AN46,المرجع!$B$3:$C$12,2)</f>
        <v>3</v>
      </c>
      <c r="AP46" s="44" t="str">
        <f>VLOOKUP(AO46,المرجع!$C$3:$E$12,3)</f>
        <v>ج</v>
      </c>
      <c r="AQ46" s="40">
        <f t="shared" si="21"/>
        <v>6</v>
      </c>
      <c r="AR46" s="53">
        <v>2</v>
      </c>
      <c r="AS46" s="15">
        <v>83</v>
      </c>
      <c r="AT46" s="65">
        <f>VLOOKUP(AS46,المرجع!$B$3:$C$12,2)</f>
        <v>4</v>
      </c>
      <c r="AU46" s="44" t="str">
        <f>VLOOKUP(AT46,المرجع!$C$3:$E$12,3)</f>
        <v>ب</v>
      </c>
      <c r="AV46" s="40">
        <f t="shared" si="22"/>
        <v>8</v>
      </c>
      <c r="AW46" s="53">
        <v>2</v>
      </c>
      <c r="AX46" s="15">
        <v>70</v>
      </c>
      <c r="AY46" s="65">
        <f>VLOOKUP(AX46,المرجع!$B$3:$C$12,2)</f>
        <v>3</v>
      </c>
      <c r="AZ46" s="44" t="str">
        <f>VLOOKUP(AY46,المرجع!$C$3:$E$12,3)</f>
        <v>ج</v>
      </c>
      <c r="BA46" s="40">
        <f t="shared" si="23"/>
        <v>6</v>
      </c>
      <c r="BB46" s="56">
        <f t="shared" si="24"/>
        <v>85.75</v>
      </c>
      <c r="BC46" s="58">
        <f t="shared" si="25"/>
        <v>23</v>
      </c>
      <c r="BD46" s="60">
        <f t="shared" si="26"/>
        <v>3.7282608695652173</v>
      </c>
      <c r="BE46" s="91">
        <f>(BB46+'المستوى الثالث ح'!BB46+'المستوى الثاني 2023'!BB46+'المستوى الأول 2022'!BL46)/92</f>
        <v>3.2336956521739131</v>
      </c>
      <c r="BF46" s="59" t="str">
        <f>VLOOKUP(BD46,المرجع!$D$3:$F$12,3)</f>
        <v xml:space="preserve">جيد جدا </v>
      </c>
      <c r="BG46" s="57">
        <f t="shared" si="27"/>
        <v>44</v>
      </c>
    </row>
    <row r="47" spans="2:59" ht="24" customHeight="1">
      <c r="B47" s="31">
        <v>2023033</v>
      </c>
      <c r="C47" s="61" t="s">
        <v>7</v>
      </c>
      <c r="D47" s="53">
        <v>1</v>
      </c>
      <c r="E47" s="15">
        <v>88</v>
      </c>
      <c r="F47" s="65">
        <f>VLOOKUP(E47,المرجع!$B$3:$C$12,2)</f>
        <v>4.5</v>
      </c>
      <c r="G47" s="44" t="str">
        <f>VLOOKUP(F47,المرجع!$D$3:$E$12,2)</f>
        <v>ب+</v>
      </c>
      <c r="H47" s="40">
        <f t="shared" si="14"/>
        <v>4.5</v>
      </c>
      <c r="I47" s="53">
        <v>3</v>
      </c>
      <c r="J47" s="15">
        <v>97</v>
      </c>
      <c r="K47" s="65">
        <f>VLOOKUP(J47,المرجع!$B$3:$C$12,2)</f>
        <v>5</v>
      </c>
      <c r="L47" s="44" t="str">
        <f>VLOOKUP(K47,المرجع!$C$3:$E$12,3)</f>
        <v xml:space="preserve">أ+ </v>
      </c>
      <c r="M47" s="40">
        <f t="shared" si="15"/>
        <v>15</v>
      </c>
      <c r="N47" s="53">
        <v>3</v>
      </c>
      <c r="O47" s="15">
        <v>56</v>
      </c>
      <c r="P47" s="65">
        <f>VLOOKUP(O47,المرجع!$B$3:$C$12,2)</f>
        <v>2</v>
      </c>
      <c r="Q47" s="44" t="str">
        <f>VLOOKUP(P47,المرجع!$C$3:$E$12,3)</f>
        <v>د</v>
      </c>
      <c r="R47" s="40">
        <f t="shared" si="16"/>
        <v>6</v>
      </c>
      <c r="S47" s="53">
        <v>3</v>
      </c>
      <c r="T47" s="15">
        <v>40</v>
      </c>
      <c r="U47" s="65">
        <f>VLOOKUP(T47,المرجع!$B$3:$C$12,2)</f>
        <v>0</v>
      </c>
      <c r="V47" s="44" t="str">
        <f>VLOOKUP(U47,المرجع!$C$3:$E$12,3)</f>
        <v>ه</v>
      </c>
      <c r="W47" s="40">
        <f t="shared" si="17"/>
        <v>0</v>
      </c>
      <c r="X47" s="53">
        <v>3</v>
      </c>
      <c r="Y47" s="15">
        <v>100</v>
      </c>
      <c r="Z47" s="65">
        <f>VLOOKUP(Y47,المرجع!$B$3:$C$12,2)</f>
        <v>5</v>
      </c>
      <c r="AA47" s="44" t="str">
        <f>VLOOKUP(Z47,المرجع!$C$3:$E$12,3)</f>
        <v xml:space="preserve">أ+ </v>
      </c>
      <c r="AB47" s="40">
        <f t="shared" si="18"/>
        <v>15</v>
      </c>
      <c r="AC47" s="53">
        <v>2</v>
      </c>
      <c r="AD47" s="15">
        <v>87</v>
      </c>
      <c r="AE47" s="65">
        <f>VLOOKUP(AD47,المرجع!$B$3:$C$12,2)</f>
        <v>4.5</v>
      </c>
      <c r="AF47" s="44" t="str">
        <f>VLOOKUP(AE47,المرجع!$C$3:$E$12,3)</f>
        <v>ب+</v>
      </c>
      <c r="AG47" s="40">
        <f t="shared" si="19"/>
        <v>9</v>
      </c>
      <c r="AH47" s="53">
        <v>2</v>
      </c>
      <c r="AI47" s="15">
        <v>97</v>
      </c>
      <c r="AJ47" s="65">
        <f>VLOOKUP(AI47,المرجع!$B$3:$C$12,2)</f>
        <v>5</v>
      </c>
      <c r="AK47" s="44" t="str">
        <f>VLOOKUP(AJ47,المرجع!$C$3:$E$12,3)</f>
        <v xml:space="preserve">أ+ </v>
      </c>
      <c r="AL47" s="40">
        <f t="shared" si="20"/>
        <v>10</v>
      </c>
      <c r="AM47" s="53">
        <v>2</v>
      </c>
      <c r="AN47" s="15">
        <v>92</v>
      </c>
      <c r="AO47" s="65">
        <f>VLOOKUP(AN47,المرجع!$B$3:$C$12,2)</f>
        <v>4.75</v>
      </c>
      <c r="AP47" s="44" t="str">
        <f>VLOOKUP(AO47,المرجع!$C$3:$E$12,3)</f>
        <v>أ</v>
      </c>
      <c r="AQ47" s="40">
        <f t="shared" si="21"/>
        <v>9.5</v>
      </c>
      <c r="AR47" s="53">
        <v>2</v>
      </c>
      <c r="AS47" s="15">
        <v>83</v>
      </c>
      <c r="AT47" s="65">
        <f>VLOOKUP(AS47,المرجع!$B$3:$C$12,2)</f>
        <v>4</v>
      </c>
      <c r="AU47" s="44" t="str">
        <f>VLOOKUP(AT47,المرجع!$C$3:$E$12,3)</f>
        <v>ب</v>
      </c>
      <c r="AV47" s="40">
        <f t="shared" si="22"/>
        <v>8</v>
      </c>
      <c r="AW47" s="53">
        <v>2</v>
      </c>
      <c r="AX47" s="15">
        <v>75</v>
      </c>
      <c r="AY47" s="65">
        <f>VLOOKUP(AX47,المرجع!$B$3:$C$12,2)</f>
        <v>3.5</v>
      </c>
      <c r="AZ47" s="44" t="str">
        <f>VLOOKUP(AY47,المرجع!$C$3:$E$12,3)</f>
        <v>ج+</v>
      </c>
      <c r="BA47" s="40">
        <f t="shared" si="23"/>
        <v>7</v>
      </c>
      <c r="BB47" s="56">
        <f t="shared" si="24"/>
        <v>84</v>
      </c>
      <c r="BC47" s="58">
        <f t="shared" si="25"/>
        <v>23</v>
      </c>
      <c r="BD47" s="60">
        <f t="shared" si="26"/>
        <v>3.652173913043478</v>
      </c>
      <c r="BE47" s="91">
        <f>(BB47+'المستوى الثالث ح'!BB47+'المستوى الثاني 2023'!BB47+'المستوى الأول 2022'!BL47)/92</f>
        <v>3.1331521739130435</v>
      </c>
      <c r="BF47" s="59" t="str">
        <f>VLOOKUP(BD47,المرجع!$D$3:$F$12,3)</f>
        <v xml:space="preserve">جيد جدا </v>
      </c>
      <c r="BG47" s="57">
        <f t="shared" si="27"/>
        <v>45</v>
      </c>
    </row>
    <row r="48" spans="2:59" ht="24" customHeight="1">
      <c r="B48" s="31">
        <v>2023107</v>
      </c>
      <c r="C48" s="61" t="s">
        <v>93</v>
      </c>
      <c r="D48" s="53">
        <v>1</v>
      </c>
      <c r="E48" s="15">
        <v>71</v>
      </c>
      <c r="F48" s="65">
        <f>VLOOKUP(E48,المرجع!$B$3:$C$12,2)</f>
        <v>3</v>
      </c>
      <c r="G48" s="44" t="str">
        <f>VLOOKUP(F48,المرجع!$D$3:$E$12,2)</f>
        <v>ج</v>
      </c>
      <c r="H48" s="40">
        <f t="shared" si="14"/>
        <v>3</v>
      </c>
      <c r="I48" s="53">
        <v>3</v>
      </c>
      <c r="J48" s="15">
        <v>99</v>
      </c>
      <c r="K48" s="65">
        <f>VLOOKUP(J48,المرجع!$B$3:$C$12,2)</f>
        <v>5</v>
      </c>
      <c r="L48" s="44" t="str">
        <f>VLOOKUP(K48,المرجع!$C$3:$E$12,3)</f>
        <v xml:space="preserve">أ+ </v>
      </c>
      <c r="M48" s="40">
        <f t="shared" si="15"/>
        <v>15</v>
      </c>
      <c r="N48" s="53">
        <v>3</v>
      </c>
      <c r="O48" s="15">
        <v>51</v>
      </c>
      <c r="P48" s="65">
        <f>VLOOKUP(O48,المرجع!$B$3:$C$12,2)</f>
        <v>2</v>
      </c>
      <c r="Q48" s="44" t="str">
        <f>VLOOKUP(P48,المرجع!$C$3:$E$12,3)</f>
        <v>د</v>
      </c>
      <c r="R48" s="40">
        <f t="shared" si="16"/>
        <v>6</v>
      </c>
      <c r="S48" s="53">
        <v>3</v>
      </c>
      <c r="T48" s="15">
        <v>100</v>
      </c>
      <c r="U48" s="65">
        <f>VLOOKUP(T48,المرجع!$B$3:$C$12,2)</f>
        <v>5</v>
      </c>
      <c r="V48" s="44" t="str">
        <f>VLOOKUP(U48,المرجع!$C$3:$E$12,3)</f>
        <v xml:space="preserve">أ+ </v>
      </c>
      <c r="W48" s="40">
        <f t="shared" si="17"/>
        <v>15</v>
      </c>
      <c r="X48" s="53">
        <v>3</v>
      </c>
      <c r="Y48" s="15">
        <v>100</v>
      </c>
      <c r="Z48" s="65">
        <f>VLOOKUP(Y48,المرجع!$B$3:$C$12,2)</f>
        <v>5</v>
      </c>
      <c r="AA48" s="44" t="str">
        <f>VLOOKUP(Z48,المرجع!$C$3:$E$12,3)</f>
        <v xml:space="preserve">أ+ </v>
      </c>
      <c r="AB48" s="40">
        <f t="shared" si="18"/>
        <v>15</v>
      </c>
      <c r="AC48" s="53">
        <v>2</v>
      </c>
      <c r="AD48" s="15">
        <v>68</v>
      </c>
      <c r="AE48" s="65">
        <f>VLOOKUP(AD48,المرجع!$B$3:$C$12,2)</f>
        <v>2.5</v>
      </c>
      <c r="AF48" s="44" t="str">
        <f>VLOOKUP(AE48,المرجع!$C$3:$E$12,3)</f>
        <v>د+</v>
      </c>
      <c r="AG48" s="40">
        <f t="shared" si="19"/>
        <v>5</v>
      </c>
      <c r="AH48" s="53">
        <v>2</v>
      </c>
      <c r="AI48" s="15">
        <v>73</v>
      </c>
      <c r="AJ48" s="65">
        <f>VLOOKUP(AI48,المرجع!$B$3:$C$12,2)</f>
        <v>3</v>
      </c>
      <c r="AK48" s="44" t="str">
        <f>VLOOKUP(AJ48,المرجع!$C$3:$E$12,3)</f>
        <v>ج</v>
      </c>
      <c r="AL48" s="40">
        <f t="shared" si="20"/>
        <v>6</v>
      </c>
      <c r="AM48" s="53">
        <v>2</v>
      </c>
      <c r="AN48" s="15">
        <v>85</v>
      </c>
      <c r="AO48" s="65">
        <f>VLOOKUP(AN48,المرجع!$B$3:$C$12,2)</f>
        <v>4.5</v>
      </c>
      <c r="AP48" s="44" t="str">
        <f>VLOOKUP(AO48,المرجع!$C$3:$E$12,3)</f>
        <v>ب+</v>
      </c>
      <c r="AQ48" s="40">
        <f t="shared" si="21"/>
        <v>9</v>
      </c>
      <c r="AR48" s="53">
        <v>2</v>
      </c>
      <c r="AS48" s="15">
        <v>95</v>
      </c>
      <c r="AT48" s="65">
        <f>VLOOKUP(AS48,المرجع!$B$3:$C$12,2)</f>
        <v>5</v>
      </c>
      <c r="AU48" s="44" t="str">
        <f>VLOOKUP(AT48,المرجع!$C$3:$E$12,3)</f>
        <v xml:space="preserve">أ+ </v>
      </c>
      <c r="AV48" s="40">
        <f t="shared" si="22"/>
        <v>10</v>
      </c>
      <c r="AW48" s="53">
        <v>2</v>
      </c>
      <c r="AX48" s="15">
        <v>42</v>
      </c>
      <c r="AY48" s="65">
        <f>VLOOKUP(AX48,المرجع!$B$3:$C$12,2)</f>
        <v>0</v>
      </c>
      <c r="AZ48" s="44" t="str">
        <f>VLOOKUP(AY48,المرجع!$C$3:$E$12,3)</f>
        <v>ه</v>
      </c>
      <c r="BA48" s="40">
        <f t="shared" si="23"/>
        <v>0</v>
      </c>
      <c r="BB48" s="56">
        <f t="shared" si="24"/>
        <v>84</v>
      </c>
      <c r="BC48" s="58">
        <f t="shared" si="25"/>
        <v>23</v>
      </c>
      <c r="BD48" s="60">
        <f t="shared" si="26"/>
        <v>3.652173913043478</v>
      </c>
      <c r="BE48" s="91">
        <f>(BB48+'المستوى الثالث ح'!BB48+'المستوى الثاني 2023'!BB48+'المستوى الأول 2022'!BL48)/92</f>
        <v>3.0869565217391304</v>
      </c>
      <c r="BF48" s="59" t="str">
        <f>VLOOKUP(BD48,المرجع!$D$3:$F$12,3)</f>
        <v xml:space="preserve">جيد جدا </v>
      </c>
      <c r="BG48" s="57">
        <f t="shared" si="27"/>
        <v>45</v>
      </c>
    </row>
    <row r="49" spans="2:59" ht="24" customHeight="1">
      <c r="B49" s="31">
        <v>2023070</v>
      </c>
      <c r="C49" s="61" t="s">
        <v>62</v>
      </c>
      <c r="D49" s="53">
        <v>1</v>
      </c>
      <c r="E49" s="15">
        <v>65</v>
      </c>
      <c r="F49" s="65">
        <f>VLOOKUP(E49,المرجع!$B$3:$C$12,2)</f>
        <v>2.5</v>
      </c>
      <c r="G49" s="44" t="str">
        <f>VLOOKUP(F49,المرجع!$D$3:$E$12,2)</f>
        <v>د+</v>
      </c>
      <c r="H49" s="40">
        <f t="shared" si="14"/>
        <v>2.5</v>
      </c>
      <c r="I49" s="53">
        <v>3</v>
      </c>
      <c r="J49" s="15">
        <v>87</v>
      </c>
      <c r="K49" s="65">
        <f>VLOOKUP(J49,المرجع!$B$3:$C$12,2)</f>
        <v>4.5</v>
      </c>
      <c r="L49" s="44" t="str">
        <f>VLOOKUP(K49,المرجع!$C$3:$E$12,3)</f>
        <v>ب+</v>
      </c>
      <c r="M49" s="40">
        <f t="shared" si="15"/>
        <v>13.5</v>
      </c>
      <c r="N49" s="53">
        <v>3</v>
      </c>
      <c r="O49" s="15">
        <v>50</v>
      </c>
      <c r="P49" s="65">
        <f>VLOOKUP(O49,المرجع!$B$3:$C$12,2)</f>
        <v>2</v>
      </c>
      <c r="Q49" s="44" t="str">
        <f>VLOOKUP(P49,المرجع!$C$3:$E$12,3)</f>
        <v>د</v>
      </c>
      <c r="R49" s="40">
        <f t="shared" si="16"/>
        <v>6</v>
      </c>
      <c r="S49" s="53">
        <v>3</v>
      </c>
      <c r="T49" s="15">
        <v>80</v>
      </c>
      <c r="U49" s="65">
        <f>VLOOKUP(T49,المرجع!$B$3:$C$12,2)</f>
        <v>4</v>
      </c>
      <c r="V49" s="44" t="str">
        <f>VLOOKUP(U49,المرجع!$C$3:$E$12,3)</f>
        <v>ب</v>
      </c>
      <c r="W49" s="40">
        <f t="shared" si="17"/>
        <v>12</v>
      </c>
      <c r="X49" s="53">
        <v>3</v>
      </c>
      <c r="Y49" s="15">
        <v>100</v>
      </c>
      <c r="Z49" s="65">
        <f>VLOOKUP(Y49,المرجع!$B$3:$C$12,2)</f>
        <v>5</v>
      </c>
      <c r="AA49" s="44" t="str">
        <f>VLOOKUP(Z49,المرجع!$C$3:$E$12,3)</f>
        <v xml:space="preserve">أ+ </v>
      </c>
      <c r="AB49" s="40">
        <f t="shared" si="18"/>
        <v>15</v>
      </c>
      <c r="AC49" s="53">
        <v>2</v>
      </c>
      <c r="AD49" s="15">
        <v>66</v>
      </c>
      <c r="AE49" s="65">
        <f>VLOOKUP(AD49,المرجع!$B$3:$C$12,2)</f>
        <v>2.5</v>
      </c>
      <c r="AF49" s="44" t="str">
        <f>VLOOKUP(AE49,المرجع!$C$3:$E$12,3)</f>
        <v>د+</v>
      </c>
      <c r="AG49" s="40">
        <f t="shared" si="19"/>
        <v>5</v>
      </c>
      <c r="AH49" s="53">
        <v>2</v>
      </c>
      <c r="AI49" s="15">
        <v>77</v>
      </c>
      <c r="AJ49" s="65">
        <f>VLOOKUP(AI49,المرجع!$B$3:$C$12,2)</f>
        <v>3.5</v>
      </c>
      <c r="AK49" s="44" t="str">
        <f>VLOOKUP(AJ49,المرجع!$C$3:$E$12,3)</f>
        <v>ج+</v>
      </c>
      <c r="AL49" s="40">
        <f t="shared" si="20"/>
        <v>7</v>
      </c>
      <c r="AM49" s="53">
        <v>2</v>
      </c>
      <c r="AN49" s="15">
        <v>78</v>
      </c>
      <c r="AO49" s="65">
        <f>VLOOKUP(AN49,المرجع!$B$3:$C$12,2)</f>
        <v>3.5</v>
      </c>
      <c r="AP49" s="44" t="str">
        <f>VLOOKUP(AO49,المرجع!$C$3:$E$12,3)</f>
        <v>ج+</v>
      </c>
      <c r="AQ49" s="40">
        <f t="shared" si="21"/>
        <v>7</v>
      </c>
      <c r="AR49" s="53">
        <v>2</v>
      </c>
      <c r="AS49" s="15">
        <v>85</v>
      </c>
      <c r="AT49" s="65">
        <f>VLOOKUP(AS49,المرجع!$B$3:$C$12,2)</f>
        <v>4.5</v>
      </c>
      <c r="AU49" s="44" t="str">
        <f>VLOOKUP(AT49,المرجع!$C$3:$E$12,3)</f>
        <v>ب+</v>
      </c>
      <c r="AV49" s="40">
        <f t="shared" si="22"/>
        <v>9</v>
      </c>
      <c r="AW49" s="53">
        <v>2</v>
      </c>
      <c r="AX49" s="15">
        <v>69</v>
      </c>
      <c r="AY49" s="65">
        <f>VLOOKUP(AX49,المرجع!$B$3:$C$12,2)</f>
        <v>2.5</v>
      </c>
      <c r="AZ49" s="44" t="str">
        <f>VLOOKUP(AY49,المرجع!$C$3:$E$12,3)</f>
        <v>د+</v>
      </c>
      <c r="BA49" s="40">
        <f t="shared" si="23"/>
        <v>5</v>
      </c>
      <c r="BB49" s="56">
        <f t="shared" si="24"/>
        <v>82</v>
      </c>
      <c r="BC49" s="58">
        <f t="shared" si="25"/>
        <v>23</v>
      </c>
      <c r="BD49" s="60">
        <f t="shared" si="26"/>
        <v>3.5652173913043477</v>
      </c>
      <c r="BE49" s="91">
        <f>(BB49+'المستوى الثالث ح'!BB49+'المستوى الثاني 2023'!BB49+'المستوى الأول 2022'!BL49)/92</f>
        <v>3.152173913043478</v>
      </c>
      <c r="BF49" s="59" t="str">
        <f>VLOOKUP(BD49,المرجع!$D$3:$F$12,3)</f>
        <v xml:space="preserve">جيد مرتفع </v>
      </c>
      <c r="BG49" s="57">
        <f t="shared" si="27"/>
        <v>47</v>
      </c>
    </row>
    <row r="50" spans="2:59" ht="24" customHeight="1">
      <c r="B50" s="31">
        <v>2023099</v>
      </c>
      <c r="C50" s="61" t="s">
        <v>69</v>
      </c>
      <c r="D50" s="53">
        <v>1</v>
      </c>
      <c r="E50" s="15">
        <v>50</v>
      </c>
      <c r="F50" s="65">
        <f>VLOOKUP(E50,المرجع!$B$3:$C$12,2)</f>
        <v>2</v>
      </c>
      <c r="G50" s="44" t="str">
        <f>VLOOKUP(F50,المرجع!$D$3:$E$12,2)</f>
        <v>د</v>
      </c>
      <c r="H50" s="40">
        <f t="shared" si="14"/>
        <v>2</v>
      </c>
      <c r="I50" s="53">
        <v>3</v>
      </c>
      <c r="J50" s="15">
        <v>96</v>
      </c>
      <c r="K50" s="65">
        <f>VLOOKUP(J50,المرجع!$B$3:$C$12,2)</f>
        <v>5</v>
      </c>
      <c r="L50" s="44" t="str">
        <f>VLOOKUP(K50,المرجع!$C$3:$E$12,3)</f>
        <v xml:space="preserve">أ+ </v>
      </c>
      <c r="M50" s="40">
        <f t="shared" si="15"/>
        <v>15</v>
      </c>
      <c r="N50" s="53">
        <v>3</v>
      </c>
      <c r="O50" s="15">
        <v>50</v>
      </c>
      <c r="P50" s="65">
        <f>VLOOKUP(O50,المرجع!$B$3:$C$12,2)</f>
        <v>2</v>
      </c>
      <c r="Q50" s="44" t="str">
        <f>VLOOKUP(P50,المرجع!$C$3:$E$12,3)</f>
        <v>د</v>
      </c>
      <c r="R50" s="40">
        <f t="shared" si="16"/>
        <v>6</v>
      </c>
      <c r="S50" s="53">
        <v>3</v>
      </c>
      <c r="T50" s="15">
        <v>80</v>
      </c>
      <c r="U50" s="65">
        <f>VLOOKUP(T50,المرجع!$B$3:$C$12,2)</f>
        <v>4</v>
      </c>
      <c r="V50" s="44" t="str">
        <f>VLOOKUP(U50,المرجع!$C$3:$E$12,3)</f>
        <v>ب</v>
      </c>
      <c r="W50" s="40">
        <f t="shared" si="17"/>
        <v>12</v>
      </c>
      <c r="X50" s="53">
        <v>3</v>
      </c>
      <c r="Y50" s="15">
        <v>90</v>
      </c>
      <c r="Z50" s="65">
        <f>VLOOKUP(Y50,المرجع!$B$3:$C$12,2)</f>
        <v>4.75</v>
      </c>
      <c r="AA50" s="44" t="str">
        <f>VLOOKUP(Z50,المرجع!$C$3:$E$12,3)</f>
        <v>أ</v>
      </c>
      <c r="AB50" s="40">
        <f t="shared" si="18"/>
        <v>14.25</v>
      </c>
      <c r="AC50" s="53">
        <v>2</v>
      </c>
      <c r="AD50" s="15">
        <v>80</v>
      </c>
      <c r="AE50" s="65">
        <f>VLOOKUP(AD50,المرجع!$B$3:$C$12,2)</f>
        <v>4</v>
      </c>
      <c r="AF50" s="44" t="str">
        <f>VLOOKUP(AE50,المرجع!$C$3:$E$12,3)</f>
        <v>ب</v>
      </c>
      <c r="AG50" s="40">
        <f t="shared" si="19"/>
        <v>8</v>
      </c>
      <c r="AH50" s="53">
        <v>2</v>
      </c>
      <c r="AI50" s="15">
        <v>90</v>
      </c>
      <c r="AJ50" s="65">
        <f>VLOOKUP(AI50,المرجع!$B$3:$C$12,2)</f>
        <v>4.75</v>
      </c>
      <c r="AK50" s="44" t="str">
        <f>VLOOKUP(AJ50,المرجع!$C$3:$E$12,3)</f>
        <v>أ</v>
      </c>
      <c r="AL50" s="40">
        <f t="shared" si="20"/>
        <v>9.5</v>
      </c>
      <c r="AM50" s="53">
        <v>2</v>
      </c>
      <c r="AN50" s="15">
        <v>65</v>
      </c>
      <c r="AO50" s="65">
        <f>VLOOKUP(AN50,المرجع!$B$3:$C$12,2)</f>
        <v>2.5</v>
      </c>
      <c r="AP50" s="44" t="str">
        <f>VLOOKUP(AO50,المرجع!$C$3:$E$12,3)</f>
        <v>د+</v>
      </c>
      <c r="AQ50" s="40">
        <f t="shared" si="21"/>
        <v>5</v>
      </c>
      <c r="AR50" s="53">
        <v>2</v>
      </c>
      <c r="AS50" s="15">
        <v>72</v>
      </c>
      <c r="AT50" s="65">
        <f>VLOOKUP(AS50,المرجع!$B$3:$C$12,2)</f>
        <v>3</v>
      </c>
      <c r="AU50" s="44" t="str">
        <f>VLOOKUP(AT50,المرجع!$C$3:$E$12,3)</f>
        <v>ج</v>
      </c>
      <c r="AV50" s="40">
        <f t="shared" si="22"/>
        <v>6</v>
      </c>
      <c r="AW50" s="53">
        <v>2</v>
      </c>
      <c r="AX50" s="15">
        <v>52</v>
      </c>
      <c r="AY50" s="65">
        <f>VLOOKUP(AX50,المرجع!$B$3:$C$12,2)</f>
        <v>2</v>
      </c>
      <c r="AZ50" s="44" t="str">
        <f>VLOOKUP(AY50,المرجع!$C$3:$E$12,3)</f>
        <v>د</v>
      </c>
      <c r="BA50" s="40">
        <f t="shared" si="23"/>
        <v>4</v>
      </c>
      <c r="BB50" s="56">
        <f t="shared" si="24"/>
        <v>81.75</v>
      </c>
      <c r="BC50" s="58">
        <f t="shared" si="25"/>
        <v>23</v>
      </c>
      <c r="BD50" s="60">
        <f t="shared" si="26"/>
        <v>3.5543478260869565</v>
      </c>
      <c r="BE50" s="91">
        <f>(BB50+'المستوى الثالث ح'!BB50+'المستوى الثاني 2023'!BB50+'المستوى الأول 2022'!BL50)/92</f>
        <v>3.1385869565217392</v>
      </c>
      <c r="BF50" s="59" t="str">
        <f>VLOOKUP(BD50,المرجع!$D$3:$F$12,3)</f>
        <v xml:space="preserve">جيد مرتفع </v>
      </c>
      <c r="BG50" s="57">
        <f t="shared" si="27"/>
        <v>48</v>
      </c>
    </row>
    <row r="51" spans="2:59" ht="24" customHeight="1">
      <c r="B51" s="31">
        <v>2023052</v>
      </c>
      <c r="C51" s="61" t="s">
        <v>28</v>
      </c>
      <c r="D51" s="53">
        <v>1</v>
      </c>
      <c r="E51" s="15">
        <v>55</v>
      </c>
      <c r="F51" s="65">
        <f>VLOOKUP(E51,المرجع!$B$3:$C$12,2)</f>
        <v>2</v>
      </c>
      <c r="G51" s="44" t="str">
        <f>VLOOKUP(F51,المرجع!$D$3:$E$12,2)</f>
        <v>د</v>
      </c>
      <c r="H51" s="40">
        <f t="shared" si="14"/>
        <v>2</v>
      </c>
      <c r="I51" s="53">
        <v>3</v>
      </c>
      <c r="J51" s="15">
        <v>75</v>
      </c>
      <c r="K51" s="65">
        <f>VLOOKUP(J51,المرجع!$B$3:$C$12,2)</f>
        <v>3.5</v>
      </c>
      <c r="L51" s="44" t="str">
        <f>VLOOKUP(K51,المرجع!$C$3:$E$12,3)</f>
        <v>ج+</v>
      </c>
      <c r="M51" s="40">
        <f t="shared" si="15"/>
        <v>10.5</v>
      </c>
      <c r="N51" s="53">
        <v>3</v>
      </c>
      <c r="O51" s="15">
        <v>60</v>
      </c>
      <c r="P51" s="65">
        <f>VLOOKUP(O51,المرجع!$B$3:$C$12,2)</f>
        <v>2</v>
      </c>
      <c r="Q51" s="44" t="str">
        <f>VLOOKUP(P51,المرجع!$C$3:$E$12,3)</f>
        <v>د</v>
      </c>
      <c r="R51" s="40">
        <f t="shared" si="16"/>
        <v>6</v>
      </c>
      <c r="S51" s="53">
        <v>3</v>
      </c>
      <c r="T51" s="15">
        <v>95</v>
      </c>
      <c r="U51" s="65">
        <f>VLOOKUP(T51,المرجع!$B$3:$C$12,2)</f>
        <v>5</v>
      </c>
      <c r="V51" s="44" t="str">
        <f>VLOOKUP(U51,المرجع!$C$3:$E$12,3)</f>
        <v xml:space="preserve">أ+ </v>
      </c>
      <c r="W51" s="40">
        <f t="shared" si="17"/>
        <v>15</v>
      </c>
      <c r="X51" s="53">
        <v>3</v>
      </c>
      <c r="Y51" s="15">
        <v>100</v>
      </c>
      <c r="Z51" s="65">
        <f>VLOOKUP(Y51,المرجع!$B$3:$C$12,2)</f>
        <v>5</v>
      </c>
      <c r="AA51" s="44" t="str">
        <f>VLOOKUP(Z51,المرجع!$C$3:$E$12,3)</f>
        <v xml:space="preserve">أ+ </v>
      </c>
      <c r="AB51" s="40">
        <f t="shared" si="18"/>
        <v>15</v>
      </c>
      <c r="AC51" s="53">
        <v>2</v>
      </c>
      <c r="AD51" s="15">
        <v>76</v>
      </c>
      <c r="AE51" s="65">
        <f>VLOOKUP(AD51,المرجع!$B$3:$C$12,2)</f>
        <v>3.5</v>
      </c>
      <c r="AF51" s="44" t="str">
        <f>VLOOKUP(AE51,المرجع!$C$3:$E$12,3)</f>
        <v>ج+</v>
      </c>
      <c r="AG51" s="40">
        <f t="shared" si="19"/>
        <v>7</v>
      </c>
      <c r="AH51" s="53">
        <v>2</v>
      </c>
      <c r="AI51" s="15">
        <v>78</v>
      </c>
      <c r="AJ51" s="65">
        <f>VLOOKUP(AI51,المرجع!$B$3:$C$12,2)</f>
        <v>3.5</v>
      </c>
      <c r="AK51" s="44" t="str">
        <f>VLOOKUP(AJ51,المرجع!$C$3:$E$12,3)</f>
        <v>ج+</v>
      </c>
      <c r="AL51" s="40">
        <f t="shared" si="20"/>
        <v>7</v>
      </c>
      <c r="AM51" s="53">
        <v>2</v>
      </c>
      <c r="AN51" s="15">
        <v>64</v>
      </c>
      <c r="AO51" s="65">
        <f>VLOOKUP(AN51,المرجع!$B$3:$C$12,2)</f>
        <v>2</v>
      </c>
      <c r="AP51" s="44" t="str">
        <f>VLOOKUP(AO51,المرجع!$C$3:$E$12,3)</f>
        <v>د</v>
      </c>
      <c r="AQ51" s="40">
        <f t="shared" si="21"/>
        <v>4</v>
      </c>
      <c r="AR51" s="53">
        <v>2</v>
      </c>
      <c r="AS51" s="15">
        <v>88</v>
      </c>
      <c r="AT51" s="65">
        <f>VLOOKUP(AS51,المرجع!$B$3:$C$12,2)</f>
        <v>4.5</v>
      </c>
      <c r="AU51" s="44" t="str">
        <f>VLOOKUP(AT51,المرجع!$C$3:$E$12,3)</f>
        <v>ب+</v>
      </c>
      <c r="AV51" s="40">
        <f t="shared" si="22"/>
        <v>9</v>
      </c>
      <c r="AW51" s="53">
        <v>2</v>
      </c>
      <c r="AX51" s="15">
        <v>55</v>
      </c>
      <c r="AY51" s="65">
        <f>VLOOKUP(AX51,المرجع!$B$3:$C$12,2)</f>
        <v>2</v>
      </c>
      <c r="AZ51" s="44" t="str">
        <f>VLOOKUP(AY51,المرجع!$C$3:$E$12,3)</f>
        <v>د</v>
      </c>
      <c r="BA51" s="40">
        <f t="shared" si="23"/>
        <v>4</v>
      </c>
      <c r="BB51" s="56">
        <f t="shared" si="24"/>
        <v>79.5</v>
      </c>
      <c r="BC51" s="58">
        <f t="shared" si="25"/>
        <v>23</v>
      </c>
      <c r="BD51" s="60">
        <f t="shared" si="26"/>
        <v>3.4565217391304346</v>
      </c>
      <c r="BE51" s="91">
        <f>(BB51+'المستوى الثالث ح'!BB51+'المستوى الثاني 2023'!BB51+'المستوى الأول 2022'!BL51)/92</f>
        <v>3.0652173913043477</v>
      </c>
      <c r="BF51" s="59" t="str">
        <f>VLOOKUP(BD51,المرجع!$D$3:$F$12,3)</f>
        <v xml:space="preserve">جيد مرتفع </v>
      </c>
      <c r="BG51" s="57">
        <f t="shared" si="27"/>
        <v>49</v>
      </c>
    </row>
    <row r="52" spans="2:59" ht="24" customHeight="1">
      <c r="B52" s="31">
        <v>2023017</v>
      </c>
      <c r="C52" s="61" t="s">
        <v>23</v>
      </c>
      <c r="D52" s="53">
        <v>1</v>
      </c>
      <c r="E52" s="15">
        <v>50</v>
      </c>
      <c r="F52" s="65">
        <f>VLOOKUP(E52,المرجع!$B$3:$C$12,2)</f>
        <v>2</v>
      </c>
      <c r="G52" s="44" t="str">
        <f>VLOOKUP(F52,المرجع!$D$3:$E$12,2)</f>
        <v>د</v>
      </c>
      <c r="H52" s="40">
        <f t="shared" si="14"/>
        <v>2</v>
      </c>
      <c r="I52" s="53">
        <v>3</v>
      </c>
      <c r="J52" s="15">
        <v>92</v>
      </c>
      <c r="K52" s="65">
        <f>VLOOKUP(J52,المرجع!$B$3:$C$12,2)</f>
        <v>4.75</v>
      </c>
      <c r="L52" s="44" t="str">
        <f>VLOOKUP(K52,المرجع!$C$3:$E$12,3)</f>
        <v>أ</v>
      </c>
      <c r="M52" s="40">
        <f t="shared" si="15"/>
        <v>14.25</v>
      </c>
      <c r="N52" s="53">
        <v>3</v>
      </c>
      <c r="O52" s="15">
        <v>67</v>
      </c>
      <c r="P52" s="65">
        <f>VLOOKUP(O52,المرجع!$B$3:$C$12,2)</f>
        <v>2.5</v>
      </c>
      <c r="Q52" s="44" t="str">
        <f>VLOOKUP(P52,المرجع!$C$3:$E$12,3)</f>
        <v>د+</v>
      </c>
      <c r="R52" s="40">
        <f t="shared" si="16"/>
        <v>7.5</v>
      </c>
      <c r="S52" s="53">
        <v>3</v>
      </c>
      <c r="T52" s="15">
        <v>90</v>
      </c>
      <c r="U52" s="65">
        <f>VLOOKUP(T52,المرجع!$B$3:$C$12,2)</f>
        <v>4.75</v>
      </c>
      <c r="V52" s="44" t="str">
        <f>VLOOKUP(U52,المرجع!$C$3:$E$12,3)</f>
        <v>أ</v>
      </c>
      <c r="W52" s="40">
        <f t="shared" si="17"/>
        <v>14.25</v>
      </c>
      <c r="X52" s="53">
        <v>3</v>
      </c>
      <c r="Y52" s="15">
        <v>95</v>
      </c>
      <c r="Z52" s="65">
        <f>VLOOKUP(Y52,المرجع!$B$3:$C$12,2)</f>
        <v>5</v>
      </c>
      <c r="AA52" s="44" t="str">
        <f>VLOOKUP(Z52,المرجع!$C$3:$E$12,3)</f>
        <v xml:space="preserve">أ+ </v>
      </c>
      <c r="AB52" s="40">
        <f t="shared" si="18"/>
        <v>15</v>
      </c>
      <c r="AC52" s="53">
        <v>2</v>
      </c>
      <c r="AD52" s="15">
        <v>68</v>
      </c>
      <c r="AE52" s="65">
        <f>VLOOKUP(AD52,المرجع!$B$3:$C$12,2)</f>
        <v>2.5</v>
      </c>
      <c r="AF52" s="44" t="str">
        <f>VLOOKUP(AE52,المرجع!$C$3:$E$12,3)</f>
        <v>د+</v>
      </c>
      <c r="AG52" s="40">
        <f t="shared" si="19"/>
        <v>5</v>
      </c>
      <c r="AH52" s="53">
        <v>2</v>
      </c>
      <c r="AI52" s="15">
        <v>74</v>
      </c>
      <c r="AJ52" s="65">
        <f>VLOOKUP(AI52,المرجع!$B$3:$C$12,2)</f>
        <v>3</v>
      </c>
      <c r="AK52" s="44" t="str">
        <f>VLOOKUP(AJ52,المرجع!$C$3:$E$12,3)</f>
        <v>ج</v>
      </c>
      <c r="AL52" s="40">
        <f t="shared" si="20"/>
        <v>6</v>
      </c>
      <c r="AM52" s="53">
        <v>2</v>
      </c>
      <c r="AN52" s="15">
        <v>50</v>
      </c>
      <c r="AO52" s="65">
        <f>VLOOKUP(AN52,المرجع!$B$3:$C$12,2)</f>
        <v>2</v>
      </c>
      <c r="AP52" s="44" t="str">
        <f>VLOOKUP(AO52,المرجع!$C$3:$E$12,3)</f>
        <v>د</v>
      </c>
      <c r="AQ52" s="40">
        <f t="shared" si="21"/>
        <v>4</v>
      </c>
      <c r="AR52" s="53">
        <v>2</v>
      </c>
      <c r="AS52" s="15">
        <v>75</v>
      </c>
      <c r="AT52" s="65">
        <f>VLOOKUP(AS52,المرجع!$B$3:$C$12,2)</f>
        <v>3.5</v>
      </c>
      <c r="AU52" s="44" t="str">
        <f>VLOOKUP(AT52,المرجع!$C$3:$E$12,3)</f>
        <v>ج+</v>
      </c>
      <c r="AV52" s="40">
        <f t="shared" si="22"/>
        <v>7</v>
      </c>
      <c r="AW52" s="53">
        <v>2</v>
      </c>
      <c r="AX52" s="15">
        <v>57</v>
      </c>
      <c r="AY52" s="65">
        <f>VLOOKUP(AX52,المرجع!$B$3:$C$12,2)</f>
        <v>2</v>
      </c>
      <c r="AZ52" s="44" t="str">
        <f>VLOOKUP(AY52,المرجع!$C$3:$E$12,3)</f>
        <v>د</v>
      </c>
      <c r="BA52" s="40">
        <f t="shared" si="23"/>
        <v>4</v>
      </c>
      <c r="BB52" s="56">
        <f t="shared" si="24"/>
        <v>79</v>
      </c>
      <c r="BC52" s="58">
        <f t="shared" si="25"/>
        <v>23</v>
      </c>
      <c r="BD52" s="60">
        <f t="shared" si="26"/>
        <v>3.4347826086956523</v>
      </c>
      <c r="BE52" s="91">
        <f>(BB52+'المستوى الثالث ح'!BB52+'المستوى الثاني 2023'!BB52+'المستوى الأول 2022'!BL52)/92</f>
        <v>3.027173913043478</v>
      </c>
      <c r="BF52" s="59" t="str">
        <f>VLOOKUP(BD52,المرجع!$D$3:$F$12,3)</f>
        <v xml:space="preserve">جيد مرتفع </v>
      </c>
      <c r="BG52" s="57">
        <f t="shared" si="27"/>
        <v>50</v>
      </c>
    </row>
    <row r="53" spans="2:59" ht="24" customHeight="1">
      <c r="B53" s="31">
        <v>2023032</v>
      </c>
      <c r="C53" s="61" t="s">
        <v>26</v>
      </c>
      <c r="D53" s="53">
        <v>1</v>
      </c>
      <c r="E53" s="15">
        <v>88</v>
      </c>
      <c r="F53" s="65">
        <f>VLOOKUP(E53,المرجع!$B$3:$C$12,2)</f>
        <v>4.5</v>
      </c>
      <c r="G53" s="44" t="str">
        <f>VLOOKUP(F53,المرجع!$D$3:$E$12,2)</f>
        <v>ب+</v>
      </c>
      <c r="H53" s="40">
        <f t="shared" si="14"/>
        <v>4.5</v>
      </c>
      <c r="I53" s="53">
        <v>3</v>
      </c>
      <c r="J53" s="15">
        <v>95</v>
      </c>
      <c r="K53" s="65">
        <f>VLOOKUP(J53,المرجع!$B$3:$C$12,2)</f>
        <v>5</v>
      </c>
      <c r="L53" s="44" t="str">
        <f>VLOOKUP(K53,المرجع!$C$3:$E$12,3)</f>
        <v xml:space="preserve">أ+ </v>
      </c>
      <c r="M53" s="40">
        <f t="shared" si="15"/>
        <v>15</v>
      </c>
      <c r="N53" s="53">
        <v>3</v>
      </c>
      <c r="O53" s="15">
        <v>50</v>
      </c>
      <c r="P53" s="65">
        <f>VLOOKUP(O53,المرجع!$B$3:$C$12,2)</f>
        <v>2</v>
      </c>
      <c r="Q53" s="44" t="str">
        <f>VLOOKUP(P53,المرجع!$C$3:$E$12,3)</f>
        <v>د</v>
      </c>
      <c r="R53" s="40">
        <f t="shared" si="16"/>
        <v>6</v>
      </c>
      <c r="S53" s="53">
        <v>3</v>
      </c>
      <c r="T53" s="15">
        <v>50</v>
      </c>
      <c r="U53" s="65">
        <f>VLOOKUP(T53,المرجع!$B$3:$C$12,2)</f>
        <v>2</v>
      </c>
      <c r="V53" s="44" t="str">
        <f>VLOOKUP(U53,المرجع!$C$3:$E$12,3)</f>
        <v>د</v>
      </c>
      <c r="W53" s="40">
        <f t="shared" si="17"/>
        <v>6</v>
      </c>
      <c r="X53" s="53">
        <v>3</v>
      </c>
      <c r="Y53" s="15">
        <v>90</v>
      </c>
      <c r="Z53" s="65">
        <f>VLOOKUP(Y53,المرجع!$B$3:$C$12,2)</f>
        <v>4.75</v>
      </c>
      <c r="AA53" s="44" t="str">
        <f>VLOOKUP(Z53,المرجع!$C$3:$E$12,3)</f>
        <v>أ</v>
      </c>
      <c r="AB53" s="40">
        <f t="shared" si="18"/>
        <v>14.25</v>
      </c>
      <c r="AC53" s="53">
        <v>2</v>
      </c>
      <c r="AD53" s="15">
        <v>74</v>
      </c>
      <c r="AE53" s="65">
        <f>VLOOKUP(AD53,المرجع!$B$3:$C$12,2)</f>
        <v>3</v>
      </c>
      <c r="AF53" s="44" t="str">
        <f>VLOOKUP(AE53,المرجع!$C$3:$E$12,3)</f>
        <v>ج</v>
      </c>
      <c r="AG53" s="40">
        <f t="shared" si="19"/>
        <v>6</v>
      </c>
      <c r="AH53" s="53">
        <v>2</v>
      </c>
      <c r="AI53" s="15">
        <v>77</v>
      </c>
      <c r="AJ53" s="65">
        <f>VLOOKUP(AI53,المرجع!$B$3:$C$12,2)</f>
        <v>3.5</v>
      </c>
      <c r="AK53" s="44" t="str">
        <f>VLOOKUP(AJ53,المرجع!$C$3:$E$12,3)</f>
        <v>ج+</v>
      </c>
      <c r="AL53" s="40">
        <f t="shared" si="20"/>
        <v>7</v>
      </c>
      <c r="AM53" s="53">
        <v>2</v>
      </c>
      <c r="AN53" s="15">
        <v>69</v>
      </c>
      <c r="AO53" s="65">
        <f>VLOOKUP(AN53,المرجع!$B$3:$C$12,2)</f>
        <v>2.5</v>
      </c>
      <c r="AP53" s="44" t="str">
        <f>VLOOKUP(AO53,المرجع!$C$3:$E$12,3)</f>
        <v>د+</v>
      </c>
      <c r="AQ53" s="40">
        <f t="shared" si="21"/>
        <v>5</v>
      </c>
      <c r="AR53" s="53">
        <v>2</v>
      </c>
      <c r="AS53" s="15">
        <v>83</v>
      </c>
      <c r="AT53" s="65">
        <f>VLOOKUP(AS53,المرجع!$B$3:$C$12,2)</f>
        <v>4</v>
      </c>
      <c r="AU53" s="44" t="str">
        <f>VLOOKUP(AT53,المرجع!$C$3:$E$12,3)</f>
        <v>ب</v>
      </c>
      <c r="AV53" s="40">
        <f t="shared" si="22"/>
        <v>8</v>
      </c>
      <c r="AW53" s="53">
        <v>2</v>
      </c>
      <c r="AX53" s="15">
        <v>78</v>
      </c>
      <c r="AY53" s="65">
        <f>VLOOKUP(AX53,المرجع!$B$3:$C$12,2)</f>
        <v>3.5</v>
      </c>
      <c r="AZ53" s="44" t="str">
        <f>VLOOKUP(AY53,المرجع!$C$3:$E$12,3)</f>
        <v>ج+</v>
      </c>
      <c r="BA53" s="40">
        <f t="shared" si="23"/>
        <v>7</v>
      </c>
      <c r="BB53" s="56">
        <f t="shared" si="24"/>
        <v>78.75</v>
      </c>
      <c r="BC53" s="58">
        <f t="shared" si="25"/>
        <v>23</v>
      </c>
      <c r="BD53" s="60">
        <f t="shared" si="26"/>
        <v>3.4239130434782608</v>
      </c>
      <c r="BE53" s="91">
        <f>(BB53+'المستوى الثالث ح'!BB53+'المستوى الثاني 2023'!BB53+'المستوى الأول 2022'!BL53)/92</f>
        <v>3.0217391304347827</v>
      </c>
      <c r="BF53" s="59" t="str">
        <f>VLOOKUP(BD53,المرجع!$D$3:$F$12,3)</f>
        <v xml:space="preserve">جيد مرتفع </v>
      </c>
      <c r="BG53" s="57">
        <f t="shared" si="27"/>
        <v>51</v>
      </c>
    </row>
    <row r="54" spans="2:59" ht="24" customHeight="1">
      <c r="B54" s="31">
        <v>2023022</v>
      </c>
      <c r="C54" s="61" t="s">
        <v>16</v>
      </c>
      <c r="D54" s="53">
        <v>1</v>
      </c>
      <c r="E54" s="15">
        <v>84</v>
      </c>
      <c r="F54" s="65">
        <f>VLOOKUP(E54,المرجع!$B$3:$C$12,2)</f>
        <v>4</v>
      </c>
      <c r="G54" s="44" t="str">
        <f>VLOOKUP(F54,المرجع!$D$3:$E$12,2)</f>
        <v>ب</v>
      </c>
      <c r="H54" s="40">
        <f t="shared" si="14"/>
        <v>4</v>
      </c>
      <c r="I54" s="53">
        <v>3</v>
      </c>
      <c r="J54" s="15">
        <v>100</v>
      </c>
      <c r="K54" s="65">
        <f>VLOOKUP(J54,المرجع!$B$3:$C$12,2)</f>
        <v>5</v>
      </c>
      <c r="L54" s="44" t="str">
        <f>VLOOKUP(K54,المرجع!$C$3:$E$12,3)</f>
        <v xml:space="preserve">أ+ </v>
      </c>
      <c r="M54" s="40">
        <f t="shared" si="15"/>
        <v>15</v>
      </c>
      <c r="N54" s="53">
        <v>3</v>
      </c>
      <c r="O54" s="15">
        <v>59</v>
      </c>
      <c r="P54" s="65">
        <f>VLOOKUP(O54,المرجع!$B$3:$C$12,2)</f>
        <v>2</v>
      </c>
      <c r="Q54" s="44" t="str">
        <f>VLOOKUP(P54,المرجع!$C$3:$E$12,3)</f>
        <v>د</v>
      </c>
      <c r="R54" s="40">
        <f t="shared" si="16"/>
        <v>6</v>
      </c>
      <c r="S54" s="53">
        <v>3</v>
      </c>
      <c r="T54" s="15">
        <v>60</v>
      </c>
      <c r="U54" s="65">
        <f>VLOOKUP(T54,المرجع!$B$3:$C$12,2)</f>
        <v>2</v>
      </c>
      <c r="V54" s="44" t="str">
        <f>VLOOKUP(U54,المرجع!$C$3:$E$12,3)</f>
        <v>د</v>
      </c>
      <c r="W54" s="40">
        <f t="shared" si="17"/>
        <v>6</v>
      </c>
      <c r="X54" s="53">
        <v>3</v>
      </c>
      <c r="Y54" s="15">
        <v>100</v>
      </c>
      <c r="Z54" s="65">
        <f>VLOOKUP(Y54,المرجع!$B$3:$C$12,2)</f>
        <v>5</v>
      </c>
      <c r="AA54" s="44" t="str">
        <f>VLOOKUP(Z54,المرجع!$C$3:$E$12,3)</f>
        <v xml:space="preserve">أ+ </v>
      </c>
      <c r="AB54" s="40">
        <f t="shared" si="18"/>
        <v>15</v>
      </c>
      <c r="AC54" s="53">
        <v>2</v>
      </c>
      <c r="AD54" s="15">
        <v>74</v>
      </c>
      <c r="AE54" s="65">
        <f>VLOOKUP(AD54,المرجع!$B$3:$C$12,2)</f>
        <v>3</v>
      </c>
      <c r="AF54" s="44" t="str">
        <f>VLOOKUP(AE54,المرجع!$C$3:$E$12,3)</f>
        <v>ج</v>
      </c>
      <c r="AG54" s="40">
        <f t="shared" si="19"/>
        <v>6</v>
      </c>
      <c r="AH54" s="53">
        <v>2</v>
      </c>
      <c r="AI54" s="15">
        <v>84</v>
      </c>
      <c r="AJ54" s="65">
        <f>VLOOKUP(AI54,المرجع!$B$3:$C$12,2)</f>
        <v>4</v>
      </c>
      <c r="AK54" s="44" t="str">
        <f>VLOOKUP(AJ54,المرجع!$C$3:$E$12,3)</f>
        <v>ب</v>
      </c>
      <c r="AL54" s="40">
        <f t="shared" si="20"/>
        <v>8</v>
      </c>
      <c r="AM54" s="53">
        <v>2</v>
      </c>
      <c r="AN54" s="15">
        <v>74</v>
      </c>
      <c r="AO54" s="65">
        <f>VLOOKUP(AN54,المرجع!$B$3:$C$12,2)</f>
        <v>3</v>
      </c>
      <c r="AP54" s="44" t="str">
        <f>VLOOKUP(AO54,المرجع!$C$3:$E$12,3)</f>
        <v>ج</v>
      </c>
      <c r="AQ54" s="40">
        <f t="shared" si="21"/>
        <v>6</v>
      </c>
      <c r="AR54" s="53">
        <v>2</v>
      </c>
      <c r="AS54" s="15">
        <v>71</v>
      </c>
      <c r="AT54" s="65">
        <f>VLOOKUP(AS54,المرجع!$B$3:$C$12,2)</f>
        <v>3</v>
      </c>
      <c r="AU54" s="44" t="str">
        <f>VLOOKUP(AT54,المرجع!$C$3:$E$12,3)</f>
        <v>ج</v>
      </c>
      <c r="AV54" s="40">
        <f t="shared" si="22"/>
        <v>6</v>
      </c>
      <c r="AW54" s="53">
        <v>2</v>
      </c>
      <c r="AX54" s="15">
        <v>72</v>
      </c>
      <c r="AY54" s="65">
        <f>VLOOKUP(AX54,المرجع!$B$3:$C$12,2)</f>
        <v>3</v>
      </c>
      <c r="AZ54" s="44" t="str">
        <f>VLOOKUP(AY54,المرجع!$C$3:$E$12,3)</f>
        <v>ج</v>
      </c>
      <c r="BA54" s="40">
        <f t="shared" si="23"/>
        <v>6</v>
      </c>
      <c r="BB54" s="56">
        <f t="shared" si="24"/>
        <v>78</v>
      </c>
      <c r="BC54" s="58">
        <f t="shared" si="25"/>
        <v>23</v>
      </c>
      <c r="BD54" s="60">
        <f t="shared" si="26"/>
        <v>3.3913043478260869</v>
      </c>
      <c r="BE54" s="91">
        <f>(BB54+'المستوى الثالث ح'!BB54+'المستوى الثاني 2023'!BB54+'المستوى الأول 2022'!BL54)/92</f>
        <v>2.964673913043478</v>
      </c>
      <c r="BF54" s="59" t="str">
        <f>VLOOKUP(BD54,المرجع!$D$3:$F$12,3)</f>
        <v xml:space="preserve">جيد مرتفع </v>
      </c>
      <c r="BG54" s="57">
        <f t="shared" si="27"/>
        <v>52</v>
      </c>
    </row>
    <row r="55" spans="2:59" ht="24" customHeight="1">
      <c r="B55" s="31">
        <v>2023100</v>
      </c>
      <c r="C55" s="61" t="s">
        <v>72</v>
      </c>
      <c r="D55" s="53">
        <v>1</v>
      </c>
      <c r="E55" s="15">
        <v>58</v>
      </c>
      <c r="F55" s="65">
        <f>VLOOKUP(E55,المرجع!$B$3:$C$12,2)</f>
        <v>2</v>
      </c>
      <c r="G55" s="44" t="str">
        <f>VLOOKUP(F55,المرجع!$D$3:$E$12,2)</f>
        <v>د</v>
      </c>
      <c r="H55" s="40">
        <f t="shared" si="14"/>
        <v>2</v>
      </c>
      <c r="I55" s="53">
        <v>3</v>
      </c>
      <c r="J55" s="15">
        <v>90</v>
      </c>
      <c r="K55" s="65">
        <f>VLOOKUP(J55,المرجع!$B$3:$C$12,2)</f>
        <v>4.75</v>
      </c>
      <c r="L55" s="44" t="str">
        <f>VLOOKUP(K55,المرجع!$C$3:$E$12,3)</f>
        <v>أ</v>
      </c>
      <c r="M55" s="40">
        <f t="shared" si="15"/>
        <v>14.25</v>
      </c>
      <c r="N55" s="53">
        <v>3</v>
      </c>
      <c r="O55" s="15">
        <v>26</v>
      </c>
      <c r="P55" s="65">
        <f>VLOOKUP(O55,المرجع!$B$3:$C$12,2)</f>
        <v>0</v>
      </c>
      <c r="Q55" s="44" t="str">
        <f>VLOOKUP(P55,المرجع!$C$3:$E$12,3)</f>
        <v>ه</v>
      </c>
      <c r="R55" s="40">
        <f t="shared" si="16"/>
        <v>0</v>
      </c>
      <c r="S55" s="53">
        <v>3</v>
      </c>
      <c r="T55" s="15">
        <v>100</v>
      </c>
      <c r="U55" s="65">
        <f>VLOOKUP(T55,المرجع!$B$3:$C$12,2)</f>
        <v>5</v>
      </c>
      <c r="V55" s="44" t="str">
        <f>VLOOKUP(U55,المرجع!$C$3:$E$12,3)</f>
        <v xml:space="preserve">أ+ </v>
      </c>
      <c r="W55" s="40">
        <f t="shared" si="17"/>
        <v>15</v>
      </c>
      <c r="X55" s="53">
        <v>3</v>
      </c>
      <c r="Y55" s="15">
        <v>99</v>
      </c>
      <c r="Z55" s="65">
        <f>VLOOKUP(Y55,المرجع!$B$3:$C$12,2)</f>
        <v>5</v>
      </c>
      <c r="AA55" s="44" t="str">
        <f>VLOOKUP(Z55,المرجع!$C$3:$E$12,3)</f>
        <v xml:space="preserve">أ+ </v>
      </c>
      <c r="AB55" s="40">
        <f t="shared" si="18"/>
        <v>15</v>
      </c>
      <c r="AC55" s="53">
        <v>2</v>
      </c>
      <c r="AD55" s="15">
        <v>73</v>
      </c>
      <c r="AE55" s="65">
        <f>VLOOKUP(AD55,المرجع!$B$3:$C$12,2)</f>
        <v>3</v>
      </c>
      <c r="AF55" s="44" t="str">
        <f>VLOOKUP(AE55,المرجع!$C$3:$E$12,3)</f>
        <v>ج</v>
      </c>
      <c r="AG55" s="40">
        <f t="shared" si="19"/>
        <v>6</v>
      </c>
      <c r="AH55" s="53">
        <v>2</v>
      </c>
      <c r="AI55" s="15">
        <v>82</v>
      </c>
      <c r="AJ55" s="65">
        <f>VLOOKUP(AI55,المرجع!$B$3:$C$12,2)</f>
        <v>4</v>
      </c>
      <c r="AK55" s="44" t="str">
        <f>VLOOKUP(AJ55,المرجع!$C$3:$E$12,3)</f>
        <v>ب</v>
      </c>
      <c r="AL55" s="40">
        <f t="shared" si="20"/>
        <v>8</v>
      </c>
      <c r="AM55" s="53">
        <v>2</v>
      </c>
      <c r="AN55" s="15">
        <v>63</v>
      </c>
      <c r="AO55" s="65">
        <f>VLOOKUP(AN55,المرجع!$B$3:$C$12,2)</f>
        <v>2</v>
      </c>
      <c r="AP55" s="44" t="str">
        <f>VLOOKUP(AO55,المرجع!$C$3:$E$12,3)</f>
        <v>د</v>
      </c>
      <c r="AQ55" s="40">
        <f t="shared" si="21"/>
        <v>4</v>
      </c>
      <c r="AR55" s="53">
        <v>2</v>
      </c>
      <c r="AS55" s="15">
        <v>90</v>
      </c>
      <c r="AT55" s="65">
        <f>VLOOKUP(AS55,المرجع!$B$3:$C$12,2)</f>
        <v>4.75</v>
      </c>
      <c r="AU55" s="44" t="str">
        <f>VLOOKUP(AT55,المرجع!$C$3:$E$12,3)</f>
        <v>أ</v>
      </c>
      <c r="AV55" s="40">
        <f t="shared" si="22"/>
        <v>9.5</v>
      </c>
      <c r="AW55" s="53">
        <v>2</v>
      </c>
      <c r="AX55" s="15">
        <v>64</v>
      </c>
      <c r="AY55" s="65">
        <f>VLOOKUP(AX55,المرجع!$B$3:$C$12,2)</f>
        <v>2</v>
      </c>
      <c r="AZ55" s="44" t="str">
        <f>VLOOKUP(AY55,المرجع!$C$3:$E$12,3)</f>
        <v>د</v>
      </c>
      <c r="BA55" s="40">
        <f t="shared" si="23"/>
        <v>4</v>
      </c>
      <c r="BB55" s="56">
        <f t="shared" si="24"/>
        <v>77.75</v>
      </c>
      <c r="BC55" s="58">
        <f t="shared" si="25"/>
        <v>23</v>
      </c>
      <c r="BD55" s="60">
        <f t="shared" si="26"/>
        <v>3.3804347826086958</v>
      </c>
      <c r="BE55" s="91">
        <f>(BB55+'المستوى الثالث ح'!BB55+'المستوى الثاني 2023'!BB55+'المستوى الأول 2022'!BL55)/92</f>
        <v>2.8940217391304346</v>
      </c>
      <c r="BF55" s="59" t="str">
        <f>VLOOKUP(BD55,المرجع!$D$3:$F$12,3)</f>
        <v xml:space="preserve">جيد مرتفع </v>
      </c>
      <c r="BG55" s="57">
        <f t="shared" si="27"/>
        <v>53</v>
      </c>
    </row>
    <row r="56" spans="2:59" ht="24" customHeight="1">
      <c r="B56" s="31">
        <v>2023111</v>
      </c>
      <c r="C56" s="61" t="s">
        <v>79</v>
      </c>
      <c r="D56" s="53">
        <v>1</v>
      </c>
      <c r="E56" s="15">
        <v>28</v>
      </c>
      <c r="F56" s="65">
        <f>VLOOKUP(E56,المرجع!$B$3:$C$12,2)</f>
        <v>0</v>
      </c>
      <c r="G56" s="44" t="str">
        <f>VLOOKUP(F56,المرجع!$D$3:$E$12,2)</f>
        <v>ه</v>
      </c>
      <c r="H56" s="40">
        <f t="shared" si="14"/>
        <v>0</v>
      </c>
      <c r="I56" s="53">
        <v>3</v>
      </c>
      <c r="J56" s="15">
        <v>100</v>
      </c>
      <c r="K56" s="65">
        <f>VLOOKUP(J56,المرجع!$B$3:$C$12,2)</f>
        <v>5</v>
      </c>
      <c r="L56" s="44" t="str">
        <f>VLOOKUP(K56,المرجع!$C$3:$E$12,3)</f>
        <v xml:space="preserve">أ+ </v>
      </c>
      <c r="M56" s="40">
        <f t="shared" si="15"/>
        <v>15</v>
      </c>
      <c r="N56" s="53">
        <v>3</v>
      </c>
      <c r="O56" s="15">
        <v>15</v>
      </c>
      <c r="P56" s="65">
        <f>VLOOKUP(O56,المرجع!$B$3:$C$12,2)</f>
        <v>0</v>
      </c>
      <c r="Q56" s="44" t="str">
        <f>VLOOKUP(P56,المرجع!$C$3:$E$12,3)</f>
        <v>ه</v>
      </c>
      <c r="R56" s="40">
        <f t="shared" si="16"/>
        <v>0</v>
      </c>
      <c r="S56" s="53">
        <v>3</v>
      </c>
      <c r="T56" s="15">
        <v>85</v>
      </c>
      <c r="U56" s="65">
        <f>VLOOKUP(T56,المرجع!$B$3:$C$12,2)</f>
        <v>4.5</v>
      </c>
      <c r="V56" s="44" t="str">
        <f>VLOOKUP(U56,المرجع!$C$3:$E$12,3)</f>
        <v>ب+</v>
      </c>
      <c r="W56" s="40">
        <f t="shared" si="17"/>
        <v>13.5</v>
      </c>
      <c r="X56" s="53">
        <v>3</v>
      </c>
      <c r="Y56" s="15">
        <v>100</v>
      </c>
      <c r="Z56" s="65">
        <f>VLOOKUP(Y56,المرجع!$B$3:$C$12,2)</f>
        <v>5</v>
      </c>
      <c r="AA56" s="44" t="str">
        <f>VLOOKUP(Z56,المرجع!$C$3:$E$12,3)</f>
        <v xml:space="preserve">أ+ </v>
      </c>
      <c r="AB56" s="40">
        <f t="shared" si="18"/>
        <v>15</v>
      </c>
      <c r="AC56" s="53">
        <v>2</v>
      </c>
      <c r="AD56" s="15">
        <v>79</v>
      </c>
      <c r="AE56" s="65">
        <f>VLOOKUP(AD56,المرجع!$B$3:$C$12,2)</f>
        <v>3.5</v>
      </c>
      <c r="AF56" s="44" t="str">
        <f>VLOOKUP(AE56,المرجع!$C$3:$E$12,3)</f>
        <v>ج+</v>
      </c>
      <c r="AG56" s="40">
        <f t="shared" si="19"/>
        <v>7</v>
      </c>
      <c r="AH56" s="53">
        <v>2</v>
      </c>
      <c r="AI56" s="15">
        <v>87</v>
      </c>
      <c r="AJ56" s="65">
        <f>VLOOKUP(AI56,المرجع!$B$3:$C$12,2)</f>
        <v>4.5</v>
      </c>
      <c r="AK56" s="44" t="str">
        <f>VLOOKUP(AJ56,المرجع!$C$3:$E$12,3)</f>
        <v>ب+</v>
      </c>
      <c r="AL56" s="40">
        <f t="shared" si="20"/>
        <v>9</v>
      </c>
      <c r="AM56" s="53">
        <v>2</v>
      </c>
      <c r="AN56" s="15">
        <v>54</v>
      </c>
      <c r="AO56" s="65">
        <f>VLOOKUP(AN56,المرجع!$B$3:$C$12,2)</f>
        <v>2</v>
      </c>
      <c r="AP56" s="44" t="str">
        <f>VLOOKUP(AO56,المرجع!$C$3:$E$12,3)</f>
        <v>د</v>
      </c>
      <c r="AQ56" s="40">
        <f t="shared" si="21"/>
        <v>4</v>
      </c>
      <c r="AR56" s="53">
        <v>2</v>
      </c>
      <c r="AS56" s="15">
        <v>85</v>
      </c>
      <c r="AT56" s="65">
        <f>VLOOKUP(AS56,المرجع!$B$3:$C$12,2)</f>
        <v>4.5</v>
      </c>
      <c r="AU56" s="44" t="str">
        <f>VLOOKUP(AT56,المرجع!$C$3:$E$12,3)</f>
        <v>ب+</v>
      </c>
      <c r="AV56" s="40">
        <f t="shared" si="22"/>
        <v>9</v>
      </c>
      <c r="AW56" s="53">
        <v>2</v>
      </c>
      <c r="AX56" s="15">
        <v>57</v>
      </c>
      <c r="AY56" s="65">
        <f>VLOOKUP(AX56,المرجع!$B$3:$C$12,2)</f>
        <v>2</v>
      </c>
      <c r="AZ56" s="44" t="str">
        <f>VLOOKUP(AY56,المرجع!$C$3:$E$12,3)</f>
        <v>د</v>
      </c>
      <c r="BA56" s="40">
        <f t="shared" si="23"/>
        <v>4</v>
      </c>
      <c r="BB56" s="56">
        <f t="shared" si="24"/>
        <v>76.5</v>
      </c>
      <c r="BC56" s="58">
        <f t="shared" si="25"/>
        <v>23</v>
      </c>
      <c r="BD56" s="60">
        <f t="shared" si="26"/>
        <v>3.3260869565217392</v>
      </c>
      <c r="BE56" s="91">
        <f>(BB56+'المستوى الثالث ح'!BB56+'المستوى الثاني 2023'!BB56+'المستوى الأول 2022'!BL56)/92</f>
        <v>2.9402173913043477</v>
      </c>
      <c r="BF56" s="59" t="str">
        <f>VLOOKUP(BD56,المرجع!$D$3:$F$12,3)</f>
        <v xml:space="preserve">جيد مرتفع </v>
      </c>
      <c r="BG56" s="57">
        <f t="shared" si="27"/>
        <v>54</v>
      </c>
    </row>
    <row r="57" spans="2:59" ht="24" customHeight="1">
      <c r="B57" s="31">
        <v>2023094</v>
      </c>
      <c r="C57" s="61" t="s">
        <v>74</v>
      </c>
      <c r="D57" s="53">
        <v>1</v>
      </c>
      <c r="E57" s="15">
        <v>50</v>
      </c>
      <c r="F57" s="65">
        <f>VLOOKUP(E57,المرجع!$B$3:$C$12,2)</f>
        <v>2</v>
      </c>
      <c r="G57" s="44" t="str">
        <f>VLOOKUP(F57,المرجع!$D$3:$E$12,2)</f>
        <v>د</v>
      </c>
      <c r="H57" s="40">
        <f t="shared" si="14"/>
        <v>2</v>
      </c>
      <c r="I57" s="53">
        <v>3</v>
      </c>
      <c r="J57" s="15">
        <v>90</v>
      </c>
      <c r="K57" s="65">
        <f>VLOOKUP(J57,المرجع!$B$3:$C$12,2)</f>
        <v>4.75</v>
      </c>
      <c r="L57" s="44" t="str">
        <f>VLOOKUP(K57,المرجع!$C$3:$E$12,3)</f>
        <v>أ</v>
      </c>
      <c r="M57" s="40">
        <f t="shared" si="15"/>
        <v>14.25</v>
      </c>
      <c r="N57" s="53">
        <v>3</v>
      </c>
      <c r="O57" s="15">
        <v>35</v>
      </c>
      <c r="P57" s="65">
        <f>VLOOKUP(O57,المرجع!$B$3:$C$12,2)</f>
        <v>0</v>
      </c>
      <c r="Q57" s="44" t="str">
        <f>VLOOKUP(P57,المرجع!$C$3:$E$12,3)</f>
        <v>ه</v>
      </c>
      <c r="R57" s="40">
        <f t="shared" si="16"/>
        <v>0</v>
      </c>
      <c r="S57" s="53">
        <v>3</v>
      </c>
      <c r="T57" s="15">
        <v>85</v>
      </c>
      <c r="U57" s="65">
        <f>VLOOKUP(T57,المرجع!$B$3:$C$12,2)</f>
        <v>4.5</v>
      </c>
      <c r="V57" s="44" t="str">
        <f>VLOOKUP(U57,المرجع!$C$3:$E$12,3)</f>
        <v>ب+</v>
      </c>
      <c r="W57" s="40">
        <f t="shared" si="17"/>
        <v>13.5</v>
      </c>
      <c r="X57" s="53">
        <v>3</v>
      </c>
      <c r="Y57" s="15">
        <v>99</v>
      </c>
      <c r="Z57" s="65">
        <f>VLOOKUP(Y57,المرجع!$B$3:$C$12,2)</f>
        <v>5</v>
      </c>
      <c r="AA57" s="44" t="str">
        <f>VLOOKUP(Z57,المرجع!$C$3:$E$12,3)</f>
        <v xml:space="preserve">أ+ </v>
      </c>
      <c r="AB57" s="40">
        <f t="shared" si="18"/>
        <v>15</v>
      </c>
      <c r="AC57" s="53">
        <v>2</v>
      </c>
      <c r="AD57" s="15">
        <v>72</v>
      </c>
      <c r="AE57" s="65">
        <f>VLOOKUP(AD57,المرجع!$B$3:$C$12,2)</f>
        <v>3</v>
      </c>
      <c r="AF57" s="44" t="str">
        <f>VLOOKUP(AE57,المرجع!$C$3:$E$12,3)</f>
        <v>ج</v>
      </c>
      <c r="AG57" s="40">
        <f t="shared" si="19"/>
        <v>6</v>
      </c>
      <c r="AH57" s="53">
        <v>2</v>
      </c>
      <c r="AI57" s="15">
        <v>92</v>
      </c>
      <c r="AJ57" s="65">
        <f>VLOOKUP(AI57,المرجع!$B$3:$C$12,2)</f>
        <v>4.75</v>
      </c>
      <c r="AK57" s="44" t="str">
        <f>VLOOKUP(AJ57,المرجع!$C$3:$E$12,3)</f>
        <v>أ</v>
      </c>
      <c r="AL57" s="40">
        <f t="shared" si="20"/>
        <v>9.5</v>
      </c>
      <c r="AM57" s="53">
        <v>2</v>
      </c>
      <c r="AN57" s="15">
        <v>65</v>
      </c>
      <c r="AO57" s="65">
        <f>VLOOKUP(AN57,المرجع!$B$3:$C$12,2)</f>
        <v>2.5</v>
      </c>
      <c r="AP57" s="44" t="str">
        <f>VLOOKUP(AO57,المرجع!$C$3:$E$12,3)</f>
        <v>د+</v>
      </c>
      <c r="AQ57" s="40">
        <f t="shared" si="21"/>
        <v>5</v>
      </c>
      <c r="AR57" s="53">
        <v>2</v>
      </c>
      <c r="AS57" s="15">
        <v>79</v>
      </c>
      <c r="AT57" s="65">
        <f>VLOOKUP(AS57,المرجع!$B$3:$C$12,2)</f>
        <v>3.5</v>
      </c>
      <c r="AU57" s="44" t="str">
        <f>VLOOKUP(AT57,المرجع!$C$3:$E$12,3)</f>
        <v>ج+</v>
      </c>
      <c r="AV57" s="40">
        <f t="shared" si="22"/>
        <v>7</v>
      </c>
      <c r="AW57" s="53">
        <v>2</v>
      </c>
      <c r="AX57" s="15">
        <v>58</v>
      </c>
      <c r="AY57" s="65">
        <f>VLOOKUP(AX57,المرجع!$B$3:$C$12,2)</f>
        <v>2</v>
      </c>
      <c r="AZ57" s="44" t="str">
        <f>VLOOKUP(AY57,المرجع!$C$3:$E$12,3)</f>
        <v>د</v>
      </c>
      <c r="BA57" s="40">
        <f t="shared" si="23"/>
        <v>4</v>
      </c>
      <c r="BB57" s="56">
        <f t="shared" si="24"/>
        <v>76.25</v>
      </c>
      <c r="BC57" s="58">
        <f t="shared" si="25"/>
        <v>23</v>
      </c>
      <c r="BD57" s="60">
        <f t="shared" si="26"/>
        <v>3.3152173913043477</v>
      </c>
      <c r="BE57" s="91">
        <f>(BB57+'المستوى الثالث ح'!BB57+'المستوى الثاني 2023'!BB57+'المستوى الأول 2022'!BL57)/92</f>
        <v>2.9510869565217392</v>
      </c>
      <c r="BF57" s="59" t="str">
        <f>VLOOKUP(BD57,المرجع!$D$3:$F$12,3)</f>
        <v xml:space="preserve">جيد مرتفع </v>
      </c>
      <c r="BG57" s="57">
        <f t="shared" si="27"/>
        <v>55</v>
      </c>
    </row>
    <row r="58" spans="2:59" ht="24" customHeight="1">
      <c r="B58" s="31">
        <v>2023024</v>
      </c>
      <c r="C58" s="61" t="s">
        <v>30</v>
      </c>
      <c r="D58" s="53">
        <v>1</v>
      </c>
      <c r="E58" s="15">
        <v>28</v>
      </c>
      <c r="F58" s="65">
        <f>VLOOKUP(E58,المرجع!$B$3:$C$12,2)</f>
        <v>0</v>
      </c>
      <c r="G58" s="44" t="str">
        <f>VLOOKUP(F58,المرجع!$D$3:$E$12,2)</f>
        <v>ه</v>
      </c>
      <c r="H58" s="40">
        <f t="shared" si="14"/>
        <v>0</v>
      </c>
      <c r="I58" s="53">
        <v>3</v>
      </c>
      <c r="J58" s="15">
        <v>90</v>
      </c>
      <c r="K58" s="65">
        <f>VLOOKUP(J58,المرجع!$B$3:$C$12,2)</f>
        <v>4.75</v>
      </c>
      <c r="L58" s="44" t="str">
        <f>VLOOKUP(K58,المرجع!$C$3:$E$12,3)</f>
        <v>أ</v>
      </c>
      <c r="M58" s="40">
        <f t="shared" si="15"/>
        <v>14.25</v>
      </c>
      <c r="N58" s="53">
        <v>3</v>
      </c>
      <c r="O58" s="15">
        <v>50</v>
      </c>
      <c r="P58" s="65">
        <f>VLOOKUP(O58,المرجع!$B$3:$C$12,2)</f>
        <v>2</v>
      </c>
      <c r="Q58" s="44" t="str">
        <f>VLOOKUP(P58,المرجع!$C$3:$E$12,3)</f>
        <v>د</v>
      </c>
      <c r="R58" s="40">
        <f t="shared" si="16"/>
        <v>6</v>
      </c>
      <c r="S58" s="53">
        <v>3</v>
      </c>
      <c r="T58" s="15">
        <v>75</v>
      </c>
      <c r="U58" s="65">
        <f>VLOOKUP(T58,المرجع!$B$3:$C$12,2)</f>
        <v>3.5</v>
      </c>
      <c r="V58" s="44" t="str">
        <f>VLOOKUP(U58,المرجع!$C$3:$E$12,3)</f>
        <v>ج+</v>
      </c>
      <c r="W58" s="40">
        <f t="shared" si="17"/>
        <v>10.5</v>
      </c>
      <c r="X58" s="53">
        <v>3</v>
      </c>
      <c r="Y58" s="15">
        <v>95</v>
      </c>
      <c r="Z58" s="65">
        <f>VLOOKUP(Y58,المرجع!$B$3:$C$12,2)</f>
        <v>5</v>
      </c>
      <c r="AA58" s="44" t="str">
        <f>VLOOKUP(Z58,المرجع!$C$3:$E$12,3)</f>
        <v xml:space="preserve">أ+ </v>
      </c>
      <c r="AB58" s="40">
        <f t="shared" si="18"/>
        <v>15</v>
      </c>
      <c r="AC58" s="53">
        <v>2</v>
      </c>
      <c r="AD58" s="15">
        <v>73</v>
      </c>
      <c r="AE58" s="65">
        <f>VLOOKUP(AD58,المرجع!$B$3:$C$12,2)</f>
        <v>3</v>
      </c>
      <c r="AF58" s="44" t="str">
        <f>VLOOKUP(AE58,المرجع!$C$3:$E$12,3)</f>
        <v>ج</v>
      </c>
      <c r="AG58" s="40">
        <f t="shared" si="19"/>
        <v>6</v>
      </c>
      <c r="AH58" s="53">
        <v>2</v>
      </c>
      <c r="AI58" s="15">
        <v>86</v>
      </c>
      <c r="AJ58" s="65">
        <f>VLOOKUP(AI58,المرجع!$B$3:$C$12,2)</f>
        <v>4.5</v>
      </c>
      <c r="AK58" s="44" t="str">
        <f>VLOOKUP(AJ58,المرجع!$C$3:$E$12,3)</f>
        <v>ب+</v>
      </c>
      <c r="AL58" s="40">
        <f t="shared" si="20"/>
        <v>9</v>
      </c>
      <c r="AM58" s="53">
        <v>2</v>
      </c>
      <c r="AN58" s="15">
        <v>56</v>
      </c>
      <c r="AO58" s="65">
        <f>VLOOKUP(AN58,المرجع!$B$3:$C$12,2)</f>
        <v>2</v>
      </c>
      <c r="AP58" s="44" t="str">
        <f>VLOOKUP(AO58,المرجع!$C$3:$E$12,3)</f>
        <v>د</v>
      </c>
      <c r="AQ58" s="40">
        <f t="shared" si="21"/>
        <v>4</v>
      </c>
      <c r="AR58" s="53">
        <v>2</v>
      </c>
      <c r="AS58" s="15">
        <v>73</v>
      </c>
      <c r="AT58" s="65">
        <f>VLOOKUP(AS58,المرجع!$B$3:$C$12,2)</f>
        <v>3</v>
      </c>
      <c r="AU58" s="44" t="str">
        <f>VLOOKUP(AT58,المرجع!$C$3:$E$12,3)</f>
        <v>ج</v>
      </c>
      <c r="AV58" s="40">
        <f t="shared" si="22"/>
        <v>6</v>
      </c>
      <c r="AW58" s="53">
        <v>2</v>
      </c>
      <c r="AX58" s="15">
        <v>61</v>
      </c>
      <c r="AY58" s="65">
        <f>VLOOKUP(AX58,المرجع!$B$3:$C$12,2)</f>
        <v>2</v>
      </c>
      <c r="AZ58" s="44" t="str">
        <f>VLOOKUP(AY58,المرجع!$C$3:$E$12,3)</f>
        <v>د</v>
      </c>
      <c r="BA58" s="40">
        <f t="shared" si="23"/>
        <v>4</v>
      </c>
      <c r="BB58" s="56">
        <f t="shared" si="24"/>
        <v>74.75</v>
      </c>
      <c r="BC58" s="58">
        <f t="shared" si="25"/>
        <v>23</v>
      </c>
      <c r="BD58" s="60">
        <f t="shared" si="26"/>
        <v>3.25</v>
      </c>
      <c r="BE58" s="91">
        <f>(BB58+'المستوى الثالث ح'!BB58+'المستوى الثاني 2023'!BB58+'المستوى الأول 2022'!BL58)/92</f>
        <v>2.8940217391304346</v>
      </c>
      <c r="BF58" s="59" t="str">
        <f>VLOOKUP(BD58,المرجع!$D$3:$F$12,3)</f>
        <v xml:space="preserve">جيد مرتفع </v>
      </c>
      <c r="BG58" s="57">
        <f t="shared" si="27"/>
        <v>56</v>
      </c>
    </row>
    <row r="59" spans="2:59" ht="24" customHeight="1">
      <c r="B59" s="31">
        <v>2023013</v>
      </c>
      <c r="C59" s="61" t="s">
        <v>22</v>
      </c>
      <c r="D59" s="53">
        <v>1</v>
      </c>
      <c r="E59" s="15">
        <v>90</v>
      </c>
      <c r="F59" s="65">
        <f>VLOOKUP(E59,المرجع!$B$3:$C$12,2)</f>
        <v>4.75</v>
      </c>
      <c r="G59" s="44" t="str">
        <f>VLOOKUP(F59,المرجع!$D$3:$E$12,2)</f>
        <v>أ</v>
      </c>
      <c r="H59" s="40">
        <f t="shared" si="14"/>
        <v>4.75</v>
      </c>
      <c r="I59" s="53">
        <v>3</v>
      </c>
      <c r="J59" s="15">
        <v>90</v>
      </c>
      <c r="K59" s="65">
        <f>VLOOKUP(J59,المرجع!$B$3:$C$12,2)</f>
        <v>4.75</v>
      </c>
      <c r="L59" s="44" t="str">
        <f>VLOOKUP(K59,المرجع!$C$3:$E$12,3)</f>
        <v>أ</v>
      </c>
      <c r="M59" s="40">
        <f t="shared" si="15"/>
        <v>14.25</v>
      </c>
      <c r="N59" s="53">
        <v>3</v>
      </c>
      <c r="O59" s="15">
        <v>50</v>
      </c>
      <c r="P59" s="65">
        <f>VLOOKUP(O59,المرجع!$B$3:$C$12,2)</f>
        <v>2</v>
      </c>
      <c r="Q59" s="44" t="str">
        <f>VLOOKUP(P59,المرجع!$C$3:$E$12,3)</f>
        <v>د</v>
      </c>
      <c r="R59" s="40">
        <f t="shared" si="16"/>
        <v>6</v>
      </c>
      <c r="S59" s="53">
        <v>3</v>
      </c>
      <c r="T59" s="15">
        <v>50</v>
      </c>
      <c r="U59" s="65">
        <f>VLOOKUP(T59,المرجع!$B$3:$C$12,2)</f>
        <v>2</v>
      </c>
      <c r="V59" s="44" t="str">
        <f>VLOOKUP(U59,المرجع!$C$3:$E$12,3)</f>
        <v>د</v>
      </c>
      <c r="W59" s="40">
        <f t="shared" si="17"/>
        <v>6</v>
      </c>
      <c r="X59" s="53">
        <v>3</v>
      </c>
      <c r="Y59" s="15">
        <v>85</v>
      </c>
      <c r="Z59" s="65">
        <f>VLOOKUP(Y59,المرجع!$B$3:$C$12,2)</f>
        <v>4.5</v>
      </c>
      <c r="AA59" s="44" t="str">
        <f>VLOOKUP(Z59,المرجع!$C$3:$E$12,3)</f>
        <v>ب+</v>
      </c>
      <c r="AB59" s="40">
        <f t="shared" si="18"/>
        <v>13.5</v>
      </c>
      <c r="AC59" s="53">
        <v>2</v>
      </c>
      <c r="AD59" s="15">
        <v>54</v>
      </c>
      <c r="AE59" s="65">
        <f>VLOOKUP(AD59,المرجع!$B$3:$C$12,2)</f>
        <v>2</v>
      </c>
      <c r="AF59" s="44" t="str">
        <f>VLOOKUP(AE59,المرجع!$C$3:$E$12,3)</f>
        <v>د</v>
      </c>
      <c r="AG59" s="40">
        <f t="shared" si="19"/>
        <v>4</v>
      </c>
      <c r="AH59" s="53">
        <v>2</v>
      </c>
      <c r="AI59" s="15">
        <v>87</v>
      </c>
      <c r="AJ59" s="65">
        <f>VLOOKUP(AI59,المرجع!$B$3:$C$12,2)</f>
        <v>4.5</v>
      </c>
      <c r="AK59" s="44" t="str">
        <f>VLOOKUP(AJ59,المرجع!$C$3:$E$12,3)</f>
        <v>ب+</v>
      </c>
      <c r="AL59" s="40">
        <f t="shared" si="20"/>
        <v>9</v>
      </c>
      <c r="AM59" s="53">
        <v>2</v>
      </c>
      <c r="AN59" s="15">
        <v>61</v>
      </c>
      <c r="AO59" s="65">
        <f>VLOOKUP(AN59,المرجع!$B$3:$C$12,2)</f>
        <v>2</v>
      </c>
      <c r="AP59" s="44" t="str">
        <f>VLOOKUP(AO59,المرجع!$C$3:$E$12,3)</f>
        <v>د</v>
      </c>
      <c r="AQ59" s="40">
        <f t="shared" si="21"/>
        <v>4</v>
      </c>
      <c r="AR59" s="53">
        <v>2</v>
      </c>
      <c r="AS59" s="15">
        <v>87</v>
      </c>
      <c r="AT59" s="65">
        <f>VLOOKUP(AS59,المرجع!$B$3:$C$12,2)</f>
        <v>4.5</v>
      </c>
      <c r="AU59" s="44" t="str">
        <f>VLOOKUP(AT59,المرجع!$C$3:$E$12,3)</f>
        <v>ب+</v>
      </c>
      <c r="AV59" s="40">
        <f t="shared" si="22"/>
        <v>9</v>
      </c>
      <c r="AW59" s="53">
        <v>2</v>
      </c>
      <c r="AX59" s="15">
        <v>62</v>
      </c>
      <c r="AY59" s="65">
        <f>VLOOKUP(AX59,المرجع!$B$3:$C$12,2)</f>
        <v>2</v>
      </c>
      <c r="AZ59" s="44" t="str">
        <f>VLOOKUP(AY59,المرجع!$C$3:$E$12,3)</f>
        <v>د</v>
      </c>
      <c r="BA59" s="40">
        <f t="shared" si="23"/>
        <v>4</v>
      </c>
      <c r="BB59" s="56">
        <f t="shared" si="24"/>
        <v>74.5</v>
      </c>
      <c r="BC59" s="58">
        <f t="shared" si="25"/>
        <v>23</v>
      </c>
      <c r="BD59" s="60">
        <f t="shared" si="26"/>
        <v>3.2391304347826089</v>
      </c>
      <c r="BE59" s="91">
        <f>(BB59+'المستوى الثالث ح'!BB59+'المستوى الثاني 2023'!BB59+'المستوى الأول 2022'!BL59)/92</f>
        <v>2.8206521739130435</v>
      </c>
      <c r="BF59" s="59" t="str">
        <f>VLOOKUP(BD59,المرجع!$D$3:$F$12,3)</f>
        <v xml:space="preserve">جيد مرتفع </v>
      </c>
      <c r="BG59" s="57">
        <f t="shared" si="27"/>
        <v>57</v>
      </c>
    </row>
    <row r="60" spans="2:59" ht="24" customHeight="1">
      <c r="B60" s="31">
        <v>2023072</v>
      </c>
      <c r="C60" s="61" t="s">
        <v>58</v>
      </c>
      <c r="D60" s="53">
        <v>1</v>
      </c>
      <c r="E60" s="15">
        <v>92</v>
      </c>
      <c r="F60" s="65">
        <f>VLOOKUP(E60,المرجع!$B$3:$C$12,2)</f>
        <v>4.75</v>
      </c>
      <c r="G60" s="44" t="str">
        <f>VLOOKUP(F60,المرجع!$D$3:$E$12,2)</f>
        <v>أ</v>
      </c>
      <c r="H60" s="40">
        <f t="shared" si="14"/>
        <v>4.75</v>
      </c>
      <c r="I60" s="53">
        <v>3</v>
      </c>
      <c r="J60" s="15">
        <v>50</v>
      </c>
      <c r="K60" s="65">
        <f>VLOOKUP(J60,المرجع!$B$3:$C$12,2)</f>
        <v>2</v>
      </c>
      <c r="L60" s="44" t="str">
        <f>VLOOKUP(K60,المرجع!$C$3:$E$12,3)</f>
        <v>د</v>
      </c>
      <c r="M60" s="40">
        <f t="shared" si="15"/>
        <v>6</v>
      </c>
      <c r="N60" s="53">
        <v>3</v>
      </c>
      <c r="O60" s="15">
        <v>78</v>
      </c>
      <c r="P60" s="65">
        <f>VLOOKUP(O60,المرجع!$B$3:$C$12,2)</f>
        <v>3.5</v>
      </c>
      <c r="Q60" s="44" t="str">
        <f>VLOOKUP(P60,المرجع!$C$3:$E$12,3)</f>
        <v>ج+</v>
      </c>
      <c r="R60" s="40">
        <f t="shared" si="16"/>
        <v>10.5</v>
      </c>
      <c r="S60" s="53">
        <v>3</v>
      </c>
      <c r="T60" s="15">
        <v>75</v>
      </c>
      <c r="U60" s="65">
        <f>VLOOKUP(T60,المرجع!$B$3:$C$12,2)</f>
        <v>3.5</v>
      </c>
      <c r="V60" s="44" t="str">
        <f>VLOOKUP(U60,المرجع!$C$3:$E$12,3)</f>
        <v>ج+</v>
      </c>
      <c r="W60" s="40">
        <f t="shared" si="17"/>
        <v>10.5</v>
      </c>
      <c r="X60" s="53">
        <v>3</v>
      </c>
      <c r="Y60" s="15">
        <v>100</v>
      </c>
      <c r="Z60" s="65">
        <f>VLOOKUP(Y60,المرجع!$B$3:$C$12,2)</f>
        <v>5</v>
      </c>
      <c r="AA60" s="44" t="str">
        <f>VLOOKUP(Z60,المرجع!$C$3:$E$12,3)</f>
        <v xml:space="preserve">أ+ </v>
      </c>
      <c r="AB60" s="40">
        <f t="shared" si="18"/>
        <v>15</v>
      </c>
      <c r="AC60" s="53">
        <v>2</v>
      </c>
      <c r="AD60" s="15">
        <v>77</v>
      </c>
      <c r="AE60" s="65">
        <f>VLOOKUP(AD60,المرجع!$B$3:$C$12,2)</f>
        <v>3.5</v>
      </c>
      <c r="AF60" s="44" t="str">
        <f>VLOOKUP(AE60,المرجع!$C$3:$E$12,3)</f>
        <v>ج+</v>
      </c>
      <c r="AG60" s="40">
        <f t="shared" si="19"/>
        <v>7</v>
      </c>
      <c r="AH60" s="53">
        <v>2</v>
      </c>
      <c r="AI60" s="15">
        <v>92</v>
      </c>
      <c r="AJ60" s="65">
        <f>VLOOKUP(AI60,المرجع!$B$3:$C$12,2)</f>
        <v>4.75</v>
      </c>
      <c r="AK60" s="44" t="str">
        <f>VLOOKUP(AJ60,المرجع!$C$3:$E$12,3)</f>
        <v>أ</v>
      </c>
      <c r="AL60" s="40">
        <f t="shared" si="20"/>
        <v>9.5</v>
      </c>
      <c r="AM60" s="53">
        <v>2</v>
      </c>
      <c r="AN60" s="15">
        <v>76</v>
      </c>
      <c r="AO60" s="65">
        <f>VLOOKUP(AN60,المرجع!$B$3:$C$12,2)</f>
        <v>3.5</v>
      </c>
      <c r="AP60" s="44" t="str">
        <f>VLOOKUP(AO60,المرجع!$C$3:$E$12,3)</f>
        <v>ج+</v>
      </c>
      <c r="AQ60" s="40">
        <f t="shared" si="21"/>
        <v>7</v>
      </c>
      <c r="AR60" s="53">
        <v>2</v>
      </c>
      <c r="AS60" s="15">
        <v>50</v>
      </c>
      <c r="AT60" s="65">
        <f>VLOOKUP(AS60,المرجع!$B$3:$C$12,2)</f>
        <v>2</v>
      </c>
      <c r="AU60" s="44" t="str">
        <f>VLOOKUP(AT60,المرجع!$C$3:$E$12,3)</f>
        <v>د</v>
      </c>
      <c r="AV60" s="40">
        <f t="shared" si="22"/>
        <v>4</v>
      </c>
      <c r="AW60" s="53">
        <v>2</v>
      </c>
      <c r="AX60" s="15">
        <v>30</v>
      </c>
      <c r="AY60" s="65">
        <f>VLOOKUP(AX60,المرجع!$B$3:$C$12,2)</f>
        <v>0</v>
      </c>
      <c r="AZ60" s="44" t="str">
        <f>VLOOKUP(AY60,المرجع!$C$3:$E$12,3)</f>
        <v>ه</v>
      </c>
      <c r="BA60" s="40">
        <f t="shared" si="23"/>
        <v>0</v>
      </c>
      <c r="BB60" s="56">
        <f t="shared" si="24"/>
        <v>74.25</v>
      </c>
      <c r="BC60" s="58">
        <f t="shared" si="25"/>
        <v>23</v>
      </c>
      <c r="BD60" s="60">
        <f t="shared" si="26"/>
        <v>3.2282608695652173</v>
      </c>
      <c r="BE60" s="91">
        <f>(BB60+'المستوى الثالث ح'!BB60+'المستوى الثاني 2023'!BB60+'المستوى الأول 2022'!BL60)/92</f>
        <v>2.8994565217391304</v>
      </c>
      <c r="BF60" s="59" t="str">
        <f>VLOOKUP(BD60,المرجع!$D$3:$F$12,3)</f>
        <v xml:space="preserve">جيد مرتفع </v>
      </c>
      <c r="BG60" s="57">
        <f t="shared" si="27"/>
        <v>58</v>
      </c>
    </row>
    <row r="61" spans="2:59" ht="24" customHeight="1">
      <c r="B61" s="31">
        <v>2023007</v>
      </c>
      <c r="C61" s="61" t="s">
        <v>140</v>
      </c>
      <c r="D61" s="53">
        <v>1</v>
      </c>
      <c r="E61" s="15">
        <v>98</v>
      </c>
      <c r="F61" s="65">
        <f>VLOOKUP(E61,المرجع!$B$3:$C$12,2)</f>
        <v>5</v>
      </c>
      <c r="G61" s="44" t="str">
        <f>VLOOKUP(F61,المرجع!$D$3:$E$12,2)</f>
        <v xml:space="preserve">أ+ </v>
      </c>
      <c r="H61" s="40">
        <f t="shared" si="14"/>
        <v>5</v>
      </c>
      <c r="I61" s="53">
        <v>3</v>
      </c>
      <c r="J61" s="15">
        <v>100</v>
      </c>
      <c r="K61" s="65">
        <f>VLOOKUP(J61,المرجع!$B$3:$C$12,2)</f>
        <v>5</v>
      </c>
      <c r="L61" s="44" t="str">
        <f>VLOOKUP(K61,المرجع!$C$3:$E$12,3)</f>
        <v xml:space="preserve">أ+ </v>
      </c>
      <c r="M61" s="40">
        <f t="shared" si="15"/>
        <v>15</v>
      </c>
      <c r="N61" s="53">
        <v>3</v>
      </c>
      <c r="O61" s="15">
        <v>50</v>
      </c>
      <c r="P61" s="65">
        <f>VLOOKUP(O61,المرجع!$B$3:$C$12,2)</f>
        <v>2</v>
      </c>
      <c r="Q61" s="44" t="str">
        <f>VLOOKUP(P61,المرجع!$C$3:$E$12,3)</f>
        <v>د</v>
      </c>
      <c r="R61" s="40">
        <f t="shared" si="16"/>
        <v>6</v>
      </c>
      <c r="S61" s="53">
        <v>3</v>
      </c>
      <c r="T61" s="15">
        <v>50</v>
      </c>
      <c r="U61" s="65">
        <f>VLOOKUP(T61,المرجع!$B$3:$C$12,2)</f>
        <v>2</v>
      </c>
      <c r="V61" s="44" t="str">
        <f>VLOOKUP(U61,المرجع!$C$3:$E$12,3)</f>
        <v>د</v>
      </c>
      <c r="W61" s="40">
        <f t="shared" si="17"/>
        <v>6</v>
      </c>
      <c r="X61" s="53">
        <v>3</v>
      </c>
      <c r="Y61" s="15">
        <v>70</v>
      </c>
      <c r="Z61" s="65">
        <f>VLOOKUP(Y61,المرجع!$B$3:$C$12,2)</f>
        <v>3</v>
      </c>
      <c r="AA61" s="44" t="str">
        <f>VLOOKUP(Z61,المرجع!$C$3:$E$12,3)</f>
        <v>ج</v>
      </c>
      <c r="AB61" s="40">
        <f t="shared" si="18"/>
        <v>9</v>
      </c>
      <c r="AC61" s="53">
        <v>2</v>
      </c>
      <c r="AD61" s="15">
        <v>81</v>
      </c>
      <c r="AE61" s="65">
        <f>VLOOKUP(AD61,المرجع!$B$3:$C$12,2)</f>
        <v>4</v>
      </c>
      <c r="AF61" s="44" t="str">
        <f>VLOOKUP(AE61,المرجع!$C$3:$E$12,3)</f>
        <v>ب</v>
      </c>
      <c r="AG61" s="40">
        <f t="shared" si="19"/>
        <v>8</v>
      </c>
      <c r="AH61" s="53">
        <v>2</v>
      </c>
      <c r="AI61" s="15">
        <v>72</v>
      </c>
      <c r="AJ61" s="65">
        <f>VLOOKUP(AI61,المرجع!$B$3:$C$12,2)</f>
        <v>3</v>
      </c>
      <c r="AK61" s="44" t="str">
        <f>VLOOKUP(AJ61,المرجع!$C$3:$E$12,3)</f>
        <v>ج</v>
      </c>
      <c r="AL61" s="40">
        <f t="shared" si="20"/>
        <v>6</v>
      </c>
      <c r="AM61" s="53">
        <v>2</v>
      </c>
      <c r="AN61" s="15">
        <v>84</v>
      </c>
      <c r="AO61" s="65">
        <f>VLOOKUP(AN61,المرجع!$B$3:$C$12,2)</f>
        <v>4</v>
      </c>
      <c r="AP61" s="44" t="str">
        <f>VLOOKUP(AO61,المرجع!$C$3:$E$12,3)</f>
        <v>ب</v>
      </c>
      <c r="AQ61" s="40">
        <f t="shared" si="21"/>
        <v>8</v>
      </c>
      <c r="AR61" s="53">
        <v>2</v>
      </c>
      <c r="AS61" s="15">
        <v>79</v>
      </c>
      <c r="AT61" s="65">
        <f>VLOOKUP(AS61,المرجع!$B$3:$C$12,2)</f>
        <v>3.5</v>
      </c>
      <c r="AU61" s="44" t="str">
        <f>VLOOKUP(AT61,المرجع!$C$3:$E$12,3)</f>
        <v>ج+</v>
      </c>
      <c r="AV61" s="40">
        <f t="shared" si="22"/>
        <v>7</v>
      </c>
      <c r="AW61" s="53">
        <v>2</v>
      </c>
      <c r="AX61" s="15">
        <v>64</v>
      </c>
      <c r="AY61" s="65">
        <f>VLOOKUP(AX61,المرجع!$B$3:$C$12,2)</f>
        <v>2</v>
      </c>
      <c r="AZ61" s="44" t="str">
        <f>VLOOKUP(AY61,المرجع!$C$3:$E$12,3)</f>
        <v>د</v>
      </c>
      <c r="BA61" s="40">
        <f t="shared" si="23"/>
        <v>4</v>
      </c>
      <c r="BB61" s="56">
        <f t="shared" si="24"/>
        <v>74</v>
      </c>
      <c r="BC61" s="58">
        <f t="shared" si="25"/>
        <v>23</v>
      </c>
      <c r="BD61" s="60">
        <f t="shared" si="26"/>
        <v>3.2173913043478262</v>
      </c>
      <c r="BE61" s="91">
        <f>(BB61+'المستوى الثالث ح'!BB61+'المستوى الثاني 2023'!BB61+'المستوى الأول 2022'!BL61)/92</f>
        <v>2.8206521739130435</v>
      </c>
      <c r="BF61" s="59" t="str">
        <f>VLOOKUP(BD61,المرجع!$D$3:$F$12,3)</f>
        <v xml:space="preserve">جيد مرتفع </v>
      </c>
      <c r="BG61" s="57">
        <f t="shared" si="27"/>
        <v>59</v>
      </c>
    </row>
    <row r="62" spans="2:59" ht="24" customHeight="1">
      <c r="B62" s="31">
        <v>2023106</v>
      </c>
      <c r="C62" s="61" t="s">
        <v>80</v>
      </c>
      <c r="D62" s="53">
        <v>1</v>
      </c>
      <c r="E62" s="15">
        <v>76</v>
      </c>
      <c r="F62" s="65">
        <f>VLOOKUP(E62,المرجع!$B$3:$C$12,2)</f>
        <v>3.5</v>
      </c>
      <c r="G62" s="44" t="str">
        <f>VLOOKUP(F62,المرجع!$D$3:$E$12,2)</f>
        <v>ج+</v>
      </c>
      <c r="H62" s="40">
        <f t="shared" si="14"/>
        <v>3.5</v>
      </c>
      <c r="I62" s="53">
        <v>3</v>
      </c>
      <c r="J62" s="15">
        <v>85</v>
      </c>
      <c r="K62" s="65">
        <f>VLOOKUP(J62,المرجع!$B$3:$C$12,2)</f>
        <v>4.5</v>
      </c>
      <c r="L62" s="44" t="str">
        <f>VLOOKUP(K62,المرجع!$C$3:$E$12,3)</f>
        <v>ب+</v>
      </c>
      <c r="M62" s="40">
        <f t="shared" si="15"/>
        <v>13.5</v>
      </c>
      <c r="N62" s="53">
        <v>3</v>
      </c>
      <c r="O62" s="15">
        <v>50</v>
      </c>
      <c r="P62" s="65">
        <f>VLOOKUP(O62,المرجع!$B$3:$C$12,2)</f>
        <v>2</v>
      </c>
      <c r="Q62" s="44" t="str">
        <f>VLOOKUP(P62,المرجع!$C$3:$E$12,3)</f>
        <v>د</v>
      </c>
      <c r="R62" s="40">
        <f t="shared" si="16"/>
        <v>6</v>
      </c>
      <c r="S62" s="53">
        <v>3</v>
      </c>
      <c r="T62" s="15">
        <v>50</v>
      </c>
      <c r="U62" s="65">
        <f>VLOOKUP(T62,المرجع!$B$3:$C$12,2)</f>
        <v>2</v>
      </c>
      <c r="V62" s="44" t="str">
        <f>VLOOKUP(U62,المرجع!$C$3:$E$12,3)</f>
        <v>د</v>
      </c>
      <c r="W62" s="40">
        <f t="shared" si="17"/>
        <v>6</v>
      </c>
      <c r="X62" s="53">
        <v>3</v>
      </c>
      <c r="Y62" s="15">
        <v>99</v>
      </c>
      <c r="Z62" s="65">
        <f>VLOOKUP(Y62,المرجع!$B$3:$C$12,2)</f>
        <v>5</v>
      </c>
      <c r="AA62" s="44" t="str">
        <f>VLOOKUP(Z62,المرجع!$C$3:$E$12,3)</f>
        <v xml:space="preserve">أ+ </v>
      </c>
      <c r="AB62" s="40">
        <f t="shared" si="18"/>
        <v>15</v>
      </c>
      <c r="AC62" s="53">
        <v>2</v>
      </c>
      <c r="AD62" s="15">
        <v>69</v>
      </c>
      <c r="AE62" s="65">
        <f>VLOOKUP(AD62,المرجع!$B$3:$C$12,2)</f>
        <v>2.5</v>
      </c>
      <c r="AF62" s="44" t="str">
        <f>VLOOKUP(AE62,المرجع!$C$3:$E$12,3)</f>
        <v>د+</v>
      </c>
      <c r="AG62" s="40">
        <f t="shared" si="19"/>
        <v>5</v>
      </c>
      <c r="AH62" s="53">
        <v>2</v>
      </c>
      <c r="AI62" s="15">
        <v>68</v>
      </c>
      <c r="AJ62" s="65">
        <f>VLOOKUP(AI62,المرجع!$B$3:$C$12,2)</f>
        <v>2.5</v>
      </c>
      <c r="AK62" s="44" t="str">
        <f>VLOOKUP(AJ62,المرجع!$C$3:$E$12,3)</f>
        <v>د+</v>
      </c>
      <c r="AL62" s="40">
        <f t="shared" si="20"/>
        <v>5</v>
      </c>
      <c r="AM62" s="53">
        <v>2</v>
      </c>
      <c r="AN62" s="15">
        <v>63</v>
      </c>
      <c r="AO62" s="65">
        <f>VLOOKUP(AN62,المرجع!$B$3:$C$12,2)</f>
        <v>2</v>
      </c>
      <c r="AP62" s="44" t="str">
        <f>VLOOKUP(AO62,المرجع!$C$3:$E$12,3)</f>
        <v>د</v>
      </c>
      <c r="AQ62" s="40">
        <f t="shared" si="21"/>
        <v>4</v>
      </c>
      <c r="AR62" s="53">
        <v>2</v>
      </c>
      <c r="AS62" s="15">
        <v>89</v>
      </c>
      <c r="AT62" s="65">
        <f>VLOOKUP(AS62,المرجع!$B$3:$C$12,2)</f>
        <v>4.5</v>
      </c>
      <c r="AU62" s="44" t="str">
        <f>VLOOKUP(AT62,المرجع!$C$3:$E$12,3)</f>
        <v>ب+</v>
      </c>
      <c r="AV62" s="40">
        <f t="shared" si="22"/>
        <v>9</v>
      </c>
      <c r="AW62" s="53">
        <v>2</v>
      </c>
      <c r="AX62" s="15">
        <v>58</v>
      </c>
      <c r="AY62" s="65">
        <f>VLOOKUP(AX62,المرجع!$B$3:$C$12,2)</f>
        <v>2</v>
      </c>
      <c r="AZ62" s="44" t="str">
        <f>VLOOKUP(AY62,المرجع!$C$3:$E$12,3)</f>
        <v>د</v>
      </c>
      <c r="BA62" s="40">
        <f t="shared" si="23"/>
        <v>4</v>
      </c>
      <c r="BB62" s="56">
        <f t="shared" si="24"/>
        <v>71</v>
      </c>
      <c r="BC62" s="58">
        <f t="shared" si="25"/>
        <v>23</v>
      </c>
      <c r="BD62" s="60">
        <f t="shared" si="26"/>
        <v>3.0869565217391304</v>
      </c>
      <c r="BE62" s="91">
        <f>(BB62+'المستوى الثالث ح'!BB62+'المستوى الثاني 2023'!BB62+'المستوى الأول 2022'!BL62)/92</f>
        <v>2.8206521739130435</v>
      </c>
      <c r="BF62" s="59" t="str">
        <f>VLOOKUP(BD62,المرجع!$D$3:$F$12,3)</f>
        <v xml:space="preserve">جيد </v>
      </c>
      <c r="BG62" s="57">
        <f t="shared" si="27"/>
        <v>60</v>
      </c>
    </row>
    <row r="63" spans="2:59" ht="24" customHeight="1">
      <c r="B63" s="31">
        <v>2023108</v>
      </c>
      <c r="C63" s="61" t="s">
        <v>68</v>
      </c>
      <c r="D63" s="53">
        <v>1</v>
      </c>
      <c r="E63" s="15">
        <v>90</v>
      </c>
      <c r="F63" s="65">
        <f>VLOOKUP(E63,المرجع!$B$3:$C$12,2)</f>
        <v>4.75</v>
      </c>
      <c r="G63" s="44" t="str">
        <f>VLOOKUP(F63,المرجع!$D$3:$E$12,2)</f>
        <v>أ</v>
      </c>
      <c r="H63" s="40">
        <f t="shared" si="14"/>
        <v>4.75</v>
      </c>
      <c r="I63" s="53">
        <v>3</v>
      </c>
      <c r="J63" s="15">
        <v>100</v>
      </c>
      <c r="K63" s="65">
        <f>VLOOKUP(J63,المرجع!$B$3:$C$12,2)</f>
        <v>5</v>
      </c>
      <c r="L63" s="44" t="str">
        <f>VLOOKUP(K63,المرجع!$C$3:$E$12,3)</f>
        <v xml:space="preserve">أ+ </v>
      </c>
      <c r="M63" s="40">
        <f t="shared" si="15"/>
        <v>15</v>
      </c>
      <c r="N63" s="53">
        <v>3</v>
      </c>
      <c r="O63" s="15">
        <v>50</v>
      </c>
      <c r="P63" s="65">
        <f>VLOOKUP(O63,المرجع!$B$3:$C$12,2)</f>
        <v>2</v>
      </c>
      <c r="Q63" s="44" t="str">
        <f>VLOOKUP(P63,المرجع!$C$3:$E$12,3)</f>
        <v>د</v>
      </c>
      <c r="R63" s="40">
        <f t="shared" si="16"/>
        <v>6</v>
      </c>
      <c r="S63" s="53">
        <v>3</v>
      </c>
      <c r="T63" s="15">
        <v>40</v>
      </c>
      <c r="U63" s="65">
        <f>VLOOKUP(T63,المرجع!$B$3:$C$12,2)</f>
        <v>0</v>
      </c>
      <c r="V63" s="44" t="str">
        <f>VLOOKUP(U63,المرجع!$C$3:$E$12,3)</f>
        <v>ه</v>
      </c>
      <c r="W63" s="40">
        <f t="shared" si="17"/>
        <v>0</v>
      </c>
      <c r="X63" s="53">
        <v>3</v>
      </c>
      <c r="Y63" s="15">
        <v>90</v>
      </c>
      <c r="Z63" s="65">
        <f>VLOOKUP(Y63,المرجع!$B$3:$C$12,2)</f>
        <v>4.75</v>
      </c>
      <c r="AA63" s="44" t="str">
        <f>VLOOKUP(Z63,المرجع!$C$3:$E$12,3)</f>
        <v>أ</v>
      </c>
      <c r="AB63" s="40">
        <f t="shared" si="18"/>
        <v>14.25</v>
      </c>
      <c r="AC63" s="53">
        <v>2</v>
      </c>
      <c r="AD63" s="15">
        <v>90</v>
      </c>
      <c r="AE63" s="65">
        <f>VLOOKUP(AD63,المرجع!$B$3:$C$12,2)</f>
        <v>4.75</v>
      </c>
      <c r="AF63" s="44" t="str">
        <f>VLOOKUP(AE63,المرجع!$C$3:$E$12,3)</f>
        <v>أ</v>
      </c>
      <c r="AG63" s="40">
        <f t="shared" si="19"/>
        <v>9.5</v>
      </c>
      <c r="AH63" s="53">
        <v>2</v>
      </c>
      <c r="AI63" s="15">
        <v>66</v>
      </c>
      <c r="AJ63" s="65">
        <f>VLOOKUP(AI63,المرجع!$B$3:$C$12,2)</f>
        <v>2.5</v>
      </c>
      <c r="AK63" s="44" t="str">
        <f>VLOOKUP(AJ63,المرجع!$C$3:$E$12,3)</f>
        <v>د+</v>
      </c>
      <c r="AL63" s="40">
        <f t="shared" si="20"/>
        <v>5</v>
      </c>
      <c r="AM63" s="53">
        <v>2</v>
      </c>
      <c r="AN63" s="15">
        <v>60</v>
      </c>
      <c r="AO63" s="65">
        <f>VLOOKUP(AN63,المرجع!$B$3:$C$12,2)</f>
        <v>2</v>
      </c>
      <c r="AP63" s="44" t="str">
        <f>VLOOKUP(AO63,المرجع!$C$3:$E$12,3)</f>
        <v>د</v>
      </c>
      <c r="AQ63" s="40">
        <f t="shared" si="21"/>
        <v>4</v>
      </c>
      <c r="AR63" s="53">
        <v>2</v>
      </c>
      <c r="AS63" s="15">
        <v>83</v>
      </c>
      <c r="AT63" s="65">
        <f>VLOOKUP(AS63,المرجع!$B$3:$C$12,2)</f>
        <v>4</v>
      </c>
      <c r="AU63" s="44" t="str">
        <f>VLOOKUP(AT63,المرجع!$C$3:$E$12,3)</f>
        <v>ب</v>
      </c>
      <c r="AV63" s="40">
        <f t="shared" si="22"/>
        <v>8</v>
      </c>
      <c r="AW63" s="53">
        <v>2</v>
      </c>
      <c r="AX63" s="15">
        <v>50</v>
      </c>
      <c r="AY63" s="65">
        <f>VLOOKUP(AX63,المرجع!$B$3:$C$12,2)</f>
        <v>2</v>
      </c>
      <c r="AZ63" s="44" t="str">
        <f>VLOOKUP(AY63,المرجع!$C$3:$E$12,3)</f>
        <v>د</v>
      </c>
      <c r="BA63" s="40">
        <f t="shared" si="23"/>
        <v>4</v>
      </c>
      <c r="BB63" s="56">
        <f t="shared" si="24"/>
        <v>70.5</v>
      </c>
      <c r="BC63" s="58">
        <f t="shared" si="25"/>
        <v>23</v>
      </c>
      <c r="BD63" s="60">
        <f t="shared" si="26"/>
        <v>3.0652173913043477</v>
      </c>
      <c r="BE63" s="91">
        <f>(BB63+'المستوى الثالث ح'!BB63+'المستوى الثاني 2023'!BB63+'المستوى الأول 2022'!BL63)/92</f>
        <v>2.9076086956521738</v>
      </c>
      <c r="BF63" s="59" t="str">
        <f>VLOOKUP(BD63,المرجع!$D$3:$F$12,3)</f>
        <v xml:space="preserve">جيد </v>
      </c>
      <c r="BG63" s="57">
        <f t="shared" si="27"/>
        <v>61</v>
      </c>
    </row>
    <row r="64" spans="2:59" ht="24" customHeight="1">
      <c r="B64" s="31">
        <v>2023037</v>
      </c>
      <c r="C64" s="61" t="s">
        <v>34</v>
      </c>
      <c r="D64" s="53">
        <v>1</v>
      </c>
      <c r="E64" s="15">
        <v>37</v>
      </c>
      <c r="F64" s="65">
        <f>VLOOKUP(E64,المرجع!$B$3:$C$12,2)</f>
        <v>0</v>
      </c>
      <c r="G64" s="44" t="str">
        <f>VLOOKUP(F64,المرجع!$D$3:$E$12,2)</f>
        <v>ه</v>
      </c>
      <c r="H64" s="40">
        <f t="shared" si="14"/>
        <v>0</v>
      </c>
      <c r="I64" s="53">
        <v>3</v>
      </c>
      <c r="J64" s="15">
        <v>93</v>
      </c>
      <c r="K64" s="65">
        <f>VLOOKUP(J64,المرجع!$B$3:$C$12,2)</f>
        <v>4.75</v>
      </c>
      <c r="L64" s="44" t="str">
        <f>VLOOKUP(K64,المرجع!$C$3:$E$12,3)</f>
        <v>أ</v>
      </c>
      <c r="M64" s="40">
        <f t="shared" si="15"/>
        <v>14.25</v>
      </c>
      <c r="N64" s="53">
        <v>3</v>
      </c>
      <c r="O64" s="15">
        <v>50</v>
      </c>
      <c r="P64" s="65">
        <f>VLOOKUP(O64,المرجع!$B$3:$C$12,2)</f>
        <v>2</v>
      </c>
      <c r="Q64" s="44" t="str">
        <f>VLOOKUP(P64,المرجع!$C$3:$E$12,3)</f>
        <v>د</v>
      </c>
      <c r="R64" s="40">
        <f t="shared" si="16"/>
        <v>6</v>
      </c>
      <c r="S64" s="53">
        <v>3</v>
      </c>
      <c r="T64" s="15">
        <v>80</v>
      </c>
      <c r="U64" s="65">
        <f>VLOOKUP(T64,المرجع!$B$3:$C$12,2)</f>
        <v>4</v>
      </c>
      <c r="V64" s="44" t="str">
        <f>VLOOKUP(U64,المرجع!$C$3:$E$12,3)</f>
        <v>ب</v>
      </c>
      <c r="W64" s="40">
        <f t="shared" si="17"/>
        <v>12</v>
      </c>
      <c r="X64" s="53">
        <v>3</v>
      </c>
      <c r="Y64" s="15">
        <v>75</v>
      </c>
      <c r="Z64" s="65">
        <f>VLOOKUP(Y64,المرجع!$B$3:$C$12,2)</f>
        <v>3.5</v>
      </c>
      <c r="AA64" s="44" t="str">
        <f>VLOOKUP(Z64,المرجع!$C$3:$E$12,3)</f>
        <v>ج+</v>
      </c>
      <c r="AB64" s="40">
        <f t="shared" si="18"/>
        <v>10.5</v>
      </c>
      <c r="AC64" s="53">
        <v>2</v>
      </c>
      <c r="AD64" s="15">
        <v>51</v>
      </c>
      <c r="AE64" s="65">
        <f>VLOOKUP(AD64,المرجع!$B$3:$C$12,2)</f>
        <v>2</v>
      </c>
      <c r="AF64" s="44" t="str">
        <f>VLOOKUP(AE64,المرجع!$C$3:$E$12,3)</f>
        <v>د</v>
      </c>
      <c r="AG64" s="40">
        <f t="shared" si="19"/>
        <v>4</v>
      </c>
      <c r="AH64" s="53">
        <v>2</v>
      </c>
      <c r="AI64" s="15">
        <v>60</v>
      </c>
      <c r="AJ64" s="65">
        <f>VLOOKUP(AI64,المرجع!$B$3:$C$12,2)</f>
        <v>2</v>
      </c>
      <c r="AK64" s="44" t="str">
        <f>VLOOKUP(AJ64,المرجع!$C$3:$E$12,3)</f>
        <v>د</v>
      </c>
      <c r="AL64" s="40">
        <f t="shared" si="20"/>
        <v>4</v>
      </c>
      <c r="AM64" s="53">
        <v>2</v>
      </c>
      <c r="AN64" s="15">
        <v>50</v>
      </c>
      <c r="AO64" s="65">
        <f>VLOOKUP(AN64,المرجع!$B$3:$C$12,2)</f>
        <v>2</v>
      </c>
      <c r="AP64" s="44" t="str">
        <f>VLOOKUP(AO64,المرجع!$C$3:$E$12,3)</f>
        <v>د</v>
      </c>
      <c r="AQ64" s="40">
        <f t="shared" si="21"/>
        <v>4</v>
      </c>
      <c r="AR64" s="53">
        <v>2</v>
      </c>
      <c r="AS64" s="15">
        <v>79</v>
      </c>
      <c r="AT64" s="65">
        <f>VLOOKUP(AS64,المرجع!$B$3:$C$12,2)</f>
        <v>3.5</v>
      </c>
      <c r="AU64" s="44" t="str">
        <f>VLOOKUP(AT64,المرجع!$C$3:$E$12,3)</f>
        <v>ج+</v>
      </c>
      <c r="AV64" s="40">
        <f t="shared" si="22"/>
        <v>7</v>
      </c>
      <c r="AW64" s="53">
        <v>2</v>
      </c>
      <c r="AX64" s="15">
        <v>55</v>
      </c>
      <c r="AY64" s="65">
        <f>VLOOKUP(AX64,المرجع!$B$3:$C$12,2)</f>
        <v>2</v>
      </c>
      <c r="AZ64" s="44" t="str">
        <f>VLOOKUP(AY64,المرجع!$C$3:$E$12,3)</f>
        <v>د</v>
      </c>
      <c r="BA64" s="40">
        <f t="shared" si="23"/>
        <v>4</v>
      </c>
      <c r="BB64" s="56">
        <f t="shared" si="24"/>
        <v>65.75</v>
      </c>
      <c r="BC64" s="58">
        <f t="shared" si="25"/>
        <v>23</v>
      </c>
      <c r="BD64" s="60">
        <f t="shared" si="26"/>
        <v>2.8586956521739131</v>
      </c>
      <c r="BE64" s="91">
        <f>(BB64+'المستوى الثالث ح'!BB64+'المستوى الثاني 2023'!BB64+'المستوى الأول 2022'!BL64)/92</f>
        <v>2.7744565217391304</v>
      </c>
      <c r="BF64" s="59" t="str">
        <f>VLOOKUP(BD64,المرجع!$D$3:$F$12,3)</f>
        <v xml:space="preserve">جيد </v>
      </c>
      <c r="BG64" s="57">
        <f t="shared" si="27"/>
        <v>62</v>
      </c>
    </row>
    <row r="65" spans="2:59" ht="24" customHeight="1">
      <c r="B65" s="31">
        <v>2023103</v>
      </c>
      <c r="C65" s="61" t="s">
        <v>75</v>
      </c>
      <c r="D65" s="53">
        <v>1</v>
      </c>
      <c r="E65" s="15">
        <v>90</v>
      </c>
      <c r="F65" s="65">
        <f>VLOOKUP(E65,المرجع!$B$3:$C$12,2)</f>
        <v>4.75</v>
      </c>
      <c r="G65" s="44" t="str">
        <f>VLOOKUP(F65,المرجع!$D$3:$E$12,2)</f>
        <v>أ</v>
      </c>
      <c r="H65" s="40">
        <f t="shared" si="14"/>
        <v>4.75</v>
      </c>
      <c r="I65" s="53">
        <v>3</v>
      </c>
      <c r="J65" s="15">
        <v>50</v>
      </c>
      <c r="K65" s="65">
        <f>VLOOKUP(J65,المرجع!$B$3:$C$12,2)</f>
        <v>2</v>
      </c>
      <c r="L65" s="44" t="str">
        <f>VLOOKUP(K65,المرجع!$C$3:$E$12,3)</f>
        <v>د</v>
      </c>
      <c r="M65" s="40">
        <f t="shared" si="15"/>
        <v>6</v>
      </c>
      <c r="N65" s="53">
        <v>3</v>
      </c>
      <c r="O65" s="15">
        <v>50</v>
      </c>
      <c r="P65" s="65">
        <f>VLOOKUP(O65,المرجع!$B$3:$C$12,2)</f>
        <v>2</v>
      </c>
      <c r="Q65" s="44" t="str">
        <f>VLOOKUP(P65,المرجع!$C$3:$E$12,3)</f>
        <v>د</v>
      </c>
      <c r="R65" s="40">
        <f t="shared" si="16"/>
        <v>6</v>
      </c>
      <c r="S65" s="53">
        <v>3</v>
      </c>
      <c r="T65" s="15">
        <v>50</v>
      </c>
      <c r="U65" s="65">
        <f>VLOOKUP(T65,المرجع!$B$3:$C$12,2)</f>
        <v>2</v>
      </c>
      <c r="V65" s="44" t="str">
        <f>VLOOKUP(U65,المرجع!$C$3:$E$12,3)</f>
        <v>د</v>
      </c>
      <c r="W65" s="40">
        <f t="shared" si="17"/>
        <v>6</v>
      </c>
      <c r="X65" s="53">
        <v>3</v>
      </c>
      <c r="Y65" s="15">
        <v>90</v>
      </c>
      <c r="Z65" s="65">
        <f>VLOOKUP(Y65,المرجع!$B$3:$C$12,2)</f>
        <v>4.75</v>
      </c>
      <c r="AA65" s="44" t="str">
        <f>VLOOKUP(Z65,المرجع!$C$3:$E$12,3)</f>
        <v>أ</v>
      </c>
      <c r="AB65" s="40">
        <f t="shared" si="18"/>
        <v>14.25</v>
      </c>
      <c r="AC65" s="53">
        <v>2</v>
      </c>
      <c r="AD65" s="15">
        <v>74</v>
      </c>
      <c r="AE65" s="65">
        <f>VLOOKUP(AD65,المرجع!$B$3:$C$12,2)</f>
        <v>3</v>
      </c>
      <c r="AF65" s="44" t="str">
        <f>VLOOKUP(AE65,المرجع!$C$3:$E$12,3)</f>
        <v>ج</v>
      </c>
      <c r="AG65" s="40">
        <f t="shared" si="19"/>
        <v>6</v>
      </c>
      <c r="AH65" s="53">
        <v>2</v>
      </c>
      <c r="AI65" s="15">
        <v>84</v>
      </c>
      <c r="AJ65" s="65">
        <f>VLOOKUP(AI65,المرجع!$B$3:$C$12,2)</f>
        <v>4</v>
      </c>
      <c r="AK65" s="44" t="str">
        <f>VLOOKUP(AJ65,المرجع!$C$3:$E$12,3)</f>
        <v>ب</v>
      </c>
      <c r="AL65" s="40">
        <f t="shared" si="20"/>
        <v>8</v>
      </c>
      <c r="AM65" s="53">
        <v>2</v>
      </c>
      <c r="AN65" s="15">
        <v>60</v>
      </c>
      <c r="AO65" s="65">
        <f>VLOOKUP(AN65,المرجع!$B$3:$C$12,2)</f>
        <v>2</v>
      </c>
      <c r="AP65" s="44" t="str">
        <f>VLOOKUP(AO65,المرجع!$C$3:$E$12,3)</f>
        <v>د</v>
      </c>
      <c r="AQ65" s="40">
        <f t="shared" si="21"/>
        <v>4</v>
      </c>
      <c r="AR65" s="53">
        <v>2</v>
      </c>
      <c r="AS65" s="15">
        <v>50</v>
      </c>
      <c r="AT65" s="65">
        <f>VLOOKUP(AS65,المرجع!$B$3:$C$12,2)</f>
        <v>2</v>
      </c>
      <c r="AU65" s="44" t="str">
        <f>VLOOKUP(AT65,المرجع!$C$3:$E$12,3)</f>
        <v>د</v>
      </c>
      <c r="AV65" s="40">
        <f t="shared" si="22"/>
        <v>4</v>
      </c>
      <c r="AW65" s="53">
        <v>2</v>
      </c>
      <c r="AX65" s="15">
        <v>50</v>
      </c>
      <c r="AY65" s="65">
        <f>VLOOKUP(AX65,المرجع!$B$3:$C$12,2)</f>
        <v>2</v>
      </c>
      <c r="AZ65" s="44" t="str">
        <f>VLOOKUP(AY65,المرجع!$C$3:$E$12,3)</f>
        <v>د</v>
      </c>
      <c r="BA65" s="40">
        <f t="shared" si="23"/>
        <v>4</v>
      </c>
      <c r="BB65" s="56">
        <f t="shared" si="24"/>
        <v>63</v>
      </c>
      <c r="BC65" s="58">
        <f t="shared" si="25"/>
        <v>23</v>
      </c>
      <c r="BD65" s="60">
        <f t="shared" si="26"/>
        <v>2.7391304347826089</v>
      </c>
      <c r="BE65" s="91">
        <f>(BB65+'المستوى الثالث ح'!BB65+'المستوى الثاني 2023'!BB65+'المستوى الأول 2022'!BL65)/92</f>
        <v>2.4836956521739131</v>
      </c>
      <c r="BF65" s="59" t="str">
        <f>VLOOKUP(BD65,المرجع!$D$3:$F$12,3)</f>
        <v xml:space="preserve">جيد </v>
      </c>
      <c r="BG65" s="57">
        <f t="shared" si="27"/>
        <v>63</v>
      </c>
    </row>
    <row r="66" spans="2:59" ht="24" customHeight="1">
      <c r="B66" s="31">
        <v>2023093</v>
      </c>
      <c r="C66" s="61" t="s">
        <v>78</v>
      </c>
      <c r="D66" s="53">
        <v>1</v>
      </c>
      <c r="E66" s="15">
        <v>91</v>
      </c>
      <c r="F66" s="65">
        <f>VLOOKUP(E66,المرجع!$B$3:$C$12,2)</f>
        <v>4.75</v>
      </c>
      <c r="G66" s="44" t="str">
        <f>VLOOKUP(F66,المرجع!$D$3:$E$12,2)</f>
        <v>أ</v>
      </c>
      <c r="H66" s="40">
        <f t="shared" si="14"/>
        <v>4.75</v>
      </c>
      <c r="I66" s="53">
        <v>3</v>
      </c>
      <c r="J66" s="15">
        <v>94</v>
      </c>
      <c r="K66" s="65">
        <f>VLOOKUP(J66,المرجع!$B$3:$C$12,2)</f>
        <v>4.75</v>
      </c>
      <c r="L66" s="44" t="str">
        <f>VLOOKUP(K66,المرجع!$C$3:$E$12,3)</f>
        <v>أ</v>
      </c>
      <c r="M66" s="40">
        <f t="shared" si="15"/>
        <v>14.25</v>
      </c>
      <c r="N66" s="53">
        <v>3</v>
      </c>
      <c r="O66" s="15">
        <v>34</v>
      </c>
      <c r="P66" s="65">
        <f>VLOOKUP(O66,المرجع!$B$3:$C$12,2)</f>
        <v>0</v>
      </c>
      <c r="Q66" s="44" t="str">
        <f>VLOOKUP(P66,المرجع!$C$3:$E$12,3)</f>
        <v>ه</v>
      </c>
      <c r="R66" s="40">
        <f t="shared" si="16"/>
        <v>0</v>
      </c>
      <c r="S66" s="53">
        <v>3</v>
      </c>
      <c r="T66" s="15">
        <v>50</v>
      </c>
      <c r="U66" s="65">
        <f>VLOOKUP(T66,المرجع!$B$3:$C$12,2)</f>
        <v>2</v>
      </c>
      <c r="V66" s="44" t="str">
        <f>VLOOKUP(U66,المرجع!$C$3:$E$12,3)</f>
        <v>د</v>
      </c>
      <c r="W66" s="40">
        <f t="shared" si="17"/>
        <v>6</v>
      </c>
      <c r="X66" s="53">
        <v>3</v>
      </c>
      <c r="Y66" s="15">
        <v>90</v>
      </c>
      <c r="Z66" s="65">
        <f>VLOOKUP(Y66,المرجع!$B$3:$C$12,2)</f>
        <v>4.75</v>
      </c>
      <c r="AA66" s="44" t="str">
        <f>VLOOKUP(Z66,المرجع!$C$3:$E$12,3)</f>
        <v>أ</v>
      </c>
      <c r="AB66" s="40">
        <f t="shared" si="18"/>
        <v>14.25</v>
      </c>
      <c r="AC66" s="53">
        <v>2</v>
      </c>
      <c r="AD66" s="15">
        <v>63</v>
      </c>
      <c r="AE66" s="65">
        <f>VLOOKUP(AD66,المرجع!$B$3:$C$12,2)</f>
        <v>2</v>
      </c>
      <c r="AF66" s="44" t="str">
        <f>VLOOKUP(AE66,المرجع!$C$3:$E$12,3)</f>
        <v>د</v>
      </c>
      <c r="AG66" s="40">
        <f t="shared" si="19"/>
        <v>4</v>
      </c>
      <c r="AH66" s="53">
        <v>2</v>
      </c>
      <c r="AI66" s="15">
        <v>60</v>
      </c>
      <c r="AJ66" s="65">
        <f>VLOOKUP(AI66,المرجع!$B$3:$C$12,2)</f>
        <v>2</v>
      </c>
      <c r="AK66" s="44" t="str">
        <f>VLOOKUP(AJ66,المرجع!$C$3:$E$12,3)</f>
        <v>د</v>
      </c>
      <c r="AL66" s="40">
        <f t="shared" si="20"/>
        <v>4</v>
      </c>
      <c r="AM66" s="53">
        <v>2</v>
      </c>
      <c r="AN66" s="15">
        <v>50</v>
      </c>
      <c r="AO66" s="65">
        <f>VLOOKUP(AN66,المرجع!$B$3:$C$12,2)</f>
        <v>2</v>
      </c>
      <c r="AP66" s="44" t="str">
        <f>VLOOKUP(AO66,المرجع!$C$3:$E$12,3)</f>
        <v>د</v>
      </c>
      <c r="AQ66" s="40">
        <f t="shared" si="21"/>
        <v>4</v>
      </c>
      <c r="AR66" s="53">
        <v>2</v>
      </c>
      <c r="AS66" s="15">
        <v>50</v>
      </c>
      <c r="AT66" s="65">
        <f>VLOOKUP(AS66,المرجع!$B$3:$C$12,2)</f>
        <v>2</v>
      </c>
      <c r="AU66" s="44" t="str">
        <f>VLOOKUP(AT66,المرجع!$C$3:$E$12,3)</f>
        <v>د</v>
      </c>
      <c r="AV66" s="40">
        <f t="shared" si="22"/>
        <v>4</v>
      </c>
      <c r="AW66" s="53">
        <v>2</v>
      </c>
      <c r="AX66" s="15">
        <v>50</v>
      </c>
      <c r="AY66" s="65">
        <f>VLOOKUP(AX66,المرجع!$B$3:$C$12,2)</f>
        <v>2</v>
      </c>
      <c r="AZ66" s="44" t="str">
        <f>VLOOKUP(AY66,المرجع!$C$3:$E$12,3)</f>
        <v>د</v>
      </c>
      <c r="BA66" s="40">
        <f t="shared" si="23"/>
        <v>4</v>
      </c>
      <c r="BB66" s="56">
        <f t="shared" si="24"/>
        <v>59.25</v>
      </c>
      <c r="BC66" s="58">
        <f t="shared" si="25"/>
        <v>23</v>
      </c>
      <c r="BD66" s="60">
        <f t="shared" si="26"/>
        <v>2.5760869565217392</v>
      </c>
      <c r="BE66" s="91">
        <f>(BB66+'المستوى الثالث ح'!BB66+'المستوى الثاني 2023'!BB66+'المستوى الأول 2022'!BL66)/92</f>
        <v>2.4510869565217392</v>
      </c>
      <c r="BF66" s="59" t="str">
        <f>VLOOKUP(BD66,المرجع!$D$3:$F$12,3)</f>
        <v xml:space="preserve">مقبول مرتفع </v>
      </c>
      <c r="BG66" s="57">
        <f t="shared" si="27"/>
        <v>64</v>
      </c>
    </row>
    <row r="67" spans="2:59" ht="24" customHeight="1">
      <c r="B67" s="31">
        <v>2023064</v>
      </c>
      <c r="C67" s="61" t="s">
        <v>77</v>
      </c>
      <c r="D67" s="53">
        <v>1</v>
      </c>
      <c r="E67" s="15">
        <v>71</v>
      </c>
      <c r="F67" s="65">
        <f>VLOOKUP(E67,المرجع!$B$3:$C$12,2)</f>
        <v>3</v>
      </c>
      <c r="G67" s="44" t="str">
        <f>VLOOKUP(F67,المرجع!$D$3:$E$12,2)</f>
        <v>ج</v>
      </c>
      <c r="H67" s="40">
        <f t="shared" ref="H67:H75" si="28">F67*D67</f>
        <v>3</v>
      </c>
      <c r="I67" s="53">
        <v>3</v>
      </c>
      <c r="J67" s="15">
        <v>95</v>
      </c>
      <c r="K67" s="65">
        <f>VLOOKUP(J67,المرجع!$B$3:$C$12,2)</f>
        <v>5</v>
      </c>
      <c r="L67" s="44" t="str">
        <f>VLOOKUP(K67,المرجع!$C$3:$E$12,3)</f>
        <v xml:space="preserve">أ+ </v>
      </c>
      <c r="M67" s="40">
        <f t="shared" ref="M67:M75" si="29">K67*I67</f>
        <v>15</v>
      </c>
      <c r="N67" s="53">
        <v>3</v>
      </c>
      <c r="O67" s="15">
        <v>22</v>
      </c>
      <c r="P67" s="65">
        <f>VLOOKUP(O67,المرجع!$B$3:$C$12,2)</f>
        <v>0</v>
      </c>
      <c r="Q67" s="44" t="str">
        <f>VLOOKUP(P67,المرجع!$C$3:$E$12,3)</f>
        <v>ه</v>
      </c>
      <c r="R67" s="40">
        <f t="shared" ref="R67:R75" si="30">P67*N67</f>
        <v>0</v>
      </c>
      <c r="S67" s="53">
        <v>3</v>
      </c>
      <c r="T67" s="15">
        <v>89</v>
      </c>
      <c r="U67" s="65">
        <f>VLOOKUP(T67,المرجع!$B$3:$C$12,2)</f>
        <v>4.5</v>
      </c>
      <c r="V67" s="44" t="str">
        <f>VLOOKUP(U67,المرجع!$C$3:$E$12,3)</f>
        <v>ب+</v>
      </c>
      <c r="W67" s="40">
        <f t="shared" ref="W67:W75" si="31">U67*S67</f>
        <v>13.5</v>
      </c>
      <c r="X67" s="53">
        <v>3</v>
      </c>
      <c r="Y67" s="15">
        <v>50</v>
      </c>
      <c r="Z67" s="65">
        <f>VLOOKUP(Y67,المرجع!$B$3:$C$12,2)</f>
        <v>2</v>
      </c>
      <c r="AA67" s="44" t="str">
        <f>VLOOKUP(Z67,المرجع!$C$3:$E$12,3)</f>
        <v>د</v>
      </c>
      <c r="AB67" s="40">
        <f t="shared" ref="AB67:AB75" si="32">Z67*X67</f>
        <v>6</v>
      </c>
      <c r="AC67" s="53">
        <v>2</v>
      </c>
      <c r="AD67" s="15">
        <v>71</v>
      </c>
      <c r="AE67" s="65">
        <f>VLOOKUP(AD67,المرجع!$B$3:$C$12,2)</f>
        <v>3</v>
      </c>
      <c r="AF67" s="44" t="str">
        <f>VLOOKUP(AE67,المرجع!$C$3:$E$12,3)</f>
        <v>ج</v>
      </c>
      <c r="AG67" s="40">
        <f t="shared" ref="AG67:AG75" si="33">AE67*AC67</f>
        <v>6</v>
      </c>
      <c r="AH67" s="53">
        <v>2</v>
      </c>
      <c r="AI67" s="15">
        <v>8</v>
      </c>
      <c r="AJ67" s="65">
        <f>VLOOKUP(AI67,المرجع!$B$3:$C$12,2)</f>
        <v>0</v>
      </c>
      <c r="AK67" s="44" t="str">
        <f>VLOOKUP(AJ67,المرجع!$C$3:$E$12,3)</f>
        <v>ه</v>
      </c>
      <c r="AL67" s="40">
        <f t="shared" ref="AL67:AL75" si="34">AJ67*AH67</f>
        <v>0</v>
      </c>
      <c r="AM67" s="53">
        <v>2</v>
      </c>
      <c r="AN67" s="15">
        <v>55</v>
      </c>
      <c r="AO67" s="65">
        <f>VLOOKUP(AN67,المرجع!$B$3:$C$12,2)</f>
        <v>2</v>
      </c>
      <c r="AP67" s="44" t="str">
        <f>VLOOKUP(AO67,المرجع!$C$3:$E$12,3)</f>
        <v>د</v>
      </c>
      <c r="AQ67" s="40">
        <f t="shared" ref="AQ67:AQ75" si="35">AO67*AM67</f>
        <v>4</v>
      </c>
      <c r="AR67" s="53">
        <v>2</v>
      </c>
      <c r="AS67" s="15">
        <v>78</v>
      </c>
      <c r="AT67" s="65">
        <f>VLOOKUP(AS67,المرجع!$B$3:$C$12,2)</f>
        <v>3.5</v>
      </c>
      <c r="AU67" s="44" t="str">
        <f>VLOOKUP(AT67,المرجع!$C$3:$E$12,3)</f>
        <v>ج+</v>
      </c>
      <c r="AV67" s="40">
        <f t="shared" ref="AV67:AV75" si="36">AT67*AR67</f>
        <v>7</v>
      </c>
      <c r="AW67" s="53">
        <v>2</v>
      </c>
      <c r="AX67" s="15">
        <v>61</v>
      </c>
      <c r="AY67" s="65">
        <f>VLOOKUP(AX67,المرجع!$B$3:$C$12,2)</f>
        <v>2</v>
      </c>
      <c r="AZ67" s="44" t="str">
        <f>VLOOKUP(AY67,المرجع!$C$3:$E$12,3)</f>
        <v>د</v>
      </c>
      <c r="BA67" s="40">
        <f t="shared" ref="BA67:BA75" si="37">AY67*AW67</f>
        <v>4</v>
      </c>
      <c r="BB67" s="56">
        <f t="shared" ref="BB67:BB75" si="38">BA67+AV67+AQ67+AL67+AG67+AB67+W67+R67+M67+H67</f>
        <v>58.5</v>
      </c>
      <c r="BC67" s="58">
        <f t="shared" ref="BC67:BC75" si="39">AW67+AR67+AM67+AH67+AC67+X67+S67+N67+I67+D67</f>
        <v>23</v>
      </c>
      <c r="BD67" s="60">
        <f t="shared" ref="BD67:BD75" si="40">BB67/BC67</f>
        <v>2.5434782608695654</v>
      </c>
      <c r="BE67" s="91">
        <f>(BB67+'المستوى الثالث ح'!BB67+'المستوى الثاني 2023'!BB67+'المستوى الأول 2022'!BL67)/92</f>
        <v>2.3940217391304346</v>
      </c>
      <c r="BF67" s="59" t="str">
        <f>VLOOKUP(BD67,المرجع!$D$3:$F$12,3)</f>
        <v xml:space="preserve">مقبول مرتفع </v>
      </c>
      <c r="BG67" s="57">
        <f t="shared" ref="BG67:BG75" si="41">RANK(BD67,$BD$3:$BD$75)</f>
        <v>65</v>
      </c>
    </row>
    <row r="68" spans="2:59" ht="24" customHeight="1">
      <c r="B68" s="31">
        <v>2023068</v>
      </c>
      <c r="C68" s="61" t="s">
        <v>63</v>
      </c>
      <c r="D68" s="53">
        <v>1</v>
      </c>
      <c r="E68" s="15">
        <v>66</v>
      </c>
      <c r="F68" s="65">
        <f>VLOOKUP(E68,المرجع!$B$3:$C$12,2)</f>
        <v>2.5</v>
      </c>
      <c r="G68" s="44" t="str">
        <f>VLOOKUP(F68,المرجع!$D$3:$E$12,2)</f>
        <v>د+</v>
      </c>
      <c r="H68" s="40">
        <f t="shared" si="28"/>
        <v>2.5</v>
      </c>
      <c r="I68" s="53">
        <v>3</v>
      </c>
      <c r="J68" s="15">
        <v>0</v>
      </c>
      <c r="K68" s="65">
        <f>VLOOKUP(J68,المرجع!$B$3:$C$12,2)</f>
        <v>0</v>
      </c>
      <c r="L68" s="44" t="str">
        <f>VLOOKUP(K68,المرجع!$C$3:$E$12,3)</f>
        <v>ه</v>
      </c>
      <c r="M68" s="40">
        <f t="shared" si="29"/>
        <v>0</v>
      </c>
      <c r="N68" s="53">
        <v>3</v>
      </c>
      <c r="O68" s="15">
        <v>17</v>
      </c>
      <c r="P68" s="65">
        <f>VLOOKUP(O68,المرجع!$B$3:$C$12,2)</f>
        <v>0</v>
      </c>
      <c r="Q68" s="44" t="str">
        <f>VLOOKUP(P68,المرجع!$C$3:$E$12,3)</f>
        <v>ه</v>
      </c>
      <c r="R68" s="40">
        <f t="shared" si="30"/>
        <v>0</v>
      </c>
      <c r="S68" s="53">
        <v>3</v>
      </c>
      <c r="T68" s="15">
        <v>93</v>
      </c>
      <c r="U68" s="65">
        <f>VLOOKUP(T68,المرجع!$B$3:$C$12,2)</f>
        <v>4.75</v>
      </c>
      <c r="V68" s="44" t="str">
        <f>VLOOKUP(U68,المرجع!$C$3:$E$12,3)</f>
        <v>أ</v>
      </c>
      <c r="W68" s="40">
        <f t="shared" si="31"/>
        <v>14.25</v>
      </c>
      <c r="X68" s="53">
        <v>3</v>
      </c>
      <c r="Y68" s="15">
        <v>100</v>
      </c>
      <c r="Z68" s="65">
        <f>VLOOKUP(Y68,المرجع!$B$3:$C$12,2)</f>
        <v>5</v>
      </c>
      <c r="AA68" s="44" t="str">
        <f>VLOOKUP(Z68,المرجع!$C$3:$E$12,3)</f>
        <v xml:space="preserve">أ+ </v>
      </c>
      <c r="AB68" s="40">
        <f t="shared" si="32"/>
        <v>15</v>
      </c>
      <c r="AC68" s="53">
        <v>2</v>
      </c>
      <c r="AD68" s="15">
        <v>73</v>
      </c>
      <c r="AE68" s="65">
        <f>VLOOKUP(AD68,المرجع!$B$3:$C$12,2)</f>
        <v>3</v>
      </c>
      <c r="AF68" s="44" t="str">
        <f>VLOOKUP(AE68,المرجع!$C$3:$E$12,3)</f>
        <v>ج</v>
      </c>
      <c r="AG68" s="40">
        <f t="shared" si="33"/>
        <v>6</v>
      </c>
      <c r="AH68" s="53">
        <v>2</v>
      </c>
      <c r="AI68" s="15">
        <v>69</v>
      </c>
      <c r="AJ68" s="65">
        <f>VLOOKUP(AI68,المرجع!$B$3:$C$12,2)</f>
        <v>2.5</v>
      </c>
      <c r="AK68" s="44" t="str">
        <f>VLOOKUP(AJ68,المرجع!$C$3:$E$12,3)</f>
        <v>د+</v>
      </c>
      <c r="AL68" s="40">
        <f t="shared" si="34"/>
        <v>5</v>
      </c>
      <c r="AM68" s="53">
        <v>2</v>
      </c>
      <c r="AN68" s="15">
        <v>88</v>
      </c>
      <c r="AO68" s="65">
        <f>VLOOKUP(AN68,المرجع!$B$3:$C$12,2)</f>
        <v>4.5</v>
      </c>
      <c r="AP68" s="44" t="str">
        <f>VLOOKUP(AO68,المرجع!$C$3:$E$12,3)</f>
        <v>ب+</v>
      </c>
      <c r="AQ68" s="40">
        <f t="shared" si="35"/>
        <v>9</v>
      </c>
      <c r="AR68" s="53">
        <v>2</v>
      </c>
      <c r="AS68" s="15">
        <v>25</v>
      </c>
      <c r="AT68" s="65">
        <f>VLOOKUP(AS68,المرجع!$B$3:$C$12,2)</f>
        <v>0</v>
      </c>
      <c r="AU68" s="44" t="str">
        <f>VLOOKUP(AT68,المرجع!$C$3:$E$12,3)</f>
        <v>ه</v>
      </c>
      <c r="AV68" s="40">
        <f t="shared" si="36"/>
        <v>0</v>
      </c>
      <c r="AW68" s="53">
        <v>2</v>
      </c>
      <c r="AX68" s="15">
        <v>16</v>
      </c>
      <c r="AY68" s="65">
        <f>VLOOKUP(AX68,المرجع!$B$3:$C$12,2)</f>
        <v>0</v>
      </c>
      <c r="AZ68" s="44" t="str">
        <f>VLOOKUP(AY68,المرجع!$C$3:$E$12,3)</f>
        <v>ه</v>
      </c>
      <c r="BA68" s="40">
        <f t="shared" si="37"/>
        <v>0</v>
      </c>
      <c r="BB68" s="56">
        <f t="shared" si="38"/>
        <v>51.75</v>
      </c>
      <c r="BC68" s="58">
        <f t="shared" si="39"/>
        <v>23</v>
      </c>
      <c r="BD68" s="60">
        <f t="shared" si="40"/>
        <v>2.25</v>
      </c>
      <c r="BE68" s="91">
        <f>(BB68+'المستوى الثالث ح'!BB68+'المستوى الثاني 2023'!BB68+'المستوى الأول 2022'!BL68)/92</f>
        <v>2.410326086956522</v>
      </c>
      <c r="BF68" s="59" t="str">
        <f>VLOOKUP(BD68,المرجع!$D$3:$F$12,3)</f>
        <v xml:space="preserve">مقبول مرتفع </v>
      </c>
      <c r="BG68" s="57">
        <f t="shared" si="41"/>
        <v>66</v>
      </c>
    </row>
    <row r="69" spans="2:59" ht="24" customHeight="1">
      <c r="B69" s="31">
        <v>2023025</v>
      </c>
      <c r="C69" s="61" t="s">
        <v>94</v>
      </c>
      <c r="D69" s="53">
        <v>1</v>
      </c>
      <c r="E69" s="15">
        <v>61</v>
      </c>
      <c r="F69" s="65">
        <f>VLOOKUP(E69,المرجع!$B$3:$C$12,2)</f>
        <v>2</v>
      </c>
      <c r="G69" s="44" t="str">
        <f>VLOOKUP(F69,المرجع!$D$3:$E$12,2)</f>
        <v>د</v>
      </c>
      <c r="H69" s="40">
        <f t="shared" si="28"/>
        <v>2</v>
      </c>
      <c r="I69" s="53">
        <v>3</v>
      </c>
      <c r="J69" s="15">
        <v>80</v>
      </c>
      <c r="K69" s="65">
        <f>VLOOKUP(J69,المرجع!$B$3:$C$12,2)</f>
        <v>4</v>
      </c>
      <c r="L69" s="44" t="str">
        <f>VLOOKUP(K69,المرجع!$C$3:$E$12,3)</f>
        <v>ب</v>
      </c>
      <c r="M69" s="40">
        <f t="shared" si="29"/>
        <v>12</v>
      </c>
      <c r="N69" s="53">
        <v>3</v>
      </c>
      <c r="O69" s="15">
        <v>20</v>
      </c>
      <c r="P69" s="65">
        <f>VLOOKUP(O69,المرجع!$B$3:$C$12,2)</f>
        <v>0</v>
      </c>
      <c r="Q69" s="44" t="str">
        <f>VLOOKUP(P69,المرجع!$C$3:$E$12,3)</f>
        <v>ه</v>
      </c>
      <c r="R69" s="40">
        <f t="shared" si="30"/>
        <v>0</v>
      </c>
      <c r="S69" s="53">
        <v>3</v>
      </c>
      <c r="T69" s="15">
        <v>50</v>
      </c>
      <c r="U69" s="65">
        <f>VLOOKUP(T69,المرجع!$B$3:$C$12,2)</f>
        <v>2</v>
      </c>
      <c r="V69" s="44" t="str">
        <f>VLOOKUP(U69,المرجع!$C$3:$E$12,3)</f>
        <v>د</v>
      </c>
      <c r="W69" s="40">
        <f t="shared" si="31"/>
        <v>6</v>
      </c>
      <c r="X69" s="53">
        <v>3</v>
      </c>
      <c r="Y69" s="15">
        <v>30</v>
      </c>
      <c r="Z69" s="65">
        <f>VLOOKUP(Y69,المرجع!$B$3:$C$12,2)</f>
        <v>0</v>
      </c>
      <c r="AA69" s="44" t="str">
        <f>VLOOKUP(Z69,المرجع!$C$3:$E$12,3)</f>
        <v>ه</v>
      </c>
      <c r="AB69" s="40">
        <f t="shared" si="32"/>
        <v>0</v>
      </c>
      <c r="AC69" s="53">
        <v>2</v>
      </c>
      <c r="AD69" s="15">
        <v>39</v>
      </c>
      <c r="AE69" s="65">
        <f>VLOOKUP(AD69,المرجع!$B$3:$C$12,2)</f>
        <v>0</v>
      </c>
      <c r="AF69" s="44" t="str">
        <f>VLOOKUP(AE69,المرجع!$C$3:$E$12,3)</f>
        <v>ه</v>
      </c>
      <c r="AG69" s="40">
        <f t="shared" si="33"/>
        <v>0</v>
      </c>
      <c r="AH69" s="53">
        <v>2</v>
      </c>
      <c r="AI69" s="15">
        <v>80</v>
      </c>
      <c r="AJ69" s="65">
        <f>VLOOKUP(AI69,المرجع!$B$3:$C$12,2)</f>
        <v>4</v>
      </c>
      <c r="AK69" s="44" t="str">
        <f>VLOOKUP(AJ69,المرجع!$C$3:$E$12,3)</f>
        <v>ب</v>
      </c>
      <c r="AL69" s="40">
        <f t="shared" si="34"/>
        <v>8</v>
      </c>
      <c r="AM69" s="53">
        <v>2</v>
      </c>
      <c r="AN69" s="15">
        <v>41</v>
      </c>
      <c r="AO69" s="65">
        <f>VLOOKUP(AN69,المرجع!$B$3:$C$12,2)</f>
        <v>0</v>
      </c>
      <c r="AP69" s="44" t="str">
        <f>VLOOKUP(AO69,المرجع!$C$3:$E$12,3)</f>
        <v>ه</v>
      </c>
      <c r="AQ69" s="40">
        <f t="shared" si="35"/>
        <v>0</v>
      </c>
      <c r="AR69" s="53">
        <v>2</v>
      </c>
      <c r="AS69" s="15">
        <v>90</v>
      </c>
      <c r="AT69" s="65">
        <f>VLOOKUP(AS69,المرجع!$B$3:$C$12,2)</f>
        <v>4.75</v>
      </c>
      <c r="AU69" s="44" t="str">
        <f>VLOOKUP(AT69,المرجع!$C$3:$E$12,3)</f>
        <v>أ</v>
      </c>
      <c r="AV69" s="40">
        <f t="shared" si="36"/>
        <v>9.5</v>
      </c>
      <c r="AW69" s="53">
        <v>2</v>
      </c>
      <c r="AX69" s="15">
        <v>82</v>
      </c>
      <c r="AY69" s="65">
        <f>VLOOKUP(AX69,المرجع!$B$3:$C$12,2)</f>
        <v>4</v>
      </c>
      <c r="AZ69" s="44" t="str">
        <f>VLOOKUP(AY69,المرجع!$C$3:$E$12,3)</f>
        <v>ب</v>
      </c>
      <c r="BA69" s="40">
        <f t="shared" si="37"/>
        <v>8</v>
      </c>
      <c r="BB69" s="56">
        <f t="shared" si="38"/>
        <v>45.5</v>
      </c>
      <c r="BC69" s="58">
        <f t="shared" si="39"/>
        <v>23</v>
      </c>
      <c r="BD69" s="60">
        <f t="shared" si="40"/>
        <v>1.9782608695652173</v>
      </c>
      <c r="BE69" s="91">
        <f>(BB69+'المستوى الثالث ح'!BB69+'المستوى الثاني 2023'!BB69+'المستوى الأول 2022'!BL69)/92</f>
        <v>2.3043478260869565</v>
      </c>
      <c r="BF69" s="59" t="str">
        <f>VLOOKUP(BD69,المرجع!$D$3:$F$12,3)</f>
        <v>راسب</v>
      </c>
      <c r="BG69" s="57">
        <f t="shared" si="41"/>
        <v>67</v>
      </c>
    </row>
    <row r="70" spans="2:59" ht="24" customHeight="1">
      <c r="B70" s="31">
        <v>2023076</v>
      </c>
      <c r="C70" s="61" t="s">
        <v>82</v>
      </c>
      <c r="D70" s="53">
        <v>1</v>
      </c>
      <c r="E70" s="15">
        <v>56</v>
      </c>
      <c r="F70" s="65">
        <f>VLOOKUP(E70,المرجع!$B$3:$C$12,2)</f>
        <v>2</v>
      </c>
      <c r="G70" s="44" t="str">
        <f>VLOOKUP(F70,المرجع!$D$3:$E$12,2)</f>
        <v>د</v>
      </c>
      <c r="H70" s="40">
        <f t="shared" si="28"/>
        <v>2</v>
      </c>
      <c r="I70" s="53">
        <v>3</v>
      </c>
      <c r="J70" s="15">
        <v>95</v>
      </c>
      <c r="K70" s="65">
        <f>VLOOKUP(J70,المرجع!$B$3:$C$12,2)</f>
        <v>5</v>
      </c>
      <c r="L70" s="44" t="str">
        <f>VLOOKUP(K70,المرجع!$C$3:$E$12,3)</f>
        <v xml:space="preserve">أ+ </v>
      </c>
      <c r="M70" s="40">
        <f t="shared" si="29"/>
        <v>15</v>
      </c>
      <c r="N70" s="53">
        <v>3</v>
      </c>
      <c r="O70" s="15">
        <v>16</v>
      </c>
      <c r="P70" s="65">
        <f>VLOOKUP(O70,المرجع!$B$3:$C$12,2)</f>
        <v>0</v>
      </c>
      <c r="Q70" s="44" t="str">
        <f>VLOOKUP(P70,المرجع!$C$3:$E$12,3)</f>
        <v>ه</v>
      </c>
      <c r="R70" s="40">
        <f t="shared" si="30"/>
        <v>0</v>
      </c>
      <c r="S70" s="53">
        <v>3</v>
      </c>
      <c r="T70" s="15">
        <v>80</v>
      </c>
      <c r="U70" s="65">
        <f>VLOOKUP(T70,المرجع!$B$3:$C$12,2)</f>
        <v>4</v>
      </c>
      <c r="V70" s="44" t="str">
        <f>VLOOKUP(U70,المرجع!$C$3:$E$12,3)</f>
        <v>ب</v>
      </c>
      <c r="W70" s="40">
        <f t="shared" si="31"/>
        <v>12</v>
      </c>
      <c r="X70" s="53">
        <v>3</v>
      </c>
      <c r="Y70" s="15">
        <v>60</v>
      </c>
      <c r="Z70" s="65">
        <f>VLOOKUP(Y70,المرجع!$B$3:$C$12,2)</f>
        <v>2</v>
      </c>
      <c r="AA70" s="44" t="str">
        <f>VLOOKUP(Z70,المرجع!$C$3:$E$12,3)</f>
        <v>د</v>
      </c>
      <c r="AB70" s="40">
        <f t="shared" si="32"/>
        <v>6</v>
      </c>
      <c r="AC70" s="53">
        <v>2</v>
      </c>
      <c r="AD70" s="15">
        <v>41</v>
      </c>
      <c r="AE70" s="65">
        <f>VLOOKUP(AD70,المرجع!$B$3:$C$12,2)</f>
        <v>0</v>
      </c>
      <c r="AF70" s="44" t="str">
        <f>VLOOKUP(AE70,المرجع!$C$3:$E$12,3)</f>
        <v>ه</v>
      </c>
      <c r="AG70" s="40">
        <f t="shared" si="33"/>
        <v>0</v>
      </c>
      <c r="AH70" s="53">
        <v>2</v>
      </c>
      <c r="AI70" s="15">
        <v>51</v>
      </c>
      <c r="AJ70" s="65">
        <f>VLOOKUP(AI70,المرجع!$B$3:$C$12,2)</f>
        <v>2</v>
      </c>
      <c r="AK70" s="44" t="str">
        <f>VLOOKUP(AJ70,المرجع!$C$3:$E$12,3)</f>
        <v>د</v>
      </c>
      <c r="AL70" s="40">
        <f t="shared" si="34"/>
        <v>4</v>
      </c>
      <c r="AM70" s="53">
        <v>2</v>
      </c>
      <c r="AN70" s="15">
        <v>29</v>
      </c>
      <c r="AO70" s="65">
        <f>VLOOKUP(AN70,المرجع!$B$3:$C$12,2)</f>
        <v>0</v>
      </c>
      <c r="AP70" s="44" t="str">
        <f>VLOOKUP(AO70,المرجع!$C$3:$E$12,3)</f>
        <v>ه</v>
      </c>
      <c r="AQ70" s="40">
        <f t="shared" si="35"/>
        <v>0</v>
      </c>
      <c r="AR70" s="53">
        <v>2</v>
      </c>
      <c r="AS70" s="15">
        <v>62</v>
      </c>
      <c r="AT70" s="65">
        <f>VLOOKUP(AS70,المرجع!$B$3:$C$12,2)</f>
        <v>2</v>
      </c>
      <c r="AU70" s="44" t="str">
        <f>VLOOKUP(AT70,المرجع!$C$3:$E$12,3)</f>
        <v>د</v>
      </c>
      <c r="AV70" s="40">
        <f t="shared" si="36"/>
        <v>4</v>
      </c>
      <c r="AW70" s="53">
        <v>2</v>
      </c>
      <c r="AX70" s="15">
        <v>36</v>
      </c>
      <c r="AY70" s="65">
        <f>VLOOKUP(AX70,المرجع!$B$3:$C$12,2)</f>
        <v>0</v>
      </c>
      <c r="AZ70" s="44" t="str">
        <f>VLOOKUP(AY70,المرجع!$C$3:$E$12,3)</f>
        <v>ه</v>
      </c>
      <c r="BA70" s="40">
        <f t="shared" si="37"/>
        <v>0</v>
      </c>
      <c r="BB70" s="56">
        <f t="shared" si="38"/>
        <v>43</v>
      </c>
      <c r="BC70" s="58">
        <f t="shared" si="39"/>
        <v>23</v>
      </c>
      <c r="BD70" s="60">
        <f t="shared" si="40"/>
        <v>1.8695652173913044</v>
      </c>
      <c r="BE70" s="91">
        <f>(BB70+'المستوى الثالث ح'!BB70+'المستوى الثاني 2023'!BB70+'المستوى الأول 2022'!BL70)/92</f>
        <v>2.2336956521739131</v>
      </c>
      <c r="BF70" s="59" t="str">
        <f>VLOOKUP(BD70,المرجع!$D$3:$F$12,3)</f>
        <v>راسب</v>
      </c>
      <c r="BG70" s="57">
        <f t="shared" si="41"/>
        <v>68</v>
      </c>
    </row>
    <row r="71" spans="2:59" ht="24" customHeight="1">
      <c r="B71" s="31">
        <v>2023095</v>
      </c>
      <c r="C71" s="61" t="s">
        <v>81</v>
      </c>
      <c r="D71" s="53">
        <v>1</v>
      </c>
      <c r="E71" s="15">
        <v>30</v>
      </c>
      <c r="F71" s="65">
        <f>VLOOKUP(E71,المرجع!$B$3:$C$12,2)</f>
        <v>0</v>
      </c>
      <c r="G71" s="44" t="str">
        <f>VLOOKUP(F71,المرجع!$D$3:$E$12,2)</f>
        <v>ه</v>
      </c>
      <c r="H71" s="40">
        <f t="shared" si="28"/>
        <v>0</v>
      </c>
      <c r="I71" s="53">
        <v>3</v>
      </c>
      <c r="J71" s="15">
        <v>0</v>
      </c>
      <c r="K71" s="65">
        <f>VLOOKUP(J71,المرجع!$B$3:$C$12,2)</f>
        <v>0</v>
      </c>
      <c r="L71" s="44" t="str">
        <f>VLOOKUP(K71,المرجع!$C$3:$E$12,3)</f>
        <v>ه</v>
      </c>
      <c r="M71" s="40">
        <f t="shared" si="29"/>
        <v>0</v>
      </c>
      <c r="N71" s="53">
        <v>3</v>
      </c>
      <c r="O71" s="15">
        <v>32</v>
      </c>
      <c r="P71" s="65">
        <f>VLOOKUP(O71,المرجع!$B$3:$C$12,2)</f>
        <v>0</v>
      </c>
      <c r="Q71" s="44" t="str">
        <f>VLOOKUP(P71,المرجع!$C$3:$E$12,3)</f>
        <v>ه</v>
      </c>
      <c r="R71" s="40">
        <f t="shared" si="30"/>
        <v>0</v>
      </c>
      <c r="S71" s="53">
        <v>3</v>
      </c>
      <c r="T71" s="15">
        <v>50</v>
      </c>
      <c r="U71" s="65">
        <f>VLOOKUP(T71,المرجع!$B$3:$C$12,2)</f>
        <v>2</v>
      </c>
      <c r="V71" s="44" t="str">
        <f>VLOOKUP(U71,المرجع!$C$3:$E$12,3)</f>
        <v>د</v>
      </c>
      <c r="W71" s="40">
        <f t="shared" si="31"/>
        <v>6</v>
      </c>
      <c r="X71" s="53">
        <v>3</v>
      </c>
      <c r="Y71" s="15">
        <v>98</v>
      </c>
      <c r="Z71" s="65">
        <f>VLOOKUP(Y71,المرجع!$B$3:$C$12,2)</f>
        <v>5</v>
      </c>
      <c r="AA71" s="44" t="str">
        <f>VLOOKUP(Z71,المرجع!$C$3:$E$12,3)</f>
        <v xml:space="preserve">أ+ </v>
      </c>
      <c r="AB71" s="40">
        <f t="shared" si="32"/>
        <v>15</v>
      </c>
      <c r="AC71" s="53">
        <v>2</v>
      </c>
      <c r="AD71" s="15">
        <v>81</v>
      </c>
      <c r="AE71" s="65">
        <f>VLOOKUP(AD71,المرجع!$B$3:$C$12,2)</f>
        <v>4</v>
      </c>
      <c r="AF71" s="44" t="str">
        <f>VLOOKUP(AE71,المرجع!$C$3:$E$12,3)</f>
        <v>ب</v>
      </c>
      <c r="AG71" s="40">
        <f t="shared" si="33"/>
        <v>8</v>
      </c>
      <c r="AH71" s="53">
        <v>2</v>
      </c>
      <c r="AI71" s="15">
        <v>80</v>
      </c>
      <c r="AJ71" s="65">
        <f>VLOOKUP(AI71,المرجع!$B$3:$C$12,2)</f>
        <v>4</v>
      </c>
      <c r="AK71" s="44" t="str">
        <f>VLOOKUP(AJ71,المرجع!$C$3:$E$12,3)</f>
        <v>ب</v>
      </c>
      <c r="AL71" s="40">
        <f t="shared" si="34"/>
        <v>8</v>
      </c>
      <c r="AM71" s="53">
        <v>2</v>
      </c>
      <c r="AN71" s="15">
        <v>52</v>
      </c>
      <c r="AO71" s="65">
        <f>VLOOKUP(AN71,المرجع!$B$3:$C$12,2)</f>
        <v>2</v>
      </c>
      <c r="AP71" s="44" t="str">
        <f>VLOOKUP(AO71,المرجع!$C$3:$E$12,3)</f>
        <v>د</v>
      </c>
      <c r="AQ71" s="40">
        <f t="shared" si="35"/>
        <v>4</v>
      </c>
      <c r="AR71" s="53">
        <v>2</v>
      </c>
      <c r="AS71" s="15">
        <v>25</v>
      </c>
      <c r="AT71" s="65">
        <f>VLOOKUP(AS71,المرجع!$B$3:$C$12,2)</f>
        <v>0</v>
      </c>
      <c r="AU71" s="44" t="str">
        <f>VLOOKUP(AT71,المرجع!$C$3:$E$12,3)</f>
        <v>ه</v>
      </c>
      <c r="AV71" s="40">
        <f t="shared" si="36"/>
        <v>0</v>
      </c>
      <c r="AW71" s="53">
        <v>2</v>
      </c>
      <c r="AX71" s="15">
        <v>17</v>
      </c>
      <c r="AY71" s="65">
        <f>VLOOKUP(AX71,المرجع!$B$3:$C$12,2)</f>
        <v>0</v>
      </c>
      <c r="AZ71" s="44" t="str">
        <f>VLOOKUP(AY71,المرجع!$C$3:$E$12,3)</f>
        <v>ه</v>
      </c>
      <c r="BA71" s="40">
        <f t="shared" si="37"/>
        <v>0</v>
      </c>
      <c r="BB71" s="56">
        <f t="shared" si="38"/>
        <v>41</v>
      </c>
      <c r="BC71" s="58">
        <f t="shared" si="39"/>
        <v>23</v>
      </c>
      <c r="BD71" s="60">
        <f t="shared" si="40"/>
        <v>1.7826086956521738</v>
      </c>
      <c r="BE71" s="91">
        <f>(BB71+'المستوى الثالث ح'!BB71+'المستوى الثاني 2023'!BB71+'المستوى الأول 2022'!BL71)/92</f>
        <v>2.0733695652173911</v>
      </c>
      <c r="BF71" s="59" t="str">
        <f>VLOOKUP(BD71,المرجع!$D$3:$F$12,3)</f>
        <v>راسب</v>
      </c>
      <c r="BG71" s="57">
        <f t="shared" si="41"/>
        <v>69</v>
      </c>
    </row>
    <row r="72" spans="2:59" ht="24" customHeight="1">
      <c r="B72" s="31">
        <v>2023091</v>
      </c>
      <c r="C72" s="61" t="s">
        <v>70</v>
      </c>
      <c r="D72" s="53">
        <v>1</v>
      </c>
      <c r="E72" s="15">
        <v>70</v>
      </c>
      <c r="F72" s="65">
        <f>VLOOKUP(E72,المرجع!$B$3:$C$12,2)</f>
        <v>3</v>
      </c>
      <c r="G72" s="44" t="str">
        <f>VLOOKUP(F72,المرجع!$D$3:$E$12,2)</f>
        <v>ج</v>
      </c>
      <c r="H72" s="40">
        <f t="shared" si="28"/>
        <v>3</v>
      </c>
      <c r="I72" s="53">
        <v>3</v>
      </c>
      <c r="J72" s="15">
        <v>0</v>
      </c>
      <c r="K72" s="65">
        <f>VLOOKUP(J72,المرجع!$B$3:$C$12,2)</f>
        <v>0</v>
      </c>
      <c r="L72" s="44" t="str">
        <f>VLOOKUP(K72,المرجع!$C$3:$E$12,3)</f>
        <v>ه</v>
      </c>
      <c r="M72" s="40">
        <f t="shared" si="29"/>
        <v>0</v>
      </c>
      <c r="N72" s="53">
        <v>3</v>
      </c>
      <c r="O72" s="15">
        <v>58</v>
      </c>
      <c r="P72" s="65">
        <f>VLOOKUP(O72,المرجع!$B$3:$C$12,2)</f>
        <v>2</v>
      </c>
      <c r="Q72" s="44" t="str">
        <f>VLOOKUP(P72,المرجع!$C$3:$E$12,3)</f>
        <v>د</v>
      </c>
      <c r="R72" s="40">
        <f t="shared" si="30"/>
        <v>6</v>
      </c>
      <c r="S72" s="53">
        <v>3</v>
      </c>
      <c r="T72" s="15">
        <v>65</v>
      </c>
      <c r="U72" s="65">
        <f>VLOOKUP(T72,المرجع!$B$3:$C$12,2)</f>
        <v>2.5</v>
      </c>
      <c r="V72" s="44" t="str">
        <f>VLOOKUP(U72,المرجع!$C$3:$E$12,3)</f>
        <v>د+</v>
      </c>
      <c r="W72" s="40">
        <f t="shared" si="31"/>
        <v>7.5</v>
      </c>
      <c r="X72" s="53">
        <v>3</v>
      </c>
      <c r="Y72" s="15">
        <v>98</v>
      </c>
      <c r="Z72" s="65">
        <f>VLOOKUP(Y72,المرجع!$B$3:$C$12,2)</f>
        <v>5</v>
      </c>
      <c r="AA72" s="44" t="str">
        <f>VLOOKUP(Z72,المرجع!$C$3:$E$12,3)</f>
        <v xml:space="preserve">أ+ </v>
      </c>
      <c r="AB72" s="40">
        <f t="shared" si="32"/>
        <v>15</v>
      </c>
      <c r="AC72" s="53">
        <v>2</v>
      </c>
      <c r="AD72" s="15">
        <v>52</v>
      </c>
      <c r="AE72" s="65">
        <f>VLOOKUP(AD72,المرجع!$B$3:$C$12,2)</f>
        <v>2</v>
      </c>
      <c r="AF72" s="44" t="str">
        <f>VLOOKUP(AE72,المرجع!$C$3:$E$12,3)</f>
        <v>د</v>
      </c>
      <c r="AG72" s="40">
        <f t="shared" si="33"/>
        <v>4</v>
      </c>
      <c r="AH72" s="53">
        <v>2</v>
      </c>
      <c r="AI72" s="15">
        <v>51</v>
      </c>
      <c r="AJ72" s="65">
        <f>VLOOKUP(AI72,المرجع!$B$3:$C$12,2)</f>
        <v>2</v>
      </c>
      <c r="AK72" s="44" t="str">
        <f>VLOOKUP(AJ72,المرجع!$C$3:$E$12,3)</f>
        <v>د</v>
      </c>
      <c r="AL72" s="40">
        <f t="shared" si="34"/>
        <v>4</v>
      </c>
      <c r="AM72" s="53">
        <v>2</v>
      </c>
      <c r="AN72" s="15">
        <v>35</v>
      </c>
      <c r="AO72" s="65">
        <f>VLOOKUP(AN72,المرجع!$B$3:$C$12,2)</f>
        <v>0</v>
      </c>
      <c r="AP72" s="44" t="str">
        <f>VLOOKUP(AO72,المرجع!$C$3:$E$12,3)</f>
        <v>ه</v>
      </c>
      <c r="AQ72" s="40">
        <f t="shared" si="35"/>
        <v>0</v>
      </c>
      <c r="AR72" s="53">
        <v>2</v>
      </c>
      <c r="AS72" s="15">
        <v>25</v>
      </c>
      <c r="AT72" s="65">
        <f>VLOOKUP(AS72,المرجع!$B$3:$C$12,2)</f>
        <v>0</v>
      </c>
      <c r="AU72" s="44" t="str">
        <f>VLOOKUP(AT72,المرجع!$C$3:$E$12,3)</f>
        <v>ه</v>
      </c>
      <c r="AV72" s="40">
        <f t="shared" si="36"/>
        <v>0</v>
      </c>
      <c r="AW72" s="53">
        <v>2</v>
      </c>
      <c r="AX72" s="15">
        <v>19</v>
      </c>
      <c r="AY72" s="65">
        <f>VLOOKUP(AX72,المرجع!$B$3:$C$12,2)</f>
        <v>0</v>
      </c>
      <c r="AZ72" s="44" t="str">
        <f>VLOOKUP(AY72,المرجع!$C$3:$E$12,3)</f>
        <v>ه</v>
      </c>
      <c r="BA72" s="40">
        <f t="shared" si="37"/>
        <v>0</v>
      </c>
      <c r="BB72" s="56">
        <f t="shared" si="38"/>
        <v>39.5</v>
      </c>
      <c r="BC72" s="58">
        <f t="shared" si="39"/>
        <v>23</v>
      </c>
      <c r="BD72" s="60">
        <f t="shared" si="40"/>
        <v>1.7173913043478262</v>
      </c>
      <c r="BE72" s="91">
        <f>(BB72+'المستوى الثالث ح'!BB72+'المستوى الثاني 2023'!BB72+'المستوى الأول 2022'!BL72)/92</f>
        <v>2.1875</v>
      </c>
      <c r="BF72" s="59" t="str">
        <f>VLOOKUP(BD72,المرجع!$D$3:$F$12,3)</f>
        <v>راسب</v>
      </c>
      <c r="BG72" s="57">
        <f t="shared" si="41"/>
        <v>70</v>
      </c>
    </row>
    <row r="73" spans="2:59" ht="24" customHeight="1">
      <c r="B73" s="31">
        <v>2023133</v>
      </c>
      <c r="C73" s="61" t="s">
        <v>31</v>
      </c>
      <c r="D73" s="53">
        <v>1</v>
      </c>
      <c r="E73" s="15">
        <v>5</v>
      </c>
      <c r="F73" s="65">
        <f>VLOOKUP(E73,المرجع!$B$3:$C$12,2)</f>
        <v>0</v>
      </c>
      <c r="G73" s="44" t="str">
        <f>VLOOKUP(F73,المرجع!$D$3:$E$12,2)</f>
        <v>ه</v>
      </c>
      <c r="H73" s="40">
        <f t="shared" si="28"/>
        <v>0</v>
      </c>
      <c r="I73" s="53">
        <v>3</v>
      </c>
      <c r="J73" s="15">
        <v>0</v>
      </c>
      <c r="K73" s="65">
        <f>VLOOKUP(J73,المرجع!$B$3:$C$12,2)</f>
        <v>0</v>
      </c>
      <c r="L73" s="44" t="str">
        <f>VLOOKUP(K73,المرجع!$C$3:$E$12,3)</f>
        <v>ه</v>
      </c>
      <c r="M73" s="40">
        <f t="shared" si="29"/>
        <v>0</v>
      </c>
      <c r="N73" s="53">
        <v>3</v>
      </c>
      <c r="O73" s="15">
        <v>15</v>
      </c>
      <c r="P73" s="65">
        <f>VLOOKUP(O73,المرجع!$B$3:$C$12,2)</f>
        <v>0</v>
      </c>
      <c r="Q73" s="44" t="str">
        <f>VLOOKUP(P73,المرجع!$C$3:$E$12,3)</f>
        <v>ه</v>
      </c>
      <c r="R73" s="40">
        <f t="shared" si="30"/>
        <v>0</v>
      </c>
      <c r="S73" s="53">
        <v>3</v>
      </c>
      <c r="T73" s="15">
        <v>90</v>
      </c>
      <c r="U73" s="65">
        <f>VLOOKUP(T73,المرجع!$B$3:$C$12,2)</f>
        <v>4.75</v>
      </c>
      <c r="V73" s="44" t="str">
        <f>VLOOKUP(U73,المرجع!$C$3:$E$12,3)</f>
        <v>أ</v>
      </c>
      <c r="W73" s="40">
        <f t="shared" si="31"/>
        <v>14.25</v>
      </c>
      <c r="X73" s="53">
        <v>3</v>
      </c>
      <c r="Y73" s="15">
        <v>100</v>
      </c>
      <c r="Z73" s="65">
        <f>VLOOKUP(Y73,المرجع!$B$3:$C$12,2)</f>
        <v>5</v>
      </c>
      <c r="AA73" s="44" t="str">
        <f>VLOOKUP(Z73,المرجع!$C$3:$E$12,3)</f>
        <v xml:space="preserve">أ+ </v>
      </c>
      <c r="AB73" s="40">
        <f t="shared" si="32"/>
        <v>15</v>
      </c>
      <c r="AC73" s="53">
        <v>2</v>
      </c>
      <c r="AD73" s="15">
        <v>31</v>
      </c>
      <c r="AE73" s="65">
        <f>VLOOKUP(AD73,المرجع!$B$3:$C$12,2)</f>
        <v>0</v>
      </c>
      <c r="AF73" s="44" t="str">
        <f>VLOOKUP(AE73,المرجع!$C$3:$E$12,3)</f>
        <v>ه</v>
      </c>
      <c r="AG73" s="40">
        <f t="shared" si="33"/>
        <v>0</v>
      </c>
      <c r="AH73" s="53">
        <v>2</v>
      </c>
      <c r="AI73" s="15">
        <v>80</v>
      </c>
      <c r="AJ73" s="65">
        <f>VLOOKUP(AI73,المرجع!$B$3:$C$12,2)</f>
        <v>4</v>
      </c>
      <c r="AK73" s="44" t="str">
        <f>VLOOKUP(AJ73,المرجع!$C$3:$E$12,3)</f>
        <v>ب</v>
      </c>
      <c r="AL73" s="40">
        <f t="shared" si="34"/>
        <v>8</v>
      </c>
      <c r="AM73" s="53">
        <v>2</v>
      </c>
      <c r="AN73" s="15">
        <v>30</v>
      </c>
      <c r="AO73" s="65">
        <f>VLOOKUP(AN73,المرجع!$B$3:$C$12,2)</f>
        <v>0</v>
      </c>
      <c r="AP73" s="44" t="str">
        <f>VLOOKUP(AO73,المرجع!$C$3:$E$12,3)</f>
        <v>ه</v>
      </c>
      <c r="AQ73" s="40">
        <f t="shared" si="35"/>
        <v>0</v>
      </c>
      <c r="AR73" s="53">
        <v>2</v>
      </c>
      <c r="AS73" s="15">
        <v>28</v>
      </c>
      <c r="AT73" s="65">
        <f>VLOOKUP(AS73,المرجع!$B$3:$C$12,2)</f>
        <v>0</v>
      </c>
      <c r="AU73" s="44" t="str">
        <f>VLOOKUP(AT73,المرجع!$C$3:$E$12,3)</f>
        <v>ه</v>
      </c>
      <c r="AV73" s="40">
        <f t="shared" si="36"/>
        <v>0</v>
      </c>
      <c r="AW73" s="53">
        <v>2</v>
      </c>
      <c r="AX73" s="15">
        <v>18</v>
      </c>
      <c r="AY73" s="65">
        <f>VLOOKUP(AX73,المرجع!$B$3:$C$12,2)</f>
        <v>0</v>
      </c>
      <c r="AZ73" s="44" t="str">
        <f>VLOOKUP(AY73,المرجع!$C$3:$E$12,3)</f>
        <v>ه</v>
      </c>
      <c r="BA73" s="40">
        <f t="shared" si="37"/>
        <v>0</v>
      </c>
      <c r="BB73" s="56">
        <f t="shared" si="38"/>
        <v>37.25</v>
      </c>
      <c r="BC73" s="58">
        <f t="shared" si="39"/>
        <v>23</v>
      </c>
      <c r="BD73" s="60">
        <f t="shared" si="40"/>
        <v>1.6195652173913044</v>
      </c>
      <c r="BE73" s="91">
        <f>(BB73+'المستوى الثالث ح'!BB73+'المستوى الثاني 2023'!BB73+'المستوى الأول 2022'!BL73)/92</f>
        <v>2.2173913043478262</v>
      </c>
      <c r="BF73" s="59" t="str">
        <f>VLOOKUP(BD73,المرجع!$D$3:$F$12,3)</f>
        <v>راسب</v>
      </c>
      <c r="BG73" s="57">
        <f t="shared" si="41"/>
        <v>71</v>
      </c>
    </row>
    <row r="74" spans="2:59" ht="24" customHeight="1">
      <c r="B74" s="31">
        <v>2023048</v>
      </c>
      <c r="C74" s="61" t="s">
        <v>35</v>
      </c>
      <c r="D74" s="53">
        <v>1</v>
      </c>
      <c r="E74" s="15">
        <v>39</v>
      </c>
      <c r="F74" s="65">
        <f>VLOOKUP(E74,المرجع!$B$3:$C$12,2)</f>
        <v>0</v>
      </c>
      <c r="G74" s="44" t="str">
        <f>VLOOKUP(F74,المرجع!$D$3:$E$12,2)</f>
        <v>ه</v>
      </c>
      <c r="H74" s="40">
        <f t="shared" si="28"/>
        <v>0</v>
      </c>
      <c r="I74" s="53">
        <v>3</v>
      </c>
      <c r="J74" s="15">
        <v>80</v>
      </c>
      <c r="K74" s="65">
        <f>VLOOKUP(J74,المرجع!$B$3:$C$12,2)</f>
        <v>4</v>
      </c>
      <c r="L74" s="44" t="str">
        <f>VLOOKUP(K74,المرجع!$C$3:$E$12,3)</f>
        <v>ب</v>
      </c>
      <c r="M74" s="40">
        <f t="shared" si="29"/>
        <v>12</v>
      </c>
      <c r="N74" s="53">
        <v>3</v>
      </c>
      <c r="O74" s="15">
        <v>12</v>
      </c>
      <c r="P74" s="65">
        <f>VLOOKUP(O74,المرجع!$B$3:$C$12,2)</f>
        <v>0</v>
      </c>
      <c r="Q74" s="44" t="str">
        <f>VLOOKUP(P74,المرجع!$C$3:$E$12,3)</f>
        <v>ه</v>
      </c>
      <c r="R74" s="40">
        <f t="shared" si="30"/>
        <v>0</v>
      </c>
      <c r="S74" s="53">
        <v>3</v>
      </c>
      <c r="T74" s="15">
        <v>60</v>
      </c>
      <c r="U74" s="65">
        <f>VLOOKUP(T74,المرجع!$B$3:$C$12,2)</f>
        <v>2</v>
      </c>
      <c r="V74" s="44" t="str">
        <f>VLOOKUP(U74,المرجع!$C$3:$E$12,3)</f>
        <v>د</v>
      </c>
      <c r="W74" s="40">
        <f t="shared" si="31"/>
        <v>6</v>
      </c>
      <c r="X74" s="53">
        <v>3</v>
      </c>
      <c r="Y74" s="15">
        <v>40</v>
      </c>
      <c r="Z74" s="65">
        <f>VLOOKUP(Y74,المرجع!$B$3:$C$12,2)</f>
        <v>0</v>
      </c>
      <c r="AA74" s="44" t="str">
        <f>VLOOKUP(Z74,المرجع!$C$3:$E$12,3)</f>
        <v>ه</v>
      </c>
      <c r="AB74" s="40">
        <f t="shared" si="32"/>
        <v>0</v>
      </c>
      <c r="AC74" s="53">
        <v>2</v>
      </c>
      <c r="AD74" s="15">
        <v>36</v>
      </c>
      <c r="AE74" s="65">
        <f>VLOOKUP(AD74,المرجع!$B$3:$C$12,2)</f>
        <v>0</v>
      </c>
      <c r="AF74" s="44" t="str">
        <f>VLOOKUP(AE74,المرجع!$C$3:$E$12,3)</f>
        <v>ه</v>
      </c>
      <c r="AG74" s="40">
        <f t="shared" si="33"/>
        <v>0</v>
      </c>
      <c r="AH74" s="53">
        <v>2</v>
      </c>
      <c r="AI74" s="15">
        <v>52</v>
      </c>
      <c r="AJ74" s="65">
        <f>VLOOKUP(AI74,المرجع!$B$3:$C$12,2)</f>
        <v>2</v>
      </c>
      <c r="AK74" s="44" t="str">
        <f>VLOOKUP(AJ74,المرجع!$C$3:$E$12,3)</f>
        <v>د</v>
      </c>
      <c r="AL74" s="40">
        <f t="shared" si="34"/>
        <v>4</v>
      </c>
      <c r="AM74" s="53">
        <v>2</v>
      </c>
      <c r="AN74" s="15">
        <v>50</v>
      </c>
      <c r="AO74" s="65">
        <f>VLOOKUP(AN74,المرجع!$B$3:$C$12,2)</f>
        <v>2</v>
      </c>
      <c r="AP74" s="44" t="str">
        <f>VLOOKUP(AO74,المرجع!$C$3:$E$12,3)</f>
        <v>د</v>
      </c>
      <c r="AQ74" s="40">
        <f t="shared" si="35"/>
        <v>4</v>
      </c>
      <c r="AR74" s="53">
        <v>2</v>
      </c>
      <c r="AS74" s="15">
        <v>75</v>
      </c>
      <c r="AT74" s="65">
        <f>VLOOKUP(AS74,المرجع!$B$3:$C$12,2)</f>
        <v>3.5</v>
      </c>
      <c r="AU74" s="44" t="str">
        <f>VLOOKUP(AT74,المرجع!$C$3:$E$12,3)</f>
        <v>ج+</v>
      </c>
      <c r="AV74" s="40">
        <f t="shared" si="36"/>
        <v>7</v>
      </c>
      <c r="AW74" s="53">
        <v>2</v>
      </c>
      <c r="AX74" s="15">
        <v>63</v>
      </c>
      <c r="AY74" s="65">
        <f>VLOOKUP(AX74,المرجع!$B$3:$C$12,2)</f>
        <v>2</v>
      </c>
      <c r="AZ74" s="44" t="str">
        <f>VLOOKUP(AY74,المرجع!$C$3:$E$12,3)</f>
        <v>د</v>
      </c>
      <c r="BA74" s="40">
        <f t="shared" si="37"/>
        <v>4</v>
      </c>
      <c r="BB74" s="56">
        <f t="shared" si="38"/>
        <v>37</v>
      </c>
      <c r="BC74" s="58">
        <f t="shared" si="39"/>
        <v>23</v>
      </c>
      <c r="BD74" s="60">
        <f t="shared" si="40"/>
        <v>1.6086956521739131</v>
      </c>
      <c r="BE74" s="91">
        <f>(BB74+'المستوى الثالث ح'!BB74+'المستوى الثاني 2023'!BB74+'المستوى الأول 2022'!BL74)/92</f>
        <v>1.9184782608695652</v>
      </c>
      <c r="BF74" s="59" t="str">
        <f>VLOOKUP(BD74,المرجع!$D$3:$F$12,3)</f>
        <v>راسب</v>
      </c>
      <c r="BG74" s="57">
        <f t="shared" si="41"/>
        <v>72</v>
      </c>
    </row>
    <row r="75" spans="2:59" ht="24" customHeight="1">
      <c r="B75" s="31">
        <v>2023003</v>
      </c>
      <c r="C75" s="61" t="s">
        <v>24</v>
      </c>
      <c r="D75" s="53">
        <v>1</v>
      </c>
      <c r="E75" s="15">
        <v>41</v>
      </c>
      <c r="F75" s="65">
        <f>VLOOKUP(E75,المرجع!$B$3:$C$12,2)</f>
        <v>0</v>
      </c>
      <c r="G75" s="44" t="str">
        <f>VLOOKUP(F75,المرجع!$D$3:$E$12,2)</f>
        <v>ه</v>
      </c>
      <c r="H75" s="40">
        <f t="shared" si="28"/>
        <v>0</v>
      </c>
      <c r="I75" s="53">
        <v>3</v>
      </c>
      <c r="J75" s="15">
        <v>45</v>
      </c>
      <c r="K75" s="65">
        <f>VLOOKUP(J75,المرجع!$B$3:$C$12,2)</f>
        <v>0</v>
      </c>
      <c r="L75" s="44" t="str">
        <f>VLOOKUP(K75,المرجع!$C$3:$E$12,3)</f>
        <v>ه</v>
      </c>
      <c r="M75" s="40">
        <f t="shared" si="29"/>
        <v>0</v>
      </c>
      <c r="N75" s="53">
        <v>3</v>
      </c>
      <c r="O75" s="15">
        <v>4</v>
      </c>
      <c r="P75" s="65">
        <f>VLOOKUP(O75,المرجع!$B$3:$C$12,2)</f>
        <v>0</v>
      </c>
      <c r="Q75" s="44" t="str">
        <f>VLOOKUP(P75,المرجع!$C$3:$E$12,3)</f>
        <v>ه</v>
      </c>
      <c r="R75" s="40">
        <f t="shared" si="30"/>
        <v>0</v>
      </c>
      <c r="S75" s="53">
        <v>3</v>
      </c>
      <c r="T75" s="15">
        <v>10</v>
      </c>
      <c r="U75" s="65">
        <f>VLOOKUP(T75,المرجع!$B$3:$C$12,2)</f>
        <v>0</v>
      </c>
      <c r="V75" s="44" t="str">
        <f>VLOOKUP(U75,المرجع!$C$3:$E$12,3)</f>
        <v>ه</v>
      </c>
      <c r="W75" s="40">
        <f t="shared" si="31"/>
        <v>0</v>
      </c>
      <c r="X75" s="53">
        <v>3</v>
      </c>
      <c r="Y75" s="15">
        <v>0</v>
      </c>
      <c r="Z75" s="65">
        <f>VLOOKUP(Y75,المرجع!$B$3:$C$12,2)</f>
        <v>0</v>
      </c>
      <c r="AA75" s="44" t="str">
        <f>VLOOKUP(Z75,المرجع!$C$3:$E$12,3)</f>
        <v>ه</v>
      </c>
      <c r="AB75" s="40">
        <f t="shared" si="32"/>
        <v>0</v>
      </c>
      <c r="AC75" s="53">
        <v>2</v>
      </c>
      <c r="AD75" s="15">
        <v>51</v>
      </c>
      <c r="AE75" s="65">
        <f>VLOOKUP(AD75,المرجع!$B$3:$C$12,2)</f>
        <v>2</v>
      </c>
      <c r="AF75" s="44" t="str">
        <f>VLOOKUP(AE75,المرجع!$C$3:$E$12,3)</f>
        <v>د</v>
      </c>
      <c r="AG75" s="40">
        <f t="shared" si="33"/>
        <v>4</v>
      </c>
      <c r="AH75" s="53">
        <v>2</v>
      </c>
      <c r="AI75" s="15">
        <v>42</v>
      </c>
      <c r="AJ75" s="65">
        <f>VLOOKUP(AI75,المرجع!$B$3:$C$12,2)</f>
        <v>0</v>
      </c>
      <c r="AK75" s="44" t="str">
        <f>VLOOKUP(AJ75,المرجع!$C$3:$E$12,3)</f>
        <v>ه</v>
      </c>
      <c r="AL75" s="40">
        <f t="shared" si="34"/>
        <v>0</v>
      </c>
      <c r="AM75" s="53">
        <v>2</v>
      </c>
      <c r="AN75" s="15">
        <v>46</v>
      </c>
      <c r="AO75" s="65">
        <f>VLOOKUP(AN75,المرجع!$B$3:$C$12,2)</f>
        <v>0</v>
      </c>
      <c r="AP75" s="44" t="str">
        <f>VLOOKUP(AO75,المرجع!$C$3:$E$12,3)</f>
        <v>ه</v>
      </c>
      <c r="AQ75" s="40">
        <f t="shared" si="35"/>
        <v>0</v>
      </c>
      <c r="AR75" s="53">
        <v>2</v>
      </c>
      <c r="AS75" s="15">
        <v>80</v>
      </c>
      <c r="AT75" s="65">
        <f>VLOOKUP(AS75,المرجع!$B$3:$C$12,2)</f>
        <v>4</v>
      </c>
      <c r="AU75" s="44" t="str">
        <f>VLOOKUP(AT75,المرجع!$C$3:$E$12,3)</f>
        <v>ب</v>
      </c>
      <c r="AV75" s="40">
        <f t="shared" si="36"/>
        <v>8</v>
      </c>
      <c r="AW75" s="53">
        <v>2</v>
      </c>
      <c r="AX75" s="15">
        <v>78</v>
      </c>
      <c r="AY75" s="65">
        <f>VLOOKUP(AX75,المرجع!$B$3:$C$12,2)</f>
        <v>3.5</v>
      </c>
      <c r="AZ75" s="44" t="str">
        <f>VLOOKUP(AY75,المرجع!$C$3:$E$12,3)</f>
        <v>ج+</v>
      </c>
      <c r="BA75" s="40">
        <f t="shared" si="37"/>
        <v>7</v>
      </c>
      <c r="BB75" s="56">
        <f t="shared" si="38"/>
        <v>19</v>
      </c>
      <c r="BC75" s="58">
        <f t="shared" si="39"/>
        <v>23</v>
      </c>
      <c r="BD75" s="60">
        <f t="shared" si="40"/>
        <v>0.82608695652173914</v>
      </c>
      <c r="BE75" s="91">
        <f>(BB75+'المستوى الثالث ح'!BB75+'المستوى الثاني 2023'!BB75+'المستوى الأول 2022'!BL75)/92</f>
        <v>1.7690217391304348</v>
      </c>
      <c r="BF75" s="59" t="str">
        <f>VLOOKUP(BD75,المرجع!$D$3:$F$12,3)</f>
        <v>راسب</v>
      </c>
      <c r="BG75" s="57">
        <f t="shared" si="41"/>
        <v>73</v>
      </c>
    </row>
  </sheetData>
  <sortState xmlns:xlrd2="http://schemas.microsoft.com/office/spreadsheetml/2017/richdata2" ref="B3:BG75">
    <sortCondition ref="BG3:BG75"/>
  </sortState>
  <conditionalFormatting sqref="BF2">
    <cfRule type="containsText" dxfId="3" priority="1" operator="containsText" text="راسب">
      <formula>NOT(ISERROR(SEARCH("راسب",BF2)))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38FA-F893-44F7-924F-7B5DE3BDF3FA}">
  <dimension ref="A2:BK68"/>
  <sheetViews>
    <sheetView rightToLeft="1" workbookViewId="0">
      <selection activeCell="AC75" sqref="AC75"/>
    </sheetView>
  </sheetViews>
  <sheetFormatPr defaultRowHeight="14.5"/>
  <cols>
    <col min="1" max="1" width="15.7265625" customWidth="1"/>
    <col min="2" max="2" width="28.453125" customWidth="1"/>
    <col min="3" max="3" width="7.26953125" hidden="1" customWidth="1"/>
    <col min="4" max="4" width="5.453125" hidden="1" customWidth="1"/>
    <col min="5" max="5" width="5.6328125" hidden="1" customWidth="1"/>
    <col min="6" max="6" width="5.08984375" hidden="1" customWidth="1"/>
    <col min="7" max="7" width="6.26953125" hidden="1" customWidth="1"/>
    <col min="8" max="8" width="7.26953125" hidden="1" customWidth="1"/>
    <col min="9" max="9" width="5.453125" hidden="1" customWidth="1"/>
    <col min="10" max="10" width="5.6328125" hidden="1" customWidth="1"/>
    <col min="11" max="12" width="5.08984375" hidden="1" customWidth="1"/>
    <col min="13" max="13" width="7.26953125" hidden="1" customWidth="1"/>
    <col min="14" max="15" width="5.7265625" hidden="1" customWidth="1"/>
    <col min="16" max="16" width="5.08984375" hidden="1" customWidth="1"/>
    <col min="17" max="17" width="5.7265625" hidden="1" customWidth="1"/>
    <col min="18" max="18" width="7.26953125" hidden="1" customWidth="1"/>
    <col min="19" max="19" width="5.453125" hidden="1" customWidth="1"/>
    <col min="20" max="20" width="5.6328125" hidden="1" customWidth="1"/>
    <col min="21" max="22" width="5.08984375" hidden="1" customWidth="1"/>
    <col min="23" max="23" width="7.26953125" hidden="1" customWidth="1"/>
    <col min="24" max="24" width="5.453125" hidden="1" customWidth="1"/>
    <col min="25" max="25" width="5.6328125" hidden="1" customWidth="1"/>
    <col min="26" max="26" width="5.08984375" hidden="1" customWidth="1"/>
    <col min="27" max="27" width="7.6328125" hidden="1" customWidth="1"/>
    <col min="28" max="28" width="7.26953125" customWidth="1"/>
    <col min="29" max="29" width="5.453125" customWidth="1"/>
    <col min="30" max="30" width="5.6328125" bestFit="1" customWidth="1"/>
    <col min="31" max="31" width="5.08984375" customWidth="1"/>
    <col min="32" max="32" width="7.6328125" customWidth="1"/>
    <col min="33" max="33" width="8.81640625" customWidth="1"/>
    <col min="34" max="34" width="5.453125" customWidth="1"/>
    <col min="35" max="35" width="5.6328125" bestFit="1" customWidth="1"/>
    <col min="37" max="37" width="5.08984375" customWidth="1"/>
    <col min="38" max="38" width="7.26953125" customWidth="1"/>
    <col min="39" max="39" width="5.453125" customWidth="1"/>
    <col min="40" max="40" width="5.6328125" bestFit="1" customWidth="1"/>
    <col min="41" max="42" width="5.08984375" customWidth="1"/>
    <col min="43" max="43" width="7.26953125" customWidth="1"/>
    <col min="44" max="44" width="5.453125" customWidth="1"/>
    <col min="45" max="45" width="5.6328125" customWidth="1"/>
    <col min="46" max="46" width="5.08984375" customWidth="1"/>
    <col min="47" max="47" width="7.6328125" customWidth="1"/>
    <col min="48" max="48" width="7.26953125" customWidth="1"/>
    <col min="49" max="49" width="5.453125" customWidth="1"/>
    <col min="50" max="50" width="8.81640625" customWidth="1"/>
    <col min="51" max="52" width="5.08984375" customWidth="1"/>
    <col min="53" max="53" width="7.26953125" customWidth="1"/>
    <col min="54" max="54" width="5.453125" customWidth="1"/>
    <col min="55" max="55" width="5.6328125" bestFit="1" customWidth="1"/>
    <col min="56" max="57" width="5.08984375" customWidth="1"/>
    <col min="58" max="58" width="8.90625" bestFit="1" customWidth="1"/>
    <col min="59" max="59" width="6.90625" customWidth="1"/>
    <col min="60" max="60" width="8.81640625" customWidth="1"/>
    <col min="61" max="61" width="7.90625" bestFit="1" customWidth="1"/>
    <col min="62" max="62" width="11.36328125" bestFit="1" customWidth="1"/>
    <col min="63" max="63" width="6.90625" customWidth="1"/>
  </cols>
  <sheetData>
    <row r="2" spans="1:63" ht="110.5">
      <c r="A2" s="109" t="s">
        <v>127</v>
      </c>
      <c r="B2" s="110" t="s">
        <v>128</v>
      </c>
      <c r="C2" s="111" t="s">
        <v>203</v>
      </c>
      <c r="D2" s="138" t="s">
        <v>129</v>
      </c>
      <c r="E2" s="112" t="s">
        <v>200</v>
      </c>
      <c r="F2" s="113" t="s">
        <v>201</v>
      </c>
      <c r="G2" s="114" t="s">
        <v>202</v>
      </c>
      <c r="H2" s="111" t="s">
        <v>204</v>
      </c>
      <c r="I2" s="138" t="s">
        <v>205</v>
      </c>
      <c r="J2" s="112" t="s">
        <v>206</v>
      </c>
      <c r="K2" s="113" t="s">
        <v>207</v>
      </c>
      <c r="L2" s="114" t="s">
        <v>208</v>
      </c>
      <c r="M2" s="111" t="s">
        <v>209</v>
      </c>
      <c r="N2" s="138" t="s">
        <v>142</v>
      </c>
      <c r="O2" s="112" t="s">
        <v>255</v>
      </c>
      <c r="P2" s="113" t="s">
        <v>256</v>
      </c>
      <c r="Q2" s="114" t="s">
        <v>257</v>
      </c>
      <c r="R2" s="111" t="s">
        <v>210</v>
      </c>
      <c r="S2" s="138" t="s">
        <v>184</v>
      </c>
      <c r="T2" s="112" t="s">
        <v>211</v>
      </c>
      <c r="U2" s="113" t="s">
        <v>212</v>
      </c>
      <c r="V2" s="114" t="s">
        <v>213</v>
      </c>
      <c r="W2" s="111" t="s">
        <v>214</v>
      </c>
      <c r="X2" s="138" t="s">
        <v>185</v>
      </c>
      <c r="Y2" s="112" t="s">
        <v>215</v>
      </c>
      <c r="Z2" s="113" t="s">
        <v>216</v>
      </c>
      <c r="AA2" s="114" t="s">
        <v>217</v>
      </c>
      <c r="AB2" s="111" t="s">
        <v>218</v>
      </c>
      <c r="AC2" s="139" t="s">
        <v>186</v>
      </c>
      <c r="AD2" s="112" t="s">
        <v>219</v>
      </c>
      <c r="AE2" s="113" t="s">
        <v>220</v>
      </c>
      <c r="AF2" s="114" t="s">
        <v>221</v>
      </c>
      <c r="AG2" s="111" t="s">
        <v>222</v>
      </c>
      <c r="AH2" s="138" t="s">
        <v>187</v>
      </c>
      <c r="AI2" s="112" t="s">
        <v>223</v>
      </c>
      <c r="AJ2" s="113" t="s">
        <v>224</v>
      </c>
      <c r="AK2" s="114" t="s">
        <v>225</v>
      </c>
      <c r="AL2" s="111" t="s">
        <v>233</v>
      </c>
      <c r="AM2" s="138" t="s">
        <v>188</v>
      </c>
      <c r="AN2" s="112" t="s">
        <v>234</v>
      </c>
      <c r="AO2" s="113" t="s">
        <v>235</v>
      </c>
      <c r="AP2" s="114" t="s">
        <v>236</v>
      </c>
      <c r="AQ2" s="111" t="s">
        <v>226</v>
      </c>
      <c r="AR2" s="138" t="s">
        <v>189</v>
      </c>
      <c r="AS2" s="112" t="s">
        <v>227</v>
      </c>
      <c r="AT2" s="113" t="s">
        <v>228</v>
      </c>
      <c r="AU2" s="114" t="s">
        <v>229</v>
      </c>
      <c r="AV2" s="111" t="s">
        <v>230</v>
      </c>
      <c r="AW2" s="138" t="s">
        <v>190</v>
      </c>
      <c r="AX2" s="112" t="s">
        <v>231</v>
      </c>
      <c r="AY2" s="113" t="s">
        <v>232</v>
      </c>
      <c r="AZ2" s="114" t="s">
        <v>237</v>
      </c>
      <c r="BA2" s="111" t="s">
        <v>238</v>
      </c>
      <c r="BB2" s="115" t="s">
        <v>138</v>
      </c>
      <c r="BC2" s="112" t="s">
        <v>239</v>
      </c>
      <c r="BD2" s="113" t="s">
        <v>240</v>
      </c>
      <c r="BE2" s="114" t="s">
        <v>241</v>
      </c>
      <c r="BF2" s="116" t="s">
        <v>100</v>
      </c>
      <c r="BG2" s="116" t="s">
        <v>101</v>
      </c>
      <c r="BH2" s="116" t="s">
        <v>102</v>
      </c>
      <c r="BI2" s="116" t="s">
        <v>103</v>
      </c>
      <c r="BJ2" s="116" t="s">
        <v>104</v>
      </c>
      <c r="BK2" s="117" t="s">
        <v>105</v>
      </c>
    </row>
    <row r="3" spans="1:63" ht="28.5" hidden="1">
      <c r="A3" s="107">
        <v>2023085</v>
      </c>
      <c r="B3" s="70" t="s">
        <v>85</v>
      </c>
      <c r="C3" s="53">
        <v>1</v>
      </c>
      <c r="D3" s="15">
        <v>90</v>
      </c>
      <c r="E3" s="65">
        <f>VLOOKUP(D3,المرجع!$B$4:$C$12,2)</f>
        <v>4.75</v>
      </c>
      <c r="F3" s="44" t="str">
        <f>VLOOKUP(E3,المرجع!$D$4:$E$12,2)</f>
        <v>أ</v>
      </c>
      <c r="G3" s="40">
        <f>E3*C3</f>
        <v>4.75</v>
      </c>
      <c r="H3" s="53">
        <v>2</v>
      </c>
      <c r="I3" s="15">
        <v>99</v>
      </c>
      <c r="J3" s="65">
        <f>VLOOKUP(I3,المرجع!$B$4:$C$12,2)</f>
        <v>5</v>
      </c>
      <c r="K3" s="44" t="str">
        <f>VLOOKUP(J3,المرجع!$D$4:$E$12,2)</f>
        <v xml:space="preserve">أ+ </v>
      </c>
      <c r="L3" s="40">
        <f>J3*H3</f>
        <v>10</v>
      </c>
      <c r="M3" s="53">
        <v>3</v>
      </c>
      <c r="N3" s="15">
        <v>100</v>
      </c>
      <c r="O3" s="65">
        <f>VLOOKUP(N3,المرجع!$B$4:$C$12,2)</f>
        <v>5</v>
      </c>
      <c r="P3" s="44" t="str">
        <f>VLOOKUP(O3,المرجع!$D$4:$E$12,2)</f>
        <v xml:space="preserve">أ+ </v>
      </c>
      <c r="Q3" s="40">
        <f>O3*M3</f>
        <v>15</v>
      </c>
      <c r="R3" s="53">
        <v>2</v>
      </c>
      <c r="S3" s="15">
        <v>100</v>
      </c>
      <c r="T3" s="65">
        <f>VLOOKUP(S3,المرجع!$B$4:$C$12,2)</f>
        <v>5</v>
      </c>
      <c r="U3" s="44" t="str">
        <f>VLOOKUP(T3,المرجع!$D$4:$E$12,2)</f>
        <v xml:space="preserve">أ+ </v>
      </c>
      <c r="V3" s="40">
        <f>T3*R3</f>
        <v>10</v>
      </c>
      <c r="W3" s="53">
        <v>2</v>
      </c>
      <c r="X3" s="15">
        <v>100</v>
      </c>
      <c r="Y3" s="65">
        <f>VLOOKUP(X3,المرجع!$B$4:$C$12,2)</f>
        <v>5</v>
      </c>
      <c r="Z3" s="44" t="str">
        <f>VLOOKUP(Y3,المرجع!$D$4:$E$12,2)</f>
        <v xml:space="preserve">أ+ </v>
      </c>
      <c r="AA3" s="40">
        <f>Y3*W3</f>
        <v>10</v>
      </c>
      <c r="AB3" s="53">
        <v>3</v>
      </c>
      <c r="AC3" s="15">
        <v>100</v>
      </c>
      <c r="AD3" s="65">
        <f>VLOOKUP(AC3,المرجع!$B$4:$C$12,2)</f>
        <v>5</v>
      </c>
      <c r="AE3" s="44" t="str">
        <f>VLOOKUP(AD3,المرجع!$D$4:$E$12,2)</f>
        <v xml:space="preserve">أ+ </v>
      </c>
      <c r="AF3" s="40">
        <f>AD3*AB3</f>
        <v>15</v>
      </c>
      <c r="AG3" s="53">
        <v>2</v>
      </c>
      <c r="AH3" s="15">
        <v>100</v>
      </c>
      <c r="AI3" s="65">
        <f>VLOOKUP(AH3,المرجع!$B$4:$C$12,2)</f>
        <v>5</v>
      </c>
      <c r="AJ3" s="44" t="str">
        <f>VLOOKUP(AI3,المرجع!$D$4:$E$12,2)</f>
        <v xml:space="preserve">أ+ </v>
      </c>
      <c r="AK3" s="40">
        <f>AI3*AG3</f>
        <v>10</v>
      </c>
      <c r="AL3" s="53">
        <v>2</v>
      </c>
      <c r="AM3" s="15">
        <v>94</v>
      </c>
      <c r="AN3" s="65">
        <f>VLOOKUP(AM3,المرجع!$B$4:$C$12,2)</f>
        <v>4.75</v>
      </c>
      <c r="AO3" s="44" t="str">
        <f>VLOOKUP(AN3,المرجع!$D$4:$E$12,2)</f>
        <v>أ</v>
      </c>
      <c r="AP3" s="40">
        <f>AN3*AL3</f>
        <v>9.5</v>
      </c>
      <c r="AQ3" s="53">
        <v>3</v>
      </c>
      <c r="AR3" s="15">
        <v>100</v>
      </c>
      <c r="AS3" s="65">
        <f>VLOOKUP(AR3,المرجع!$B$4:$C$12,2)</f>
        <v>5</v>
      </c>
      <c r="AT3" s="44" t="str">
        <f>VLOOKUP(AS3,المرجع!$D$4:$E$12,2)</f>
        <v xml:space="preserve">أ+ </v>
      </c>
      <c r="AU3" s="40">
        <f>AS3*AQ3</f>
        <v>15</v>
      </c>
      <c r="AV3" s="53">
        <v>2</v>
      </c>
      <c r="AW3" s="15">
        <v>85</v>
      </c>
      <c r="AX3" s="65">
        <f>VLOOKUP(AW3,المرجع!$B$4:$C$12,2)</f>
        <v>4.5</v>
      </c>
      <c r="AY3" s="44" t="str">
        <f>VLOOKUP(AX3,المرجع!$D$4:$E$12,2)</f>
        <v>ب+</v>
      </c>
      <c r="AZ3" s="40">
        <f>AX3*AV3</f>
        <v>9</v>
      </c>
      <c r="BA3" s="53">
        <v>2</v>
      </c>
      <c r="BB3" s="15">
        <v>96</v>
      </c>
      <c r="BC3" s="65">
        <f>VLOOKUP(BB3,المرجع!$B$4:$C$12,2)</f>
        <v>5</v>
      </c>
      <c r="BD3" s="44" t="str">
        <f>VLOOKUP(BC3,المرجع!$D$4:$E$12,2)</f>
        <v xml:space="preserve">أ+ </v>
      </c>
      <c r="BE3" s="40">
        <f>BC3*BA3</f>
        <v>10</v>
      </c>
      <c r="BF3" s="56">
        <v>113.25</v>
      </c>
      <c r="BG3" s="58">
        <f>BA3+AV3+AQ3+AL3+AG3+AB3+W3+R3+M3+H3+C3</f>
        <v>24</v>
      </c>
      <c r="BH3" s="60">
        <v>4.92</v>
      </c>
      <c r="BI3" s="92">
        <v>4.68</v>
      </c>
      <c r="BJ3" s="59" t="s">
        <v>126</v>
      </c>
      <c r="BK3" s="108">
        <v>1</v>
      </c>
    </row>
    <row r="4" spans="1:63" ht="28.5" hidden="1">
      <c r="A4" s="107">
        <v>2023035</v>
      </c>
      <c r="B4" s="70" t="s">
        <v>84</v>
      </c>
      <c r="C4" s="53">
        <v>1</v>
      </c>
      <c r="D4" s="15">
        <v>84</v>
      </c>
      <c r="E4" s="65">
        <f>VLOOKUP(D4,المرجع!$B$4:$C$12,2)</f>
        <v>4</v>
      </c>
      <c r="F4" s="44" t="str">
        <f>VLOOKUP(E4,المرجع!$D$4:$E$12,2)</f>
        <v>ب</v>
      </c>
      <c r="G4" s="40">
        <f t="shared" ref="G4:G67" si="0">E4*C4</f>
        <v>4</v>
      </c>
      <c r="H4" s="53">
        <v>2</v>
      </c>
      <c r="I4" s="15">
        <v>95</v>
      </c>
      <c r="J4" s="65">
        <f>VLOOKUP(I4,المرجع!$B$4:$C$12,2)</f>
        <v>5</v>
      </c>
      <c r="K4" s="44" t="str">
        <f>VLOOKUP(J4,المرجع!$D$4:$E$12,2)</f>
        <v xml:space="preserve">أ+ </v>
      </c>
      <c r="L4" s="40">
        <f t="shared" ref="L4:L67" si="1">J4*H4</f>
        <v>10</v>
      </c>
      <c r="M4" s="53">
        <v>3</v>
      </c>
      <c r="N4" s="15">
        <v>100</v>
      </c>
      <c r="O4" s="65">
        <f>VLOOKUP(N4,المرجع!$B$4:$C$12,2)</f>
        <v>5</v>
      </c>
      <c r="P4" s="44" t="str">
        <f>VLOOKUP(O4,المرجع!$D$4:$E$12,2)</f>
        <v xml:space="preserve">أ+ </v>
      </c>
      <c r="Q4" s="40">
        <f t="shared" ref="Q4:Q67" si="2">O4*M4</f>
        <v>15</v>
      </c>
      <c r="R4" s="53">
        <v>2</v>
      </c>
      <c r="S4" s="15">
        <v>100</v>
      </c>
      <c r="T4" s="65">
        <f>VLOOKUP(S4,المرجع!$B$4:$C$12,2)</f>
        <v>5</v>
      </c>
      <c r="U4" s="44" t="str">
        <f>VLOOKUP(T4,المرجع!$D$4:$E$12,2)</f>
        <v xml:space="preserve">أ+ </v>
      </c>
      <c r="V4" s="40">
        <f t="shared" ref="V4:V67" si="3">T4*R4</f>
        <v>10</v>
      </c>
      <c r="W4" s="53">
        <v>2</v>
      </c>
      <c r="X4" s="15">
        <v>100</v>
      </c>
      <c r="Y4" s="65">
        <f>VLOOKUP(X4,المرجع!$B$4:$C$12,2)</f>
        <v>5</v>
      </c>
      <c r="Z4" s="44" t="str">
        <f>VLOOKUP(Y4,المرجع!$D$4:$E$12,2)</f>
        <v xml:space="preserve">أ+ </v>
      </c>
      <c r="AA4" s="40">
        <f t="shared" ref="AA4:AA67" si="4">Y4*W4</f>
        <v>10</v>
      </c>
      <c r="AB4" s="53">
        <v>3</v>
      </c>
      <c r="AC4" s="15">
        <v>100</v>
      </c>
      <c r="AD4" s="65">
        <f>VLOOKUP(AC4,المرجع!$B$4:$C$12,2)</f>
        <v>5</v>
      </c>
      <c r="AE4" s="44" t="str">
        <f>VLOOKUP(AD4,المرجع!$D$4:$E$12,2)</f>
        <v xml:space="preserve">أ+ </v>
      </c>
      <c r="AF4" s="40">
        <f t="shared" ref="AF4:AF67" si="5">AD4*AB4</f>
        <v>15</v>
      </c>
      <c r="AG4" s="53">
        <v>2</v>
      </c>
      <c r="AH4" s="15">
        <v>100</v>
      </c>
      <c r="AI4" s="65">
        <f>VLOOKUP(AH4,المرجع!$B$4:$C$12,2)</f>
        <v>5</v>
      </c>
      <c r="AJ4" s="44" t="str">
        <f>VLOOKUP(AI4,المرجع!$D$4:$E$12,2)</f>
        <v xml:space="preserve">أ+ </v>
      </c>
      <c r="AK4" s="40">
        <f t="shared" ref="AK4:AK67" si="6">AI4*AG4</f>
        <v>10</v>
      </c>
      <c r="AL4" s="53">
        <v>2</v>
      </c>
      <c r="AM4" s="15">
        <v>100</v>
      </c>
      <c r="AN4" s="65">
        <f>VLOOKUP(AM4,المرجع!$B$4:$C$12,2)</f>
        <v>5</v>
      </c>
      <c r="AO4" s="44" t="str">
        <f>VLOOKUP(AN4,المرجع!$D$4:$E$12,2)</f>
        <v xml:space="preserve">أ+ </v>
      </c>
      <c r="AP4" s="40">
        <f t="shared" ref="AP4:AP67" si="7">AN4*AL4</f>
        <v>10</v>
      </c>
      <c r="AQ4" s="53">
        <v>3</v>
      </c>
      <c r="AR4" s="15">
        <v>99</v>
      </c>
      <c r="AS4" s="65">
        <f>VLOOKUP(AR4,المرجع!$B$4:$C$12,2)</f>
        <v>5</v>
      </c>
      <c r="AT4" s="44" t="str">
        <f>VLOOKUP(AS4,المرجع!$D$4:$E$12,2)</f>
        <v xml:space="preserve">أ+ </v>
      </c>
      <c r="AU4" s="40">
        <f t="shared" ref="AU4:AU67" si="8">AS4*AQ4</f>
        <v>15</v>
      </c>
      <c r="AV4" s="53">
        <v>2</v>
      </c>
      <c r="AW4" s="15">
        <v>83</v>
      </c>
      <c r="AX4" s="65">
        <f>VLOOKUP(AW4,المرجع!$B$4:$C$12,2)</f>
        <v>4</v>
      </c>
      <c r="AY4" s="44" t="str">
        <f>VLOOKUP(AX4,المرجع!$D$4:$E$12,2)</f>
        <v>ب</v>
      </c>
      <c r="AZ4" s="40">
        <f t="shared" ref="AZ4:AZ67" si="9">AX4*AV4</f>
        <v>8</v>
      </c>
      <c r="BA4" s="53">
        <v>2</v>
      </c>
      <c r="BB4" s="15">
        <v>100</v>
      </c>
      <c r="BC4" s="65">
        <f>VLOOKUP(BB4,المرجع!$B$4:$C$12,2)</f>
        <v>5</v>
      </c>
      <c r="BD4" s="44" t="str">
        <f>VLOOKUP(BC4,المرجع!$D$4:$E$12,2)</f>
        <v xml:space="preserve">أ+ </v>
      </c>
      <c r="BE4" s="40">
        <f t="shared" ref="BE4:BE67" si="10">BC4*BA4</f>
        <v>10</v>
      </c>
      <c r="BF4" s="56">
        <v>112</v>
      </c>
      <c r="BG4" s="58">
        <f t="shared" ref="BG4:BG67" si="11">BA4+AV4+AQ4+AL4+AG4+AB4+W4+R4+M4+H4+C4</f>
        <v>24</v>
      </c>
      <c r="BH4" s="60">
        <v>4.8600000000000003</v>
      </c>
      <c r="BI4" s="92">
        <v>4.63</v>
      </c>
      <c r="BJ4" s="59" t="s">
        <v>126</v>
      </c>
      <c r="BK4" s="108">
        <v>2</v>
      </c>
    </row>
    <row r="5" spans="1:63" ht="28.5" hidden="1">
      <c r="A5" s="107">
        <v>2023110</v>
      </c>
      <c r="B5" s="70" t="s">
        <v>56</v>
      </c>
      <c r="C5" s="53">
        <v>1</v>
      </c>
      <c r="D5" s="15">
        <v>100</v>
      </c>
      <c r="E5" s="65">
        <f>VLOOKUP(D5,المرجع!$B$4:$C$12,2)</f>
        <v>5</v>
      </c>
      <c r="F5" s="44" t="str">
        <f>VLOOKUP(E5,المرجع!$D$4:$E$12,2)</f>
        <v xml:space="preserve">أ+ </v>
      </c>
      <c r="G5" s="40">
        <f t="shared" si="0"/>
        <v>5</v>
      </c>
      <c r="H5" s="53">
        <v>2</v>
      </c>
      <c r="I5" s="15">
        <v>99</v>
      </c>
      <c r="J5" s="65">
        <f>VLOOKUP(I5,المرجع!$B$4:$C$12,2)</f>
        <v>5</v>
      </c>
      <c r="K5" s="44" t="str">
        <f>VLOOKUP(J5,المرجع!$D$4:$E$12,2)</f>
        <v xml:space="preserve">أ+ </v>
      </c>
      <c r="L5" s="40">
        <f t="shared" si="1"/>
        <v>10</v>
      </c>
      <c r="M5" s="53">
        <v>3</v>
      </c>
      <c r="N5" s="15">
        <v>97</v>
      </c>
      <c r="O5" s="65">
        <f>VLOOKUP(N5,المرجع!$B$4:$C$12,2)</f>
        <v>5</v>
      </c>
      <c r="P5" s="44" t="str">
        <f>VLOOKUP(O5,المرجع!$D$4:$E$12,2)</f>
        <v xml:space="preserve">أ+ </v>
      </c>
      <c r="Q5" s="40">
        <f t="shared" si="2"/>
        <v>15</v>
      </c>
      <c r="R5" s="53">
        <v>2</v>
      </c>
      <c r="S5" s="15">
        <v>89</v>
      </c>
      <c r="T5" s="65">
        <f>VLOOKUP(S5,المرجع!$B$4:$C$12,2)</f>
        <v>4.5</v>
      </c>
      <c r="U5" s="44" t="str">
        <f>VLOOKUP(T5,المرجع!$D$4:$E$12,2)</f>
        <v>ب+</v>
      </c>
      <c r="V5" s="40">
        <f t="shared" si="3"/>
        <v>9</v>
      </c>
      <c r="W5" s="53">
        <v>2</v>
      </c>
      <c r="X5" s="15">
        <v>100</v>
      </c>
      <c r="Y5" s="65">
        <f>VLOOKUP(X5,المرجع!$B$4:$C$12,2)</f>
        <v>5</v>
      </c>
      <c r="Z5" s="44" t="str">
        <f>VLOOKUP(Y5,المرجع!$D$4:$E$12,2)</f>
        <v xml:space="preserve">أ+ </v>
      </c>
      <c r="AA5" s="40">
        <f t="shared" si="4"/>
        <v>10</v>
      </c>
      <c r="AB5" s="53">
        <v>3</v>
      </c>
      <c r="AC5" s="15">
        <v>98</v>
      </c>
      <c r="AD5" s="65">
        <f>VLOOKUP(AC5,المرجع!$B$4:$C$12,2)</f>
        <v>5</v>
      </c>
      <c r="AE5" s="44" t="str">
        <f>VLOOKUP(AD5,المرجع!$D$4:$E$12,2)</f>
        <v xml:space="preserve">أ+ </v>
      </c>
      <c r="AF5" s="40">
        <f t="shared" si="5"/>
        <v>15</v>
      </c>
      <c r="AG5" s="53">
        <v>2</v>
      </c>
      <c r="AH5" s="15">
        <v>99</v>
      </c>
      <c r="AI5" s="65">
        <f>VLOOKUP(AH5,المرجع!$B$4:$C$12,2)</f>
        <v>5</v>
      </c>
      <c r="AJ5" s="44" t="str">
        <f>VLOOKUP(AI5,المرجع!$D$4:$E$12,2)</f>
        <v xml:space="preserve">أ+ </v>
      </c>
      <c r="AK5" s="40">
        <f t="shared" si="6"/>
        <v>10</v>
      </c>
      <c r="AL5" s="53">
        <v>2</v>
      </c>
      <c r="AM5" s="15">
        <v>95</v>
      </c>
      <c r="AN5" s="65">
        <f>VLOOKUP(AM5,المرجع!$B$4:$C$12,2)</f>
        <v>5</v>
      </c>
      <c r="AO5" s="44" t="str">
        <f>VLOOKUP(AN5,المرجع!$D$4:$E$12,2)</f>
        <v xml:space="preserve">أ+ </v>
      </c>
      <c r="AP5" s="40">
        <f t="shared" si="7"/>
        <v>10</v>
      </c>
      <c r="AQ5" s="53">
        <v>3</v>
      </c>
      <c r="AR5" s="15">
        <v>96</v>
      </c>
      <c r="AS5" s="65">
        <f>VLOOKUP(AR5,المرجع!$B$4:$C$12,2)</f>
        <v>5</v>
      </c>
      <c r="AT5" s="44" t="str">
        <f>VLOOKUP(AS5,المرجع!$D$4:$E$12,2)</f>
        <v xml:space="preserve">أ+ </v>
      </c>
      <c r="AU5" s="40">
        <f t="shared" si="8"/>
        <v>15</v>
      </c>
      <c r="AV5" s="53">
        <v>2</v>
      </c>
      <c r="AW5" s="15">
        <v>55</v>
      </c>
      <c r="AX5" s="65">
        <f>VLOOKUP(AW5,المرجع!$B$4:$C$12,2)</f>
        <v>2</v>
      </c>
      <c r="AY5" s="44" t="str">
        <f>VLOOKUP(AX5,المرجع!$D$4:$E$12,2)</f>
        <v>د</v>
      </c>
      <c r="AZ5" s="40">
        <f t="shared" si="9"/>
        <v>4</v>
      </c>
      <c r="BA5" s="53">
        <v>2</v>
      </c>
      <c r="BB5" s="15">
        <v>100</v>
      </c>
      <c r="BC5" s="65">
        <f>VLOOKUP(BB5,المرجع!$B$4:$C$12,2)</f>
        <v>5</v>
      </c>
      <c r="BD5" s="44" t="str">
        <f>VLOOKUP(BC5,المرجع!$D$4:$E$12,2)</f>
        <v xml:space="preserve">أ+ </v>
      </c>
      <c r="BE5" s="40">
        <f t="shared" si="10"/>
        <v>10</v>
      </c>
      <c r="BF5" s="56">
        <v>107.5</v>
      </c>
      <c r="BG5" s="58">
        <f t="shared" si="11"/>
        <v>24</v>
      </c>
      <c r="BH5" s="60">
        <v>4.67</v>
      </c>
      <c r="BI5" s="92">
        <v>4.54</v>
      </c>
      <c r="BJ5" s="59" t="s">
        <v>124</v>
      </c>
      <c r="BK5" s="108">
        <v>4</v>
      </c>
    </row>
    <row r="6" spans="1:63" ht="28.5" hidden="1">
      <c r="A6" s="107">
        <v>2023001</v>
      </c>
      <c r="B6" s="70" t="s">
        <v>1</v>
      </c>
      <c r="C6" s="53">
        <v>1</v>
      </c>
      <c r="D6" s="15">
        <v>88</v>
      </c>
      <c r="E6" s="65">
        <f>VLOOKUP(D6,المرجع!$B$4:$C$12,2)</f>
        <v>4.5</v>
      </c>
      <c r="F6" s="44" t="str">
        <f>VLOOKUP(E6,المرجع!$D$4:$E$12,2)</f>
        <v>ب+</v>
      </c>
      <c r="G6" s="40">
        <f t="shared" si="0"/>
        <v>4.5</v>
      </c>
      <c r="H6" s="53">
        <v>2</v>
      </c>
      <c r="I6" s="15">
        <v>99</v>
      </c>
      <c r="J6" s="65">
        <f>VLOOKUP(I6,المرجع!$B$4:$C$12,2)</f>
        <v>5</v>
      </c>
      <c r="K6" s="44" t="str">
        <f>VLOOKUP(J6,المرجع!$D$4:$E$12,2)</f>
        <v xml:space="preserve">أ+ </v>
      </c>
      <c r="L6" s="40">
        <f t="shared" si="1"/>
        <v>10</v>
      </c>
      <c r="M6" s="53">
        <v>3</v>
      </c>
      <c r="N6" s="15">
        <v>95</v>
      </c>
      <c r="O6" s="65">
        <f>VLOOKUP(N6,المرجع!$B$4:$C$12,2)</f>
        <v>5</v>
      </c>
      <c r="P6" s="44" t="str">
        <f>VLOOKUP(O6,المرجع!$D$4:$E$12,2)</f>
        <v xml:space="preserve">أ+ </v>
      </c>
      <c r="Q6" s="40">
        <f t="shared" si="2"/>
        <v>15</v>
      </c>
      <c r="R6" s="53">
        <v>2</v>
      </c>
      <c r="S6" s="15">
        <v>95</v>
      </c>
      <c r="T6" s="65">
        <f>VLOOKUP(S6,المرجع!$B$4:$C$12,2)</f>
        <v>5</v>
      </c>
      <c r="U6" s="44" t="str">
        <f>VLOOKUP(T6,المرجع!$D$4:$E$12,2)</f>
        <v xml:space="preserve">أ+ </v>
      </c>
      <c r="V6" s="40">
        <f t="shared" si="3"/>
        <v>10</v>
      </c>
      <c r="W6" s="53">
        <v>2</v>
      </c>
      <c r="X6" s="15">
        <v>100</v>
      </c>
      <c r="Y6" s="65">
        <f>VLOOKUP(X6,المرجع!$B$4:$C$12,2)</f>
        <v>5</v>
      </c>
      <c r="Z6" s="44" t="str">
        <f>VLOOKUP(Y6,المرجع!$D$4:$E$12,2)</f>
        <v xml:space="preserve">أ+ </v>
      </c>
      <c r="AA6" s="40">
        <f t="shared" si="4"/>
        <v>10</v>
      </c>
      <c r="AB6" s="53">
        <v>3</v>
      </c>
      <c r="AC6" s="15">
        <v>82</v>
      </c>
      <c r="AD6" s="65">
        <f>VLOOKUP(AC6,المرجع!$B$4:$C$12,2)</f>
        <v>4</v>
      </c>
      <c r="AE6" s="44" t="str">
        <f>VLOOKUP(AD6,المرجع!$D$4:$E$12,2)</f>
        <v>ب</v>
      </c>
      <c r="AF6" s="40">
        <f t="shared" si="5"/>
        <v>12</v>
      </c>
      <c r="AG6" s="53">
        <v>2</v>
      </c>
      <c r="AH6" s="15">
        <v>95</v>
      </c>
      <c r="AI6" s="65">
        <f>VLOOKUP(AH6,المرجع!$B$4:$C$12,2)</f>
        <v>5</v>
      </c>
      <c r="AJ6" s="44" t="str">
        <f>VLOOKUP(AI6,المرجع!$D$4:$E$12,2)</f>
        <v xml:space="preserve">أ+ </v>
      </c>
      <c r="AK6" s="40">
        <f t="shared" si="6"/>
        <v>10</v>
      </c>
      <c r="AL6" s="53">
        <v>2</v>
      </c>
      <c r="AM6" s="15">
        <v>100</v>
      </c>
      <c r="AN6" s="65">
        <f>VLOOKUP(AM6,المرجع!$B$4:$C$12,2)</f>
        <v>5</v>
      </c>
      <c r="AO6" s="44" t="str">
        <f>VLOOKUP(AN6,المرجع!$D$4:$E$12,2)</f>
        <v xml:space="preserve">أ+ </v>
      </c>
      <c r="AP6" s="40">
        <f t="shared" si="7"/>
        <v>10</v>
      </c>
      <c r="AQ6" s="53">
        <v>3</v>
      </c>
      <c r="AR6" s="15">
        <v>100</v>
      </c>
      <c r="AS6" s="65">
        <f>VLOOKUP(AR6,المرجع!$B$4:$C$12,2)</f>
        <v>5</v>
      </c>
      <c r="AT6" s="44" t="str">
        <f>VLOOKUP(AS6,المرجع!$D$4:$E$12,2)</f>
        <v xml:space="preserve">أ+ </v>
      </c>
      <c r="AU6" s="40">
        <f t="shared" si="8"/>
        <v>15</v>
      </c>
      <c r="AV6" s="53">
        <v>2</v>
      </c>
      <c r="AW6" s="15">
        <v>72</v>
      </c>
      <c r="AX6" s="65">
        <f>VLOOKUP(AW6,المرجع!$B$4:$C$12,2)</f>
        <v>3</v>
      </c>
      <c r="AY6" s="44" t="str">
        <f>VLOOKUP(AX6,المرجع!$D$4:$E$12,2)</f>
        <v>ج</v>
      </c>
      <c r="AZ6" s="40">
        <f t="shared" si="9"/>
        <v>6</v>
      </c>
      <c r="BA6" s="53">
        <v>2</v>
      </c>
      <c r="BB6" s="15">
        <v>100</v>
      </c>
      <c r="BC6" s="65">
        <f>VLOOKUP(BB6,المرجع!$B$4:$C$12,2)</f>
        <v>5</v>
      </c>
      <c r="BD6" s="44" t="str">
        <f>VLOOKUP(BC6,المرجع!$D$4:$E$12,2)</f>
        <v xml:space="preserve">أ+ </v>
      </c>
      <c r="BE6" s="40">
        <f t="shared" si="10"/>
        <v>10</v>
      </c>
      <c r="BF6" s="56">
        <v>107.5</v>
      </c>
      <c r="BG6" s="58">
        <f t="shared" si="11"/>
        <v>24</v>
      </c>
      <c r="BH6" s="60">
        <v>4.67</v>
      </c>
      <c r="BI6" s="92">
        <v>4.59</v>
      </c>
      <c r="BJ6" s="59" t="s">
        <v>124</v>
      </c>
      <c r="BK6" s="108">
        <v>4</v>
      </c>
    </row>
    <row r="7" spans="1:63" ht="28.5" hidden="1">
      <c r="A7" s="107">
        <v>2023023</v>
      </c>
      <c r="B7" s="70" t="s">
        <v>87</v>
      </c>
      <c r="C7" s="53">
        <v>1</v>
      </c>
      <c r="D7" s="15">
        <v>86</v>
      </c>
      <c r="E7" s="65">
        <f>VLOOKUP(D7,المرجع!$B$4:$C$12,2)</f>
        <v>4.5</v>
      </c>
      <c r="F7" s="44" t="str">
        <f>VLOOKUP(E7,المرجع!$D$4:$E$12,2)</f>
        <v>ب+</v>
      </c>
      <c r="G7" s="40">
        <f t="shared" si="0"/>
        <v>4.5</v>
      </c>
      <c r="H7" s="53">
        <v>2</v>
      </c>
      <c r="I7" s="15">
        <v>95</v>
      </c>
      <c r="J7" s="65">
        <f>VLOOKUP(I7,المرجع!$B$4:$C$12,2)</f>
        <v>5</v>
      </c>
      <c r="K7" s="44" t="str">
        <f>VLOOKUP(J7,المرجع!$D$4:$E$12,2)</f>
        <v xml:space="preserve">أ+ </v>
      </c>
      <c r="L7" s="40">
        <f t="shared" si="1"/>
        <v>10</v>
      </c>
      <c r="M7" s="53">
        <v>3</v>
      </c>
      <c r="N7" s="15">
        <v>100</v>
      </c>
      <c r="O7" s="65">
        <f>VLOOKUP(N7,المرجع!$B$4:$C$12,2)</f>
        <v>5</v>
      </c>
      <c r="P7" s="44" t="str">
        <f>VLOOKUP(O7,المرجع!$D$4:$E$12,2)</f>
        <v xml:space="preserve">أ+ </v>
      </c>
      <c r="Q7" s="40">
        <f t="shared" si="2"/>
        <v>15</v>
      </c>
      <c r="R7" s="53">
        <v>2</v>
      </c>
      <c r="S7" s="15">
        <v>96</v>
      </c>
      <c r="T7" s="65">
        <f>VLOOKUP(S7,المرجع!$B$4:$C$12,2)</f>
        <v>5</v>
      </c>
      <c r="U7" s="44" t="str">
        <f>VLOOKUP(T7,المرجع!$D$4:$E$12,2)</f>
        <v xml:space="preserve">أ+ </v>
      </c>
      <c r="V7" s="40">
        <f t="shared" si="3"/>
        <v>10</v>
      </c>
      <c r="W7" s="53">
        <v>2</v>
      </c>
      <c r="X7" s="15">
        <v>100</v>
      </c>
      <c r="Y7" s="65">
        <f>VLOOKUP(X7,المرجع!$B$4:$C$12,2)</f>
        <v>5</v>
      </c>
      <c r="Z7" s="44" t="str">
        <f>VLOOKUP(Y7,المرجع!$D$4:$E$12,2)</f>
        <v xml:space="preserve">أ+ </v>
      </c>
      <c r="AA7" s="40">
        <f t="shared" si="4"/>
        <v>10</v>
      </c>
      <c r="AB7" s="53">
        <v>3</v>
      </c>
      <c r="AC7" s="15">
        <v>86</v>
      </c>
      <c r="AD7" s="65">
        <f>VLOOKUP(AC7,المرجع!$B$4:$C$12,2)</f>
        <v>4.5</v>
      </c>
      <c r="AE7" s="44" t="str">
        <f>VLOOKUP(AD7,المرجع!$D$4:$E$12,2)</f>
        <v>ب+</v>
      </c>
      <c r="AF7" s="40">
        <f t="shared" si="5"/>
        <v>13.5</v>
      </c>
      <c r="AG7" s="53">
        <v>2</v>
      </c>
      <c r="AH7" s="15">
        <v>99</v>
      </c>
      <c r="AI7" s="65">
        <f>VLOOKUP(AH7,المرجع!$B$4:$C$12,2)</f>
        <v>5</v>
      </c>
      <c r="AJ7" s="44" t="str">
        <f>VLOOKUP(AI7,المرجع!$D$4:$E$12,2)</f>
        <v xml:space="preserve">أ+ </v>
      </c>
      <c r="AK7" s="40">
        <f t="shared" si="6"/>
        <v>10</v>
      </c>
      <c r="AL7" s="53">
        <v>2</v>
      </c>
      <c r="AM7" s="15">
        <v>90</v>
      </c>
      <c r="AN7" s="65">
        <f>VLOOKUP(AM7,المرجع!$B$4:$C$12,2)</f>
        <v>4.75</v>
      </c>
      <c r="AO7" s="44" t="str">
        <f>VLOOKUP(AN7,المرجع!$D$4:$E$12,2)</f>
        <v>أ</v>
      </c>
      <c r="AP7" s="40">
        <f t="shared" si="7"/>
        <v>9.5</v>
      </c>
      <c r="AQ7" s="53">
        <v>3</v>
      </c>
      <c r="AR7" s="15">
        <v>98</v>
      </c>
      <c r="AS7" s="65">
        <f>VLOOKUP(AR7,المرجع!$B$4:$C$12,2)</f>
        <v>5</v>
      </c>
      <c r="AT7" s="44" t="str">
        <f>VLOOKUP(AS7,المرجع!$D$4:$E$12,2)</f>
        <v xml:space="preserve">أ+ </v>
      </c>
      <c r="AU7" s="40">
        <f t="shared" si="8"/>
        <v>15</v>
      </c>
      <c r="AV7" s="53">
        <v>2</v>
      </c>
      <c r="AW7" s="15">
        <v>70</v>
      </c>
      <c r="AX7" s="65">
        <f>VLOOKUP(AW7,المرجع!$B$4:$C$12,2)</f>
        <v>3</v>
      </c>
      <c r="AY7" s="44" t="str">
        <f>VLOOKUP(AX7,المرجع!$D$4:$E$12,2)</f>
        <v>ج</v>
      </c>
      <c r="AZ7" s="40">
        <f t="shared" si="9"/>
        <v>6</v>
      </c>
      <c r="BA7" s="53">
        <v>2</v>
      </c>
      <c r="BB7" s="15">
        <v>96</v>
      </c>
      <c r="BC7" s="65">
        <f>VLOOKUP(BB7,المرجع!$B$4:$C$12,2)</f>
        <v>5</v>
      </c>
      <c r="BD7" s="44" t="str">
        <f>VLOOKUP(BC7,المرجع!$D$4:$E$12,2)</f>
        <v xml:space="preserve">أ+ </v>
      </c>
      <c r="BE7" s="40">
        <f t="shared" si="10"/>
        <v>10</v>
      </c>
      <c r="BF7" s="56">
        <v>108.5</v>
      </c>
      <c r="BG7" s="58">
        <f t="shared" si="11"/>
        <v>24</v>
      </c>
      <c r="BH7" s="60">
        <v>4.71</v>
      </c>
      <c r="BI7" s="92">
        <v>4.46</v>
      </c>
      <c r="BJ7" s="59" t="s">
        <v>124</v>
      </c>
      <c r="BK7" s="108">
        <v>3</v>
      </c>
    </row>
    <row r="8" spans="1:63" ht="28.5" hidden="1">
      <c r="A8" s="107">
        <v>2023033</v>
      </c>
      <c r="B8" s="70" t="s">
        <v>7</v>
      </c>
      <c r="C8" s="53">
        <v>1</v>
      </c>
      <c r="D8" s="15">
        <v>89</v>
      </c>
      <c r="E8" s="65">
        <f>VLOOKUP(D8,المرجع!$B$4:$C$12,2)</f>
        <v>4.5</v>
      </c>
      <c r="F8" s="44" t="str">
        <f>VLOOKUP(E8,المرجع!$D$4:$E$12,2)</f>
        <v>ب+</v>
      </c>
      <c r="G8" s="40">
        <f t="shared" si="0"/>
        <v>4.5</v>
      </c>
      <c r="H8" s="53">
        <v>2</v>
      </c>
      <c r="I8" s="15">
        <v>89</v>
      </c>
      <c r="J8" s="65">
        <f>VLOOKUP(I8,المرجع!$B$4:$C$12,2)</f>
        <v>4.5</v>
      </c>
      <c r="K8" s="44" t="str">
        <f>VLOOKUP(J8,المرجع!$D$4:$E$12,2)</f>
        <v>ب+</v>
      </c>
      <c r="L8" s="40">
        <f t="shared" si="1"/>
        <v>9</v>
      </c>
      <c r="M8" s="53">
        <v>3</v>
      </c>
      <c r="N8" s="15">
        <v>100</v>
      </c>
      <c r="O8" s="65">
        <f>VLOOKUP(N8,المرجع!$B$4:$C$12,2)</f>
        <v>5</v>
      </c>
      <c r="P8" s="44" t="str">
        <f>VLOOKUP(O8,المرجع!$D$4:$E$12,2)</f>
        <v xml:space="preserve">أ+ </v>
      </c>
      <c r="Q8" s="40">
        <f t="shared" si="2"/>
        <v>15</v>
      </c>
      <c r="R8" s="53">
        <v>2</v>
      </c>
      <c r="S8" s="15">
        <v>92</v>
      </c>
      <c r="T8" s="65">
        <f>VLOOKUP(S8,المرجع!$B$4:$C$12,2)</f>
        <v>4.75</v>
      </c>
      <c r="U8" s="44" t="str">
        <f>VLOOKUP(T8,المرجع!$D$4:$E$12,2)</f>
        <v>أ</v>
      </c>
      <c r="V8" s="40">
        <f t="shared" si="3"/>
        <v>9.5</v>
      </c>
      <c r="W8" s="53">
        <v>2</v>
      </c>
      <c r="X8" s="15">
        <v>97</v>
      </c>
      <c r="Y8" s="65">
        <f>VLOOKUP(X8,المرجع!$B$4:$C$12,2)</f>
        <v>5</v>
      </c>
      <c r="Z8" s="44" t="str">
        <f>VLOOKUP(Y8,المرجع!$D$4:$E$12,2)</f>
        <v xml:space="preserve">أ+ </v>
      </c>
      <c r="AA8" s="40">
        <f t="shared" si="4"/>
        <v>10</v>
      </c>
      <c r="AB8" s="53">
        <v>3</v>
      </c>
      <c r="AC8" s="15">
        <v>88</v>
      </c>
      <c r="AD8" s="65">
        <f>VLOOKUP(AC8,المرجع!$B$4:$C$12,2)</f>
        <v>4.5</v>
      </c>
      <c r="AE8" s="44" t="str">
        <f>VLOOKUP(AD8,المرجع!$D$4:$E$12,2)</f>
        <v>ب+</v>
      </c>
      <c r="AF8" s="40">
        <f t="shared" si="5"/>
        <v>13.5</v>
      </c>
      <c r="AG8" s="53">
        <v>2</v>
      </c>
      <c r="AH8" s="15">
        <v>100</v>
      </c>
      <c r="AI8" s="65">
        <f>VLOOKUP(AH8,المرجع!$B$4:$C$12,2)</f>
        <v>5</v>
      </c>
      <c r="AJ8" s="44" t="str">
        <f>VLOOKUP(AI8,المرجع!$D$4:$E$12,2)</f>
        <v xml:space="preserve">أ+ </v>
      </c>
      <c r="AK8" s="40">
        <f t="shared" si="6"/>
        <v>10</v>
      </c>
      <c r="AL8" s="53">
        <v>2</v>
      </c>
      <c r="AM8" s="15">
        <v>96</v>
      </c>
      <c r="AN8" s="65">
        <f>VLOOKUP(AM8,المرجع!$B$4:$C$12,2)</f>
        <v>5</v>
      </c>
      <c r="AO8" s="44" t="str">
        <f>VLOOKUP(AN8,المرجع!$D$4:$E$12,2)</f>
        <v xml:space="preserve">أ+ </v>
      </c>
      <c r="AP8" s="40">
        <f t="shared" si="7"/>
        <v>10</v>
      </c>
      <c r="AQ8" s="53">
        <v>3</v>
      </c>
      <c r="AR8" s="15">
        <v>99</v>
      </c>
      <c r="AS8" s="65">
        <f>VLOOKUP(AR8,المرجع!$B$4:$C$12,2)</f>
        <v>5</v>
      </c>
      <c r="AT8" s="44" t="str">
        <f>VLOOKUP(AS8,المرجع!$D$4:$E$12,2)</f>
        <v xml:space="preserve">أ+ </v>
      </c>
      <c r="AU8" s="40">
        <f t="shared" si="8"/>
        <v>15</v>
      </c>
      <c r="AV8" s="53">
        <v>2</v>
      </c>
      <c r="AW8" s="15">
        <v>78</v>
      </c>
      <c r="AX8" s="65">
        <f>VLOOKUP(AW8,المرجع!$B$4:$C$12,2)</f>
        <v>3.5</v>
      </c>
      <c r="AY8" s="44" t="str">
        <f>VLOOKUP(AX8,المرجع!$D$4:$E$12,2)</f>
        <v>ج+</v>
      </c>
      <c r="AZ8" s="40">
        <f t="shared" si="9"/>
        <v>7</v>
      </c>
      <c r="BA8" s="53">
        <v>2</v>
      </c>
      <c r="BB8" s="15">
        <v>86</v>
      </c>
      <c r="BC8" s="65">
        <f>VLOOKUP(BB8,المرجع!$B$4:$C$12,2)</f>
        <v>4.5</v>
      </c>
      <c r="BD8" s="44" t="str">
        <f>VLOOKUP(BC8,المرجع!$D$4:$E$12,2)</f>
        <v>ب+</v>
      </c>
      <c r="BE8" s="40">
        <f t="shared" si="10"/>
        <v>9</v>
      </c>
      <c r="BF8" s="56">
        <v>107.25</v>
      </c>
      <c r="BG8" s="58">
        <f t="shared" si="11"/>
        <v>24</v>
      </c>
      <c r="BH8" s="60">
        <v>4.66</v>
      </c>
      <c r="BI8" s="92">
        <v>4.38</v>
      </c>
      <c r="BJ8" s="59" t="s">
        <v>124</v>
      </c>
      <c r="BK8" s="108">
        <v>6</v>
      </c>
    </row>
    <row r="9" spans="1:63" ht="28.5" hidden="1">
      <c r="A9" s="107">
        <v>2023097</v>
      </c>
      <c r="B9" s="70" t="s">
        <v>48</v>
      </c>
      <c r="C9" s="53">
        <v>1</v>
      </c>
      <c r="D9" s="15">
        <v>92</v>
      </c>
      <c r="E9" s="65">
        <f>VLOOKUP(D9,المرجع!$B$4:$C$12,2)</f>
        <v>4.75</v>
      </c>
      <c r="F9" s="44" t="str">
        <f>VLOOKUP(E9,المرجع!$D$4:$E$12,2)</f>
        <v>أ</v>
      </c>
      <c r="G9" s="40">
        <f t="shared" si="0"/>
        <v>4.75</v>
      </c>
      <c r="H9" s="53">
        <v>2</v>
      </c>
      <c r="I9" s="15">
        <v>90</v>
      </c>
      <c r="J9" s="65">
        <f>VLOOKUP(I9,المرجع!$B$4:$C$12,2)</f>
        <v>4.75</v>
      </c>
      <c r="K9" s="44" t="str">
        <f>VLOOKUP(J9,المرجع!$D$4:$E$12,2)</f>
        <v>أ</v>
      </c>
      <c r="L9" s="40">
        <f t="shared" si="1"/>
        <v>9.5</v>
      </c>
      <c r="M9" s="53">
        <v>3</v>
      </c>
      <c r="N9" s="15">
        <v>100</v>
      </c>
      <c r="O9" s="65">
        <f>VLOOKUP(N9,المرجع!$B$4:$C$12,2)</f>
        <v>5</v>
      </c>
      <c r="P9" s="44" t="str">
        <f>VLOOKUP(O9,المرجع!$D$4:$E$12,2)</f>
        <v xml:space="preserve">أ+ </v>
      </c>
      <c r="Q9" s="40">
        <f t="shared" si="2"/>
        <v>15</v>
      </c>
      <c r="R9" s="53">
        <v>2</v>
      </c>
      <c r="S9" s="15">
        <v>97</v>
      </c>
      <c r="T9" s="65">
        <f>VLOOKUP(S9,المرجع!$B$4:$C$12,2)</f>
        <v>5</v>
      </c>
      <c r="U9" s="44" t="str">
        <f>VLOOKUP(T9,المرجع!$D$4:$E$12,2)</f>
        <v xml:space="preserve">أ+ </v>
      </c>
      <c r="V9" s="40">
        <f t="shared" si="3"/>
        <v>10</v>
      </c>
      <c r="W9" s="53">
        <v>2</v>
      </c>
      <c r="X9" s="15">
        <v>100</v>
      </c>
      <c r="Y9" s="65">
        <f>VLOOKUP(X9,المرجع!$B$4:$C$12,2)</f>
        <v>5</v>
      </c>
      <c r="Z9" s="44" t="str">
        <f>VLOOKUP(Y9,المرجع!$D$4:$E$12,2)</f>
        <v xml:space="preserve">أ+ </v>
      </c>
      <c r="AA9" s="40">
        <f t="shared" si="4"/>
        <v>10</v>
      </c>
      <c r="AB9" s="53">
        <v>3</v>
      </c>
      <c r="AC9" s="15">
        <v>92</v>
      </c>
      <c r="AD9" s="65">
        <f>VLOOKUP(AC9,المرجع!$B$4:$C$12,2)</f>
        <v>4.75</v>
      </c>
      <c r="AE9" s="44" t="str">
        <f>VLOOKUP(AD9,المرجع!$D$4:$E$12,2)</f>
        <v>أ</v>
      </c>
      <c r="AF9" s="40">
        <f t="shared" si="5"/>
        <v>14.25</v>
      </c>
      <c r="AG9" s="53">
        <v>2</v>
      </c>
      <c r="AH9" s="15">
        <v>100</v>
      </c>
      <c r="AI9" s="65">
        <f>VLOOKUP(AH9,المرجع!$B$4:$C$12,2)</f>
        <v>5</v>
      </c>
      <c r="AJ9" s="44" t="str">
        <f>VLOOKUP(AI9,المرجع!$D$4:$E$12,2)</f>
        <v xml:space="preserve">أ+ </v>
      </c>
      <c r="AK9" s="40">
        <f t="shared" si="6"/>
        <v>10</v>
      </c>
      <c r="AL9" s="53">
        <v>2</v>
      </c>
      <c r="AM9" s="15">
        <v>98</v>
      </c>
      <c r="AN9" s="65">
        <f>VLOOKUP(AM9,المرجع!$B$4:$C$12,2)</f>
        <v>5</v>
      </c>
      <c r="AO9" s="44" t="str">
        <f>VLOOKUP(AN9,المرجع!$D$4:$E$12,2)</f>
        <v xml:space="preserve">أ+ </v>
      </c>
      <c r="AP9" s="40">
        <f t="shared" si="7"/>
        <v>10</v>
      </c>
      <c r="AQ9" s="53">
        <v>3</v>
      </c>
      <c r="AR9" s="15">
        <v>100</v>
      </c>
      <c r="AS9" s="65">
        <f>VLOOKUP(AR9,المرجع!$B$4:$C$12,2)</f>
        <v>5</v>
      </c>
      <c r="AT9" s="44" t="str">
        <f>VLOOKUP(AS9,المرجع!$D$4:$E$12,2)</f>
        <v xml:space="preserve">أ+ </v>
      </c>
      <c r="AU9" s="40">
        <f t="shared" si="8"/>
        <v>15</v>
      </c>
      <c r="AV9" s="53">
        <v>2</v>
      </c>
      <c r="AW9" s="15">
        <v>89</v>
      </c>
      <c r="AX9" s="65">
        <f>VLOOKUP(AW9,المرجع!$B$4:$C$12,2)</f>
        <v>4.5</v>
      </c>
      <c r="AY9" s="44" t="str">
        <f>VLOOKUP(AX9,المرجع!$D$4:$E$12,2)</f>
        <v>ب+</v>
      </c>
      <c r="AZ9" s="40">
        <f t="shared" si="9"/>
        <v>9</v>
      </c>
      <c r="BA9" s="53">
        <v>2</v>
      </c>
      <c r="BB9" s="15">
        <v>51</v>
      </c>
      <c r="BC9" s="65">
        <f>VLOOKUP(BB9,المرجع!$B$4:$C$12,2)</f>
        <v>2</v>
      </c>
      <c r="BD9" s="44" t="str">
        <f>VLOOKUP(BC9,المرجع!$D$4:$E$12,2)</f>
        <v>د</v>
      </c>
      <c r="BE9" s="40">
        <f t="shared" si="10"/>
        <v>4</v>
      </c>
      <c r="BF9" s="56">
        <v>106.5</v>
      </c>
      <c r="BG9" s="58">
        <f t="shared" si="11"/>
        <v>24</v>
      </c>
      <c r="BH9" s="60">
        <v>4.63</v>
      </c>
      <c r="BI9" s="92">
        <v>4.3499999999999996</v>
      </c>
      <c r="BJ9" s="59" t="s">
        <v>124</v>
      </c>
      <c r="BK9" s="108">
        <v>7</v>
      </c>
    </row>
    <row r="10" spans="1:63" ht="28.5" hidden="1">
      <c r="A10" s="107">
        <v>2023084</v>
      </c>
      <c r="B10" s="70" t="s">
        <v>88</v>
      </c>
      <c r="C10" s="53">
        <v>1</v>
      </c>
      <c r="D10" s="15">
        <v>86</v>
      </c>
      <c r="E10" s="65">
        <f>VLOOKUP(D10,المرجع!$B$4:$C$12,2)</f>
        <v>4.5</v>
      </c>
      <c r="F10" s="44" t="str">
        <f>VLOOKUP(E10,المرجع!$D$4:$E$12,2)</f>
        <v>ب+</v>
      </c>
      <c r="G10" s="40">
        <f t="shared" si="0"/>
        <v>4.5</v>
      </c>
      <c r="H10" s="53">
        <v>2</v>
      </c>
      <c r="I10" s="15">
        <v>99</v>
      </c>
      <c r="J10" s="65">
        <f>VLOOKUP(I10,المرجع!$B$4:$C$12,2)</f>
        <v>5</v>
      </c>
      <c r="K10" s="44" t="str">
        <f>VLOOKUP(J10,المرجع!$D$4:$E$12,2)</f>
        <v xml:space="preserve">أ+ </v>
      </c>
      <c r="L10" s="40">
        <f t="shared" si="1"/>
        <v>10</v>
      </c>
      <c r="M10" s="53">
        <v>3</v>
      </c>
      <c r="N10" s="15">
        <v>97</v>
      </c>
      <c r="O10" s="65">
        <f>VLOOKUP(N10,المرجع!$B$4:$C$12,2)</f>
        <v>5</v>
      </c>
      <c r="P10" s="44" t="str">
        <f>VLOOKUP(O10,المرجع!$D$4:$E$12,2)</f>
        <v xml:space="preserve">أ+ </v>
      </c>
      <c r="Q10" s="40">
        <f t="shared" si="2"/>
        <v>15</v>
      </c>
      <c r="R10" s="53">
        <v>2</v>
      </c>
      <c r="S10" s="15">
        <v>99</v>
      </c>
      <c r="T10" s="65">
        <f>VLOOKUP(S10,المرجع!$B$4:$C$12,2)</f>
        <v>5</v>
      </c>
      <c r="U10" s="44" t="str">
        <f>VLOOKUP(T10,المرجع!$D$4:$E$12,2)</f>
        <v xml:space="preserve">أ+ </v>
      </c>
      <c r="V10" s="40">
        <f t="shared" si="3"/>
        <v>10</v>
      </c>
      <c r="W10" s="53">
        <v>2</v>
      </c>
      <c r="X10" s="15">
        <v>100</v>
      </c>
      <c r="Y10" s="65">
        <f>VLOOKUP(X10,المرجع!$B$4:$C$12,2)</f>
        <v>5</v>
      </c>
      <c r="Z10" s="44" t="str">
        <f>VLOOKUP(Y10,المرجع!$D$4:$E$12,2)</f>
        <v xml:space="preserve">أ+ </v>
      </c>
      <c r="AA10" s="40">
        <f t="shared" si="4"/>
        <v>10</v>
      </c>
      <c r="AB10" s="53">
        <v>3</v>
      </c>
      <c r="AC10" s="15">
        <v>86</v>
      </c>
      <c r="AD10" s="65">
        <f>VLOOKUP(AC10,المرجع!$B$4:$C$12,2)</f>
        <v>4.5</v>
      </c>
      <c r="AE10" s="44" t="str">
        <f>VLOOKUP(AD10,المرجع!$D$4:$E$12,2)</f>
        <v>ب+</v>
      </c>
      <c r="AF10" s="40">
        <f t="shared" si="5"/>
        <v>13.5</v>
      </c>
      <c r="AG10" s="53">
        <v>2</v>
      </c>
      <c r="AH10" s="15">
        <v>100</v>
      </c>
      <c r="AI10" s="65">
        <f>VLOOKUP(AH10,المرجع!$B$4:$C$12,2)</f>
        <v>5</v>
      </c>
      <c r="AJ10" s="44" t="str">
        <f>VLOOKUP(AI10,المرجع!$D$4:$E$12,2)</f>
        <v xml:space="preserve">أ+ </v>
      </c>
      <c r="AK10" s="40">
        <f t="shared" si="6"/>
        <v>10</v>
      </c>
      <c r="AL10" s="53">
        <v>2</v>
      </c>
      <c r="AM10" s="15">
        <v>94</v>
      </c>
      <c r="AN10" s="65">
        <f>VLOOKUP(AM10,المرجع!$B$4:$C$12,2)</f>
        <v>4.75</v>
      </c>
      <c r="AO10" s="44" t="str">
        <f>VLOOKUP(AN10,المرجع!$D$4:$E$12,2)</f>
        <v>أ</v>
      </c>
      <c r="AP10" s="40">
        <f t="shared" si="7"/>
        <v>9.5</v>
      </c>
      <c r="AQ10" s="53">
        <v>3</v>
      </c>
      <c r="AR10" s="15">
        <v>98</v>
      </c>
      <c r="AS10" s="65">
        <f>VLOOKUP(AR10,المرجع!$B$4:$C$12,2)</f>
        <v>5</v>
      </c>
      <c r="AT10" s="44" t="str">
        <f>VLOOKUP(AS10,المرجع!$D$4:$E$12,2)</f>
        <v xml:space="preserve">أ+ </v>
      </c>
      <c r="AU10" s="40">
        <f t="shared" si="8"/>
        <v>15</v>
      </c>
      <c r="AV10" s="53">
        <v>2</v>
      </c>
      <c r="AW10" s="15">
        <v>70</v>
      </c>
      <c r="AX10" s="65">
        <f>VLOOKUP(AW10,المرجع!$B$4:$C$12,2)</f>
        <v>3</v>
      </c>
      <c r="AY10" s="44" t="str">
        <f>VLOOKUP(AX10,المرجع!$D$4:$E$12,2)</f>
        <v>ج</v>
      </c>
      <c r="AZ10" s="40">
        <f t="shared" si="9"/>
        <v>6</v>
      </c>
      <c r="BA10" s="53">
        <v>2</v>
      </c>
      <c r="BB10" s="15">
        <v>76</v>
      </c>
      <c r="BC10" s="65">
        <f>VLOOKUP(BB10,المرجع!$B$4:$C$12,2)</f>
        <v>3.5</v>
      </c>
      <c r="BD10" s="44" t="str">
        <f>VLOOKUP(BC10,المرجع!$D$4:$E$12,2)</f>
        <v>ج+</v>
      </c>
      <c r="BE10" s="40">
        <f t="shared" si="10"/>
        <v>7</v>
      </c>
      <c r="BF10" s="56">
        <v>105.5</v>
      </c>
      <c r="BG10" s="58">
        <f t="shared" si="11"/>
        <v>24</v>
      </c>
      <c r="BH10" s="60">
        <v>4.58</v>
      </c>
      <c r="BI10" s="92">
        <v>4.33</v>
      </c>
      <c r="BJ10" s="59" t="s">
        <v>122</v>
      </c>
      <c r="BK10" s="108">
        <v>8</v>
      </c>
    </row>
    <row r="11" spans="1:63" ht="28.5" hidden="1">
      <c r="A11" s="107">
        <v>2023002</v>
      </c>
      <c r="B11" s="70" t="s">
        <v>0</v>
      </c>
      <c r="C11" s="53">
        <v>1</v>
      </c>
      <c r="D11" s="15">
        <v>95</v>
      </c>
      <c r="E11" s="65">
        <f>VLOOKUP(D11,المرجع!$B$4:$C$12,2)</f>
        <v>5</v>
      </c>
      <c r="F11" s="44" t="str">
        <f>VLOOKUP(E11,المرجع!$D$4:$E$12,2)</f>
        <v xml:space="preserve">أ+ </v>
      </c>
      <c r="G11" s="40">
        <f t="shared" si="0"/>
        <v>5</v>
      </c>
      <c r="H11" s="53">
        <v>2</v>
      </c>
      <c r="I11" s="15">
        <v>95</v>
      </c>
      <c r="J11" s="65">
        <f>VLOOKUP(I11,المرجع!$B$4:$C$12,2)</f>
        <v>5</v>
      </c>
      <c r="K11" s="44" t="str">
        <f>VLOOKUP(J11,المرجع!$D$4:$E$12,2)</f>
        <v xml:space="preserve">أ+ </v>
      </c>
      <c r="L11" s="40">
        <f t="shared" si="1"/>
        <v>10</v>
      </c>
      <c r="M11" s="53">
        <v>3</v>
      </c>
      <c r="N11" s="15">
        <v>100</v>
      </c>
      <c r="O11" s="65">
        <f>VLOOKUP(N11,المرجع!$B$4:$C$12,2)</f>
        <v>5</v>
      </c>
      <c r="P11" s="44" t="str">
        <f>VLOOKUP(O11,المرجع!$D$4:$E$12,2)</f>
        <v xml:space="preserve">أ+ </v>
      </c>
      <c r="Q11" s="40">
        <f t="shared" si="2"/>
        <v>15</v>
      </c>
      <c r="R11" s="53">
        <v>2</v>
      </c>
      <c r="S11" s="15">
        <v>97</v>
      </c>
      <c r="T11" s="65">
        <f>VLOOKUP(S11,المرجع!$B$4:$C$12,2)</f>
        <v>5</v>
      </c>
      <c r="U11" s="44" t="str">
        <f>VLOOKUP(T11,المرجع!$D$4:$E$12,2)</f>
        <v xml:space="preserve">أ+ </v>
      </c>
      <c r="V11" s="40">
        <f t="shared" si="3"/>
        <v>10</v>
      </c>
      <c r="W11" s="53">
        <v>2</v>
      </c>
      <c r="X11" s="15">
        <v>97</v>
      </c>
      <c r="Y11" s="65">
        <f>VLOOKUP(X11,المرجع!$B$4:$C$12,2)</f>
        <v>5</v>
      </c>
      <c r="Z11" s="44" t="str">
        <f>VLOOKUP(Y11,المرجع!$D$4:$E$12,2)</f>
        <v xml:space="preserve">أ+ </v>
      </c>
      <c r="AA11" s="40">
        <f t="shared" si="4"/>
        <v>10</v>
      </c>
      <c r="AB11" s="53">
        <v>3</v>
      </c>
      <c r="AC11" s="15">
        <v>100</v>
      </c>
      <c r="AD11" s="65">
        <f>VLOOKUP(AC11,المرجع!$B$4:$C$12,2)</f>
        <v>5</v>
      </c>
      <c r="AE11" s="44" t="str">
        <f>VLOOKUP(AD11,المرجع!$D$4:$E$12,2)</f>
        <v xml:space="preserve">أ+ </v>
      </c>
      <c r="AF11" s="40">
        <f t="shared" si="5"/>
        <v>15</v>
      </c>
      <c r="AG11" s="53">
        <v>2</v>
      </c>
      <c r="AH11" s="15">
        <v>95</v>
      </c>
      <c r="AI11" s="65">
        <f>VLOOKUP(AH11,المرجع!$B$4:$C$12,2)</f>
        <v>5</v>
      </c>
      <c r="AJ11" s="44" t="str">
        <f>VLOOKUP(AI11,المرجع!$D$4:$E$12,2)</f>
        <v xml:space="preserve">أ+ </v>
      </c>
      <c r="AK11" s="40">
        <f t="shared" si="6"/>
        <v>10</v>
      </c>
      <c r="AL11" s="53">
        <v>2</v>
      </c>
      <c r="AM11" s="15">
        <v>85</v>
      </c>
      <c r="AN11" s="65">
        <f>VLOOKUP(AM11,المرجع!$B$4:$C$12,2)</f>
        <v>4.5</v>
      </c>
      <c r="AO11" s="44" t="str">
        <f>VLOOKUP(AN11,المرجع!$D$4:$E$12,2)</f>
        <v>ب+</v>
      </c>
      <c r="AP11" s="40">
        <f t="shared" si="7"/>
        <v>9</v>
      </c>
      <c r="AQ11" s="53">
        <v>3</v>
      </c>
      <c r="AR11" s="15">
        <v>100</v>
      </c>
      <c r="AS11" s="65">
        <f>VLOOKUP(AR11,المرجع!$B$4:$C$12,2)</f>
        <v>5</v>
      </c>
      <c r="AT11" s="44" t="str">
        <f>VLOOKUP(AS11,المرجع!$D$4:$E$12,2)</f>
        <v xml:space="preserve">أ+ </v>
      </c>
      <c r="AU11" s="40">
        <f t="shared" si="8"/>
        <v>15</v>
      </c>
      <c r="AV11" s="53">
        <v>2</v>
      </c>
      <c r="AW11" s="15">
        <v>75</v>
      </c>
      <c r="AX11" s="65">
        <f>VLOOKUP(AW11,المرجع!$B$4:$C$12,2)</f>
        <v>3.5</v>
      </c>
      <c r="AY11" s="44" t="str">
        <f>VLOOKUP(AX11,المرجع!$D$4:$E$12,2)</f>
        <v>ج+</v>
      </c>
      <c r="AZ11" s="40">
        <f t="shared" si="9"/>
        <v>7</v>
      </c>
      <c r="BA11" s="53">
        <v>2</v>
      </c>
      <c r="BB11" s="15">
        <v>64</v>
      </c>
      <c r="BC11" s="65">
        <f>VLOOKUP(BB11,المرجع!$B$4:$C$12,2)</f>
        <v>2</v>
      </c>
      <c r="BD11" s="44" t="str">
        <f>VLOOKUP(BC11,المرجع!$D$4:$E$12,2)</f>
        <v>د</v>
      </c>
      <c r="BE11" s="40">
        <f t="shared" si="10"/>
        <v>4</v>
      </c>
      <c r="BF11" s="56">
        <v>105</v>
      </c>
      <c r="BG11" s="58">
        <f t="shared" si="11"/>
        <v>24</v>
      </c>
      <c r="BH11" s="60">
        <v>4.5599999999999996</v>
      </c>
      <c r="BI11" s="92">
        <v>4.2699999999999996</v>
      </c>
      <c r="BJ11" s="59" t="s">
        <v>122</v>
      </c>
      <c r="BK11" s="108">
        <v>9</v>
      </c>
    </row>
    <row r="12" spans="1:63" ht="28.5" hidden="1">
      <c r="A12" s="107">
        <v>2023045</v>
      </c>
      <c r="B12" s="70" t="s">
        <v>10</v>
      </c>
      <c r="C12" s="53">
        <v>1</v>
      </c>
      <c r="D12" s="15">
        <v>88</v>
      </c>
      <c r="E12" s="65">
        <f>VLOOKUP(D12,المرجع!$B$4:$C$12,2)</f>
        <v>4.5</v>
      </c>
      <c r="F12" s="44" t="str">
        <f>VLOOKUP(E12,المرجع!$D$4:$E$12,2)</f>
        <v>ب+</v>
      </c>
      <c r="G12" s="40">
        <f t="shared" si="0"/>
        <v>4.5</v>
      </c>
      <c r="H12" s="53">
        <v>2</v>
      </c>
      <c r="I12" s="15">
        <v>97</v>
      </c>
      <c r="J12" s="65">
        <f>VLOOKUP(I12,المرجع!$B$4:$C$12,2)</f>
        <v>5</v>
      </c>
      <c r="K12" s="44" t="str">
        <f>VLOOKUP(J12,المرجع!$D$4:$E$12,2)</f>
        <v xml:space="preserve">أ+ </v>
      </c>
      <c r="L12" s="40">
        <f t="shared" si="1"/>
        <v>10</v>
      </c>
      <c r="M12" s="53">
        <v>3</v>
      </c>
      <c r="N12" s="15">
        <v>100</v>
      </c>
      <c r="O12" s="65">
        <f>VLOOKUP(N12,المرجع!$B$4:$C$12,2)</f>
        <v>5</v>
      </c>
      <c r="P12" s="44" t="str">
        <f>VLOOKUP(O12,المرجع!$D$4:$E$12,2)</f>
        <v xml:space="preserve">أ+ </v>
      </c>
      <c r="Q12" s="40">
        <f t="shared" si="2"/>
        <v>15</v>
      </c>
      <c r="R12" s="53">
        <v>2</v>
      </c>
      <c r="S12" s="15">
        <v>89</v>
      </c>
      <c r="T12" s="65">
        <f>VLOOKUP(S12,المرجع!$B$4:$C$12,2)</f>
        <v>4.5</v>
      </c>
      <c r="U12" s="44" t="str">
        <f>VLOOKUP(T12,المرجع!$D$4:$E$12,2)</f>
        <v>ب+</v>
      </c>
      <c r="V12" s="40">
        <f t="shared" si="3"/>
        <v>9</v>
      </c>
      <c r="W12" s="53">
        <v>2</v>
      </c>
      <c r="X12" s="15">
        <v>98</v>
      </c>
      <c r="Y12" s="65">
        <f>VLOOKUP(X12,المرجع!$B$4:$C$12,2)</f>
        <v>5</v>
      </c>
      <c r="Z12" s="44" t="str">
        <f>VLOOKUP(Y12,المرجع!$D$4:$E$12,2)</f>
        <v xml:space="preserve">أ+ </v>
      </c>
      <c r="AA12" s="40">
        <f t="shared" si="4"/>
        <v>10</v>
      </c>
      <c r="AB12" s="53">
        <v>3</v>
      </c>
      <c r="AC12" s="15">
        <v>82</v>
      </c>
      <c r="AD12" s="65">
        <f>VLOOKUP(AC12,المرجع!$B$4:$C$12,2)</f>
        <v>4</v>
      </c>
      <c r="AE12" s="44" t="str">
        <f>VLOOKUP(AD12,المرجع!$D$4:$E$12,2)</f>
        <v>ب</v>
      </c>
      <c r="AF12" s="40">
        <f t="shared" si="5"/>
        <v>12</v>
      </c>
      <c r="AG12" s="53">
        <v>2</v>
      </c>
      <c r="AH12" s="15">
        <v>99</v>
      </c>
      <c r="AI12" s="65">
        <f>VLOOKUP(AH12,المرجع!$B$4:$C$12,2)</f>
        <v>5</v>
      </c>
      <c r="AJ12" s="44" t="str">
        <f>VLOOKUP(AI12,المرجع!$D$4:$E$12,2)</f>
        <v xml:space="preserve">أ+ </v>
      </c>
      <c r="AK12" s="40">
        <f t="shared" si="6"/>
        <v>10</v>
      </c>
      <c r="AL12" s="53">
        <v>2</v>
      </c>
      <c r="AM12" s="15">
        <v>95</v>
      </c>
      <c r="AN12" s="65">
        <f>VLOOKUP(AM12,المرجع!$B$4:$C$12,2)</f>
        <v>5</v>
      </c>
      <c r="AO12" s="44" t="str">
        <f>VLOOKUP(AN12,المرجع!$D$4:$E$12,2)</f>
        <v xml:space="preserve">أ+ </v>
      </c>
      <c r="AP12" s="40">
        <f t="shared" si="7"/>
        <v>10</v>
      </c>
      <c r="AQ12" s="53">
        <v>3</v>
      </c>
      <c r="AR12" s="15">
        <v>97</v>
      </c>
      <c r="AS12" s="65">
        <f>VLOOKUP(AR12,المرجع!$B$4:$C$12,2)</f>
        <v>5</v>
      </c>
      <c r="AT12" s="44" t="str">
        <f>VLOOKUP(AS12,المرجع!$D$4:$E$12,2)</f>
        <v xml:space="preserve">أ+ </v>
      </c>
      <c r="AU12" s="40">
        <f t="shared" si="8"/>
        <v>15</v>
      </c>
      <c r="AV12" s="53">
        <v>2</v>
      </c>
      <c r="AW12" s="15">
        <v>60</v>
      </c>
      <c r="AX12" s="65">
        <f>VLOOKUP(AW12,المرجع!$B$4:$C$12,2)</f>
        <v>2</v>
      </c>
      <c r="AY12" s="44" t="str">
        <f>VLOOKUP(AX12,المرجع!$D$4:$E$12,2)</f>
        <v>د</v>
      </c>
      <c r="AZ12" s="40">
        <f t="shared" si="9"/>
        <v>4</v>
      </c>
      <c r="BA12" s="53">
        <v>2</v>
      </c>
      <c r="BB12" s="15">
        <v>98</v>
      </c>
      <c r="BC12" s="65">
        <f>VLOOKUP(BB12,المرجع!$B$4:$C$12,2)</f>
        <v>5</v>
      </c>
      <c r="BD12" s="44" t="str">
        <f>VLOOKUP(BC12,المرجع!$D$4:$E$12,2)</f>
        <v xml:space="preserve">أ+ </v>
      </c>
      <c r="BE12" s="40">
        <f t="shared" si="10"/>
        <v>10</v>
      </c>
      <c r="BF12" s="56">
        <v>104</v>
      </c>
      <c r="BG12" s="58">
        <f t="shared" si="11"/>
        <v>24</v>
      </c>
      <c r="BH12" s="60">
        <v>4.5199999999999996</v>
      </c>
      <c r="BI12" s="92">
        <v>4.29</v>
      </c>
      <c r="BJ12" s="59" t="s">
        <v>122</v>
      </c>
      <c r="BK12" s="108">
        <v>12</v>
      </c>
    </row>
    <row r="13" spans="1:63" ht="28.5" hidden="1">
      <c r="A13" s="107">
        <v>2023053</v>
      </c>
      <c r="B13" s="70" t="s">
        <v>86</v>
      </c>
      <c r="C13" s="53">
        <v>1</v>
      </c>
      <c r="D13" s="15">
        <v>88</v>
      </c>
      <c r="E13" s="65">
        <f>VLOOKUP(D13,المرجع!$B$4:$C$12,2)</f>
        <v>4.5</v>
      </c>
      <c r="F13" s="44" t="str">
        <f>VLOOKUP(E13,المرجع!$D$4:$E$12,2)</f>
        <v>ب+</v>
      </c>
      <c r="G13" s="40">
        <f t="shared" si="0"/>
        <v>4.5</v>
      </c>
      <c r="H13" s="53">
        <v>2</v>
      </c>
      <c r="I13" s="15">
        <v>95</v>
      </c>
      <c r="J13" s="65">
        <f>VLOOKUP(I13,المرجع!$B$4:$C$12,2)</f>
        <v>5</v>
      </c>
      <c r="K13" s="44" t="str">
        <f>VLOOKUP(J13,المرجع!$D$4:$E$12,2)</f>
        <v xml:space="preserve">أ+ </v>
      </c>
      <c r="L13" s="40">
        <f t="shared" si="1"/>
        <v>10</v>
      </c>
      <c r="M13" s="53">
        <v>3</v>
      </c>
      <c r="N13" s="15">
        <v>100</v>
      </c>
      <c r="O13" s="65">
        <f>VLOOKUP(N13,المرجع!$B$4:$C$12,2)</f>
        <v>5</v>
      </c>
      <c r="P13" s="44" t="str">
        <f>VLOOKUP(O13,المرجع!$D$4:$E$12,2)</f>
        <v xml:space="preserve">أ+ </v>
      </c>
      <c r="Q13" s="40">
        <f t="shared" si="2"/>
        <v>15</v>
      </c>
      <c r="R13" s="53">
        <v>2</v>
      </c>
      <c r="S13" s="15">
        <v>90</v>
      </c>
      <c r="T13" s="65">
        <f>VLOOKUP(S13,المرجع!$B$4:$C$12,2)</f>
        <v>4.75</v>
      </c>
      <c r="U13" s="44" t="str">
        <f>VLOOKUP(T13,المرجع!$D$4:$E$12,2)</f>
        <v>أ</v>
      </c>
      <c r="V13" s="40">
        <f t="shared" si="3"/>
        <v>9.5</v>
      </c>
      <c r="W13" s="53">
        <v>2</v>
      </c>
      <c r="X13" s="15">
        <v>100</v>
      </c>
      <c r="Y13" s="65">
        <f>VLOOKUP(X13,المرجع!$B$4:$C$12,2)</f>
        <v>5</v>
      </c>
      <c r="Z13" s="44" t="str">
        <f>VLOOKUP(Y13,المرجع!$D$4:$E$12,2)</f>
        <v xml:space="preserve">أ+ </v>
      </c>
      <c r="AA13" s="40">
        <f t="shared" si="4"/>
        <v>10</v>
      </c>
      <c r="AB13" s="53">
        <v>3</v>
      </c>
      <c r="AC13" s="15">
        <v>83</v>
      </c>
      <c r="AD13" s="65">
        <f>VLOOKUP(AC13,المرجع!$B$4:$C$12,2)</f>
        <v>4</v>
      </c>
      <c r="AE13" s="44" t="str">
        <f>VLOOKUP(AD13,المرجع!$D$4:$E$12,2)</f>
        <v>ب</v>
      </c>
      <c r="AF13" s="40">
        <f t="shared" si="5"/>
        <v>12</v>
      </c>
      <c r="AG13" s="53">
        <v>2</v>
      </c>
      <c r="AH13" s="15">
        <v>97</v>
      </c>
      <c r="AI13" s="65">
        <f>VLOOKUP(AH13,المرجع!$B$4:$C$12,2)</f>
        <v>5</v>
      </c>
      <c r="AJ13" s="44" t="str">
        <f>VLOOKUP(AI13,المرجع!$D$4:$E$12,2)</f>
        <v xml:space="preserve">أ+ </v>
      </c>
      <c r="AK13" s="40">
        <f t="shared" si="6"/>
        <v>10</v>
      </c>
      <c r="AL13" s="53">
        <v>2</v>
      </c>
      <c r="AM13" s="15">
        <v>100</v>
      </c>
      <c r="AN13" s="65">
        <f>VLOOKUP(AM13,المرجع!$B$4:$C$12,2)</f>
        <v>5</v>
      </c>
      <c r="AO13" s="44" t="str">
        <f>VLOOKUP(AN13,المرجع!$D$4:$E$12,2)</f>
        <v xml:space="preserve">أ+ </v>
      </c>
      <c r="AP13" s="40">
        <f t="shared" si="7"/>
        <v>10</v>
      </c>
      <c r="AQ13" s="53">
        <v>3</v>
      </c>
      <c r="AR13" s="15">
        <v>99</v>
      </c>
      <c r="AS13" s="65">
        <f>VLOOKUP(AR13,المرجع!$B$4:$C$12,2)</f>
        <v>5</v>
      </c>
      <c r="AT13" s="44" t="str">
        <f>VLOOKUP(AS13,المرجع!$D$4:$E$12,2)</f>
        <v xml:space="preserve">أ+ </v>
      </c>
      <c r="AU13" s="40">
        <f t="shared" si="8"/>
        <v>15</v>
      </c>
      <c r="AV13" s="53">
        <v>2</v>
      </c>
      <c r="AW13" s="15">
        <v>65</v>
      </c>
      <c r="AX13" s="65">
        <f>VLOOKUP(AW13,المرجع!$B$4:$C$12,2)</f>
        <v>2.5</v>
      </c>
      <c r="AY13" s="44" t="str">
        <f>VLOOKUP(AX13,المرجع!$D$4:$E$12,2)</f>
        <v>د+</v>
      </c>
      <c r="AZ13" s="40">
        <f t="shared" si="9"/>
        <v>5</v>
      </c>
      <c r="BA13" s="53">
        <v>2</v>
      </c>
      <c r="BB13" s="15">
        <v>86</v>
      </c>
      <c r="BC13" s="65">
        <f>VLOOKUP(BB13,المرجع!$B$4:$C$12,2)</f>
        <v>4.5</v>
      </c>
      <c r="BD13" s="44" t="str">
        <f>VLOOKUP(BC13,المرجع!$D$4:$E$12,2)</f>
        <v>ب+</v>
      </c>
      <c r="BE13" s="40">
        <f t="shared" si="10"/>
        <v>9</v>
      </c>
      <c r="BF13" s="56">
        <v>104.75</v>
      </c>
      <c r="BG13" s="58">
        <f t="shared" si="11"/>
        <v>24</v>
      </c>
      <c r="BH13" s="60">
        <v>4.55</v>
      </c>
      <c r="BI13" s="92">
        <v>4.26</v>
      </c>
      <c r="BJ13" s="59" t="s">
        <v>122</v>
      </c>
      <c r="BK13" s="108">
        <v>10</v>
      </c>
    </row>
    <row r="14" spans="1:63" ht="28.5" hidden="1">
      <c r="A14" s="107">
        <v>2023065</v>
      </c>
      <c r="B14" s="70" t="s">
        <v>57</v>
      </c>
      <c r="C14" s="53">
        <v>1</v>
      </c>
      <c r="D14" s="15">
        <v>84</v>
      </c>
      <c r="E14" s="65">
        <f>VLOOKUP(D14,المرجع!$B$4:$C$12,2)</f>
        <v>4</v>
      </c>
      <c r="F14" s="44" t="str">
        <f>VLOOKUP(E14,المرجع!$D$4:$E$12,2)</f>
        <v>ب</v>
      </c>
      <c r="G14" s="40">
        <f t="shared" si="0"/>
        <v>4</v>
      </c>
      <c r="H14" s="53">
        <v>2</v>
      </c>
      <c r="I14" s="15">
        <v>97</v>
      </c>
      <c r="J14" s="65">
        <f>VLOOKUP(I14,المرجع!$B$4:$C$12,2)</f>
        <v>5</v>
      </c>
      <c r="K14" s="44" t="str">
        <f>VLOOKUP(J14,المرجع!$D$4:$E$12,2)</f>
        <v xml:space="preserve">أ+ </v>
      </c>
      <c r="L14" s="40">
        <f t="shared" si="1"/>
        <v>10</v>
      </c>
      <c r="M14" s="53">
        <v>3</v>
      </c>
      <c r="N14" s="15">
        <v>99</v>
      </c>
      <c r="O14" s="65">
        <f>VLOOKUP(N14,المرجع!$B$4:$C$12,2)</f>
        <v>5</v>
      </c>
      <c r="P14" s="44" t="str">
        <f>VLOOKUP(O14,المرجع!$D$4:$E$12,2)</f>
        <v xml:space="preserve">أ+ </v>
      </c>
      <c r="Q14" s="40">
        <f t="shared" si="2"/>
        <v>15</v>
      </c>
      <c r="R14" s="53">
        <v>2</v>
      </c>
      <c r="S14" s="15">
        <v>91</v>
      </c>
      <c r="T14" s="65">
        <f>VLOOKUP(S14,المرجع!$B$4:$C$12,2)</f>
        <v>4.75</v>
      </c>
      <c r="U14" s="44" t="str">
        <f>VLOOKUP(T14,المرجع!$D$4:$E$12,2)</f>
        <v>أ</v>
      </c>
      <c r="V14" s="40">
        <f t="shared" si="3"/>
        <v>9.5</v>
      </c>
      <c r="W14" s="53">
        <v>2</v>
      </c>
      <c r="X14" s="15">
        <v>99</v>
      </c>
      <c r="Y14" s="65">
        <f>VLOOKUP(X14,المرجع!$B$4:$C$12,2)</f>
        <v>5</v>
      </c>
      <c r="Z14" s="44" t="str">
        <f>VLOOKUP(Y14,المرجع!$D$4:$E$12,2)</f>
        <v xml:space="preserve">أ+ </v>
      </c>
      <c r="AA14" s="40">
        <f t="shared" si="4"/>
        <v>10</v>
      </c>
      <c r="AB14" s="53">
        <v>3</v>
      </c>
      <c r="AC14" s="15">
        <v>86</v>
      </c>
      <c r="AD14" s="65">
        <f>VLOOKUP(AC14,المرجع!$B$4:$C$12,2)</f>
        <v>4.5</v>
      </c>
      <c r="AE14" s="44" t="str">
        <f>VLOOKUP(AD14,المرجع!$D$4:$E$12,2)</f>
        <v>ب+</v>
      </c>
      <c r="AF14" s="40">
        <f t="shared" si="5"/>
        <v>13.5</v>
      </c>
      <c r="AG14" s="53">
        <v>2</v>
      </c>
      <c r="AH14" s="15">
        <v>97</v>
      </c>
      <c r="AI14" s="65">
        <f>VLOOKUP(AH14,المرجع!$B$4:$C$12,2)</f>
        <v>5</v>
      </c>
      <c r="AJ14" s="44" t="str">
        <f>VLOOKUP(AI14,المرجع!$D$4:$E$12,2)</f>
        <v xml:space="preserve">أ+ </v>
      </c>
      <c r="AK14" s="40">
        <f t="shared" si="6"/>
        <v>10</v>
      </c>
      <c r="AL14" s="53">
        <v>2</v>
      </c>
      <c r="AM14" s="15">
        <v>90</v>
      </c>
      <c r="AN14" s="65">
        <f>VLOOKUP(AM14,المرجع!$B$4:$C$12,2)</f>
        <v>4.75</v>
      </c>
      <c r="AO14" s="44" t="str">
        <f>VLOOKUP(AN14,المرجع!$D$4:$E$12,2)</f>
        <v>أ</v>
      </c>
      <c r="AP14" s="40">
        <f t="shared" si="7"/>
        <v>9.5</v>
      </c>
      <c r="AQ14" s="53">
        <v>3</v>
      </c>
      <c r="AR14" s="15">
        <v>98</v>
      </c>
      <c r="AS14" s="65">
        <f>VLOOKUP(AR14,المرجع!$B$4:$C$12,2)</f>
        <v>5</v>
      </c>
      <c r="AT14" s="44" t="str">
        <f>VLOOKUP(AS14,المرجع!$D$4:$E$12,2)</f>
        <v xml:space="preserve">أ+ </v>
      </c>
      <c r="AU14" s="40">
        <f t="shared" si="8"/>
        <v>15</v>
      </c>
      <c r="AV14" s="53">
        <v>2</v>
      </c>
      <c r="AW14" s="15">
        <v>64</v>
      </c>
      <c r="AX14" s="65">
        <f>VLOOKUP(AW14,المرجع!$B$4:$C$12,2)</f>
        <v>2</v>
      </c>
      <c r="AY14" s="44" t="str">
        <f>VLOOKUP(AX14,المرجع!$D$4:$E$12,2)</f>
        <v>د</v>
      </c>
      <c r="AZ14" s="40">
        <f t="shared" si="9"/>
        <v>4</v>
      </c>
      <c r="BA14" s="53">
        <v>2</v>
      </c>
      <c r="BB14" s="15">
        <v>88</v>
      </c>
      <c r="BC14" s="65">
        <f>VLOOKUP(BB14,المرجع!$B$4:$C$12,2)</f>
        <v>4.5</v>
      </c>
      <c r="BD14" s="44" t="str">
        <f>VLOOKUP(BC14,المرجع!$D$4:$E$12,2)</f>
        <v>ب+</v>
      </c>
      <c r="BE14" s="40">
        <f t="shared" si="10"/>
        <v>9</v>
      </c>
      <c r="BF14" s="56">
        <v>104.25</v>
      </c>
      <c r="BG14" s="58">
        <f t="shared" si="11"/>
        <v>24</v>
      </c>
      <c r="BH14" s="60">
        <v>4.53</v>
      </c>
      <c r="BI14" s="92">
        <v>4.25</v>
      </c>
      <c r="BJ14" s="59" t="s">
        <v>122</v>
      </c>
      <c r="BK14" s="108">
        <v>11</v>
      </c>
    </row>
    <row r="15" spans="1:63" ht="28.5" hidden="1">
      <c r="A15" s="107">
        <v>2023015</v>
      </c>
      <c r="B15" s="70" t="s">
        <v>15</v>
      </c>
      <c r="C15" s="53">
        <v>1</v>
      </c>
      <c r="D15" s="15">
        <v>94</v>
      </c>
      <c r="E15" s="65">
        <f>VLOOKUP(D15,المرجع!$B$4:$C$12,2)</f>
        <v>4.75</v>
      </c>
      <c r="F15" s="44" t="str">
        <f>VLOOKUP(E15,المرجع!$D$4:$E$12,2)</f>
        <v>أ</v>
      </c>
      <c r="G15" s="40">
        <f t="shared" si="0"/>
        <v>4.75</v>
      </c>
      <c r="H15" s="53">
        <v>2</v>
      </c>
      <c r="I15" s="15">
        <v>95</v>
      </c>
      <c r="J15" s="65">
        <f>VLOOKUP(I15,المرجع!$B$4:$C$12,2)</f>
        <v>5</v>
      </c>
      <c r="K15" s="44" t="str">
        <f>VLOOKUP(J15,المرجع!$D$4:$E$12,2)</f>
        <v xml:space="preserve">أ+ </v>
      </c>
      <c r="L15" s="40">
        <f t="shared" si="1"/>
        <v>10</v>
      </c>
      <c r="M15" s="53">
        <v>3</v>
      </c>
      <c r="N15" s="15">
        <v>98</v>
      </c>
      <c r="O15" s="65">
        <f>VLOOKUP(N15,المرجع!$B$4:$C$12,2)</f>
        <v>5</v>
      </c>
      <c r="P15" s="44" t="str">
        <f>VLOOKUP(O15,المرجع!$D$4:$E$12,2)</f>
        <v xml:space="preserve">أ+ </v>
      </c>
      <c r="Q15" s="40">
        <f t="shared" si="2"/>
        <v>15</v>
      </c>
      <c r="R15" s="53">
        <v>2</v>
      </c>
      <c r="S15" s="15">
        <v>90</v>
      </c>
      <c r="T15" s="65">
        <f>VLOOKUP(S15,المرجع!$B$4:$C$12,2)</f>
        <v>4.75</v>
      </c>
      <c r="U15" s="44" t="str">
        <f>VLOOKUP(T15,المرجع!$D$4:$E$12,2)</f>
        <v>أ</v>
      </c>
      <c r="V15" s="40">
        <f t="shared" si="3"/>
        <v>9.5</v>
      </c>
      <c r="W15" s="53">
        <v>2</v>
      </c>
      <c r="X15" s="15">
        <v>97</v>
      </c>
      <c r="Y15" s="65">
        <f>VLOOKUP(X15,المرجع!$B$4:$C$12,2)</f>
        <v>5</v>
      </c>
      <c r="Z15" s="44" t="str">
        <f>VLOOKUP(Y15,المرجع!$D$4:$E$12,2)</f>
        <v xml:space="preserve">أ+ </v>
      </c>
      <c r="AA15" s="40">
        <f t="shared" si="4"/>
        <v>10</v>
      </c>
      <c r="AB15" s="53">
        <v>3</v>
      </c>
      <c r="AC15" s="15">
        <v>50</v>
      </c>
      <c r="AD15" s="65">
        <f>VLOOKUP(AC15,المرجع!$B$4:$C$12,2)</f>
        <v>2</v>
      </c>
      <c r="AE15" s="44" t="str">
        <f>VLOOKUP(AD15,المرجع!$D$4:$E$12,2)</f>
        <v>د</v>
      </c>
      <c r="AF15" s="40">
        <f t="shared" si="5"/>
        <v>6</v>
      </c>
      <c r="AG15" s="53">
        <v>2</v>
      </c>
      <c r="AH15" s="15">
        <v>100</v>
      </c>
      <c r="AI15" s="65">
        <f>VLOOKUP(AH15,المرجع!$B$4:$C$12,2)</f>
        <v>5</v>
      </c>
      <c r="AJ15" s="44" t="str">
        <f>VLOOKUP(AI15,المرجع!$D$4:$E$12,2)</f>
        <v xml:space="preserve">أ+ </v>
      </c>
      <c r="AK15" s="40">
        <f t="shared" si="6"/>
        <v>10</v>
      </c>
      <c r="AL15" s="53">
        <v>2</v>
      </c>
      <c r="AM15" s="15">
        <v>98</v>
      </c>
      <c r="AN15" s="65">
        <f>VLOOKUP(AM15,المرجع!$B$4:$C$12,2)</f>
        <v>5</v>
      </c>
      <c r="AO15" s="44" t="str">
        <f>VLOOKUP(AN15,المرجع!$D$4:$E$12,2)</f>
        <v xml:space="preserve">أ+ </v>
      </c>
      <c r="AP15" s="40">
        <f t="shared" si="7"/>
        <v>10</v>
      </c>
      <c r="AQ15" s="53">
        <v>3</v>
      </c>
      <c r="AR15" s="15">
        <v>98</v>
      </c>
      <c r="AS15" s="65">
        <f>VLOOKUP(AR15,المرجع!$B$4:$C$12,2)</f>
        <v>5</v>
      </c>
      <c r="AT15" s="44" t="str">
        <f>VLOOKUP(AS15,المرجع!$D$4:$E$12,2)</f>
        <v xml:space="preserve">أ+ </v>
      </c>
      <c r="AU15" s="40">
        <f t="shared" si="8"/>
        <v>15</v>
      </c>
      <c r="AV15" s="53">
        <v>2</v>
      </c>
      <c r="AW15" s="15">
        <v>78</v>
      </c>
      <c r="AX15" s="65">
        <f>VLOOKUP(AW15,المرجع!$B$4:$C$12,2)</f>
        <v>3.5</v>
      </c>
      <c r="AY15" s="44" t="str">
        <f>VLOOKUP(AX15,المرجع!$D$4:$E$12,2)</f>
        <v>ج+</v>
      </c>
      <c r="AZ15" s="40">
        <f t="shared" si="9"/>
        <v>7</v>
      </c>
      <c r="BA15" s="53">
        <v>2</v>
      </c>
      <c r="BB15" s="15">
        <v>98</v>
      </c>
      <c r="BC15" s="65">
        <f>VLOOKUP(BB15,المرجع!$B$4:$C$12,2)</f>
        <v>5</v>
      </c>
      <c r="BD15" s="44" t="str">
        <f>VLOOKUP(BC15,المرجع!$D$4:$E$12,2)</f>
        <v xml:space="preserve">أ+ </v>
      </c>
      <c r="BE15" s="40">
        <f t="shared" si="10"/>
        <v>10</v>
      </c>
      <c r="BF15" s="56">
        <v>102</v>
      </c>
      <c r="BG15" s="58">
        <f t="shared" si="11"/>
        <v>24</v>
      </c>
      <c r="BH15" s="60">
        <v>4.43</v>
      </c>
      <c r="BI15" s="92">
        <v>4.18</v>
      </c>
      <c r="BJ15" s="59" t="s">
        <v>122</v>
      </c>
      <c r="BK15" s="108">
        <v>14</v>
      </c>
    </row>
    <row r="16" spans="1:63" ht="28.5" hidden="1">
      <c r="A16" s="107">
        <v>2023019</v>
      </c>
      <c r="B16" s="70" t="s">
        <v>17</v>
      </c>
      <c r="C16" s="53">
        <v>1</v>
      </c>
      <c r="D16" s="15">
        <v>100</v>
      </c>
      <c r="E16" s="65">
        <f>VLOOKUP(D16,المرجع!$B$4:$C$12,2)</f>
        <v>5</v>
      </c>
      <c r="F16" s="44" t="str">
        <f>VLOOKUP(E16,المرجع!$D$4:$E$12,2)</f>
        <v xml:space="preserve">أ+ </v>
      </c>
      <c r="G16" s="40">
        <f t="shared" si="0"/>
        <v>5</v>
      </c>
      <c r="H16" s="53">
        <v>2</v>
      </c>
      <c r="I16" s="15">
        <v>89</v>
      </c>
      <c r="J16" s="65">
        <f>VLOOKUP(I16,المرجع!$B$4:$C$12,2)</f>
        <v>4.5</v>
      </c>
      <c r="K16" s="44" t="str">
        <f>VLOOKUP(J16,المرجع!$D$4:$E$12,2)</f>
        <v>ب+</v>
      </c>
      <c r="L16" s="40">
        <f t="shared" si="1"/>
        <v>9</v>
      </c>
      <c r="M16" s="53">
        <v>3</v>
      </c>
      <c r="N16" s="15">
        <v>100</v>
      </c>
      <c r="O16" s="65">
        <f>VLOOKUP(N16,المرجع!$B$4:$C$12,2)</f>
        <v>5</v>
      </c>
      <c r="P16" s="44" t="str">
        <f>VLOOKUP(O16,المرجع!$D$4:$E$12,2)</f>
        <v xml:space="preserve">أ+ </v>
      </c>
      <c r="Q16" s="40">
        <f t="shared" si="2"/>
        <v>15</v>
      </c>
      <c r="R16" s="53">
        <v>2</v>
      </c>
      <c r="S16" s="15">
        <v>90</v>
      </c>
      <c r="T16" s="65">
        <f>VLOOKUP(S16,المرجع!$B$4:$C$12,2)</f>
        <v>4.75</v>
      </c>
      <c r="U16" s="44" t="str">
        <f>VLOOKUP(T16,المرجع!$D$4:$E$12,2)</f>
        <v>أ</v>
      </c>
      <c r="V16" s="40">
        <f t="shared" si="3"/>
        <v>9.5</v>
      </c>
      <c r="W16" s="53">
        <v>2</v>
      </c>
      <c r="X16" s="15">
        <v>100</v>
      </c>
      <c r="Y16" s="65">
        <f>VLOOKUP(X16,المرجع!$B$4:$C$12,2)</f>
        <v>5</v>
      </c>
      <c r="Z16" s="44" t="str">
        <f>VLOOKUP(Y16,المرجع!$D$4:$E$12,2)</f>
        <v xml:space="preserve">أ+ </v>
      </c>
      <c r="AA16" s="40">
        <f t="shared" si="4"/>
        <v>10</v>
      </c>
      <c r="AB16" s="53">
        <v>3</v>
      </c>
      <c r="AC16" s="15">
        <v>88</v>
      </c>
      <c r="AD16" s="65">
        <f>VLOOKUP(AC16,المرجع!$B$4:$C$12,2)</f>
        <v>4.5</v>
      </c>
      <c r="AE16" s="44" t="str">
        <f>VLOOKUP(AD16,المرجع!$D$4:$E$12,2)</f>
        <v>ب+</v>
      </c>
      <c r="AF16" s="40">
        <f t="shared" si="5"/>
        <v>13.5</v>
      </c>
      <c r="AG16" s="53">
        <v>2</v>
      </c>
      <c r="AH16" s="15">
        <v>97</v>
      </c>
      <c r="AI16" s="65">
        <f>VLOOKUP(AH16,المرجع!$B$4:$C$12,2)</f>
        <v>5</v>
      </c>
      <c r="AJ16" s="44" t="str">
        <f>VLOOKUP(AI16,المرجع!$D$4:$E$12,2)</f>
        <v xml:space="preserve">أ+ </v>
      </c>
      <c r="AK16" s="40">
        <f t="shared" si="6"/>
        <v>10</v>
      </c>
      <c r="AL16" s="53">
        <v>2</v>
      </c>
      <c r="AM16" s="15">
        <v>95</v>
      </c>
      <c r="AN16" s="65">
        <f>VLOOKUP(AM16,المرجع!$B$4:$C$12,2)</f>
        <v>5</v>
      </c>
      <c r="AO16" s="44" t="str">
        <f>VLOOKUP(AN16,المرجع!$D$4:$E$12,2)</f>
        <v xml:space="preserve">أ+ </v>
      </c>
      <c r="AP16" s="40">
        <f t="shared" si="7"/>
        <v>10</v>
      </c>
      <c r="AQ16" s="53">
        <v>3</v>
      </c>
      <c r="AR16" s="15">
        <v>98</v>
      </c>
      <c r="AS16" s="65">
        <f>VLOOKUP(AR16,المرجع!$B$4:$C$12,2)</f>
        <v>5</v>
      </c>
      <c r="AT16" s="44" t="str">
        <f>VLOOKUP(AS16,المرجع!$D$4:$E$12,2)</f>
        <v xml:space="preserve">أ+ </v>
      </c>
      <c r="AU16" s="40">
        <f t="shared" si="8"/>
        <v>15</v>
      </c>
      <c r="AV16" s="53">
        <v>2</v>
      </c>
      <c r="AW16" s="15">
        <v>74</v>
      </c>
      <c r="AX16" s="65">
        <f>VLOOKUP(AW16,المرجع!$B$4:$C$12,2)</f>
        <v>3</v>
      </c>
      <c r="AY16" s="44" t="str">
        <f>VLOOKUP(AX16,المرجع!$D$4:$E$12,2)</f>
        <v>ج</v>
      </c>
      <c r="AZ16" s="40">
        <f t="shared" si="9"/>
        <v>6</v>
      </c>
      <c r="BA16" s="53">
        <v>2</v>
      </c>
      <c r="BB16" s="15">
        <v>54</v>
      </c>
      <c r="BC16" s="65">
        <f>VLOOKUP(BB16,المرجع!$B$4:$C$12,2)</f>
        <v>2</v>
      </c>
      <c r="BD16" s="44" t="str">
        <f>VLOOKUP(BC16,المرجع!$D$4:$E$12,2)</f>
        <v>د</v>
      </c>
      <c r="BE16" s="40">
        <f t="shared" si="10"/>
        <v>4</v>
      </c>
      <c r="BF16" s="56">
        <v>101.75</v>
      </c>
      <c r="BG16" s="58">
        <f t="shared" si="11"/>
        <v>24</v>
      </c>
      <c r="BH16" s="60">
        <v>4.42</v>
      </c>
      <c r="BI16" s="92">
        <v>4.16</v>
      </c>
      <c r="BJ16" s="59" t="s">
        <v>122</v>
      </c>
      <c r="BK16" s="108">
        <v>16</v>
      </c>
    </row>
    <row r="17" spans="1:63" ht="28.5" hidden="1">
      <c r="A17" s="107">
        <v>2023027</v>
      </c>
      <c r="B17" s="70" t="s">
        <v>2</v>
      </c>
      <c r="C17" s="53">
        <v>1</v>
      </c>
      <c r="D17" s="15">
        <v>96</v>
      </c>
      <c r="E17" s="65">
        <f>VLOOKUP(D17,المرجع!$B$4:$C$12,2)</f>
        <v>5</v>
      </c>
      <c r="F17" s="44" t="str">
        <f>VLOOKUP(E17,المرجع!$D$4:$E$12,2)</f>
        <v xml:space="preserve">أ+ </v>
      </c>
      <c r="G17" s="40">
        <f t="shared" si="0"/>
        <v>5</v>
      </c>
      <c r="H17" s="53">
        <v>2</v>
      </c>
      <c r="I17" s="15">
        <v>95</v>
      </c>
      <c r="J17" s="65">
        <f>VLOOKUP(I17,المرجع!$B$4:$C$12,2)</f>
        <v>5</v>
      </c>
      <c r="K17" s="44" t="str">
        <f>VLOOKUP(J17,المرجع!$D$4:$E$12,2)</f>
        <v xml:space="preserve">أ+ </v>
      </c>
      <c r="L17" s="40">
        <f t="shared" si="1"/>
        <v>10</v>
      </c>
      <c r="M17" s="53">
        <v>3</v>
      </c>
      <c r="N17" s="15">
        <v>100</v>
      </c>
      <c r="O17" s="65">
        <f>VLOOKUP(N17,المرجع!$B$4:$C$12,2)</f>
        <v>5</v>
      </c>
      <c r="P17" s="44" t="str">
        <f>VLOOKUP(O17,المرجع!$D$4:$E$12,2)</f>
        <v xml:space="preserve">أ+ </v>
      </c>
      <c r="Q17" s="40">
        <f t="shared" si="2"/>
        <v>15</v>
      </c>
      <c r="R17" s="53">
        <v>2</v>
      </c>
      <c r="S17" s="15">
        <v>88</v>
      </c>
      <c r="T17" s="65">
        <f>VLOOKUP(S17,المرجع!$B$4:$C$12,2)</f>
        <v>4.5</v>
      </c>
      <c r="U17" s="44" t="str">
        <f>VLOOKUP(T17,المرجع!$D$4:$E$12,2)</f>
        <v>ب+</v>
      </c>
      <c r="V17" s="40">
        <f t="shared" si="3"/>
        <v>9</v>
      </c>
      <c r="W17" s="53">
        <v>2</v>
      </c>
      <c r="X17" s="15">
        <v>98</v>
      </c>
      <c r="Y17" s="65">
        <f>VLOOKUP(X17,المرجع!$B$4:$C$12,2)</f>
        <v>5</v>
      </c>
      <c r="Z17" s="44" t="str">
        <f>VLOOKUP(Y17,المرجع!$D$4:$E$12,2)</f>
        <v xml:space="preserve">أ+ </v>
      </c>
      <c r="AA17" s="40">
        <f t="shared" si="4"/>
        <v>10</v>
      </c>
      <c r="AB17" s="53">
        <v>3</v>
      </c>
      <c r="AC17" s="15">
        <v>97</v>
      </c>
      <c r="AD17" s="65">
        <f>VLOOKUP(AC17,المرجع!$B$4:$C$12,2)</f>
        <v>5</v>
      </c>
      <c r="AE17" s="44" t="str">
        <f>VLOOKUP(AD17,المرجع!$D$4:$E$12,2)</f>
        <v xml:space="preserve">أ+ </v>
      </c>
      <c r="AF17" s="40">
        <f t="shared" si="5"/>
        <v>15</v>
      </c>
      <c r="AG17" s="53">
        <v>2</v>
      </c>
      <c r="AH17" s="15">
        <v>98</v>
      </c>
      <c r="AI17" s="65">
        <f>VLOOKUP(AH17,المرجع!$B$4:$C$12,2)</f>
        <v>5</v>
      </c>
      <c r="AJ17" s="44" t="str">
        <f>VLOOKUP(AI17,المرجع!$D$4:$E$12,2)</f>
        <v xml:space="preserve">أ+ </v>
      </c>
      <c r="AK17" s="40">
        <f t="shared" si="6"/>
        <v>10</v>
      </c>
      <c r="AL17" s="53">
        <v>2</v>
      </c>
      <c r="AM17" s="15">
        <v>99</v>
      </c>
      <c r="AN17" s="65">
        <f>VLOOKUP(AM17,المرجع!$B$4:$C$12,2)</f>
        <v>5</v>
      </c>
      <c r="AO17" s="44" t="str">
        <f>VLOOKUP(AN17,المرجع!$D$4:$E$12,2)</f>
        <v xml:space="preserve">أ+ </v>
      </c>
      <c r="AP17" s="40">
        <f t="shared" si="7"/>
        <v>10</v>
      </c>
      <c r="AQ17" s="53">
        <v>3</v>
      </c>
      <c r="AR17" s="15">
        <v>99</v>
      </c>
      <c r="AS17" s="65">
        <f>VLOOKUP(AR17,المرجع!$B$4:$C$12,2)</f>
        <v>5</v>
      </c>
      <c r="AT17" s="44" t="str">
        <f>VLOOKUP(AS17,المرجع!$D$4:$E$12,2)</f>
        <v xml:space="preserve">أ+ </v>
      </c>
      <c r="AU17" s="40">
        <f t="shared" si="8"/>
        <v>15</v>
      </c>
      <c r="AV17" s="53">
        <v>2</v>
      </c>
      <c r="AW17" s="15">
        <v>64</v>
      </c>
      <c r="AX17" s="65">
        <f>VLOOKUP(AW17,المرجع!$B$4:$C$12,2)</f>
        <v>2</v>
      </c>
      <c r="AY17" s="44" t="str">
        <f>VLOOKUP(AX17,المرجع!$D$4:$E$12,2)</f>
        <v>د</v>
      </c>
      <c r="AZ17" s="40">
        <f t="shared" si="9"/>
        <v>4</v>
      </c>
      <c r="BA17" s="53">
        <v>2</v>
      </c>
      <c r="BB17" s="15">
        <v>50</v>
      </c>
      <c r="BC17" s="65">
        <f>VLOOKUP(BB17,المرجع!$B$4:$C$12,2)</f>
        <v>2</v>
      </c>
      <c r="BD17" s="44" t="str">
        <f>VLOOKUP(BC17,المرجع!$D$4:$E$12,2)</f>
        <v>د</v>
      </c>
      <c r="BE17" s="40">
        <f t="shared" si="10"/>
        <v>4</v>
      </c>
      <c r="BF17" s="56">
        <v>101.5</v>
      </c>
      <c r="BG17" s="58">
        <f t="shared" si="11"/>
        <v>24</v>
      </c>
      <c r="BH17" s="60">
        <v>4.41</v>
      </c>
      <c r="BI17" s="92">
        <v>4.1500000000000004</v>
      </c>
      <c r="BJ17" s="59" t="s">
        <v>122</v>
      </c>
      <c r="BK17" s="108">
        <v>17</v>
      </c>
    </row>
    <row r="18" spans="1:63" ht="28.5" hidden="1">
      <c r="A18" s="107">
        <v>2023041</v>
      </c>
      <c r="B18" s="70" t="s">
        <v>90</v>
      </c>
      <c r="C18" s="53">
        <v>1</v>
      </c>
      <c r="D18" s="15">
        <v>90</v>
      </c>
      <c r="E18" s="65">
        <f>VLOOKUP(D18,المرجع!$B$4:$C$12,2)</f>
        <v>4.75</v>
      </c>
      <c r="F18" s="44" t="str">
        <f>VLOOKUP(E18,المرجع!$D$4:$E$12,2)</f>
        <v>أ</v>
      </c>
      <c r="G18" s="40">
        <f t="shared" si="0"/>
        <v>4.75</v>
      </c>
      <c r="H18" s="53">
        <v>2</v>
      </c>
      <c r="I18" s="15">
        <v>90</v>
      </c>
      <c r="J18" s="65">
        <f>VLOOKUP(I18,المرجع!$B$4:$C$12,2)</f>
        <v>4.75</v>
      </c>
      <c r="K18" s="44" t="str">
        <f>VLOOKUP(J18,المرجع!$D$4:$E$12,2)</f>
        <v>أ</v>
      </c>
      <c r="L18" s="40">
        <f t="shared" si="1"/>
        <v>9.5</v>
      </c>
      <c r="M18" s="53">
        <v>3</v>
      </c>
      <c r="N18" s="15">
        <v>100</v>
      </c>
      <c r="O18" s="65">
        <f>VLOOKUP(N18,المرجع!$B$4:$C$12,2)</f>
        <v>5</v>
      </c>
      <c r="P18" s="44" t="str">
        <f>VLOOKUP(O18,المرجع!$D$4:$E$12,2)</f>
        <v xml:space="preserve">أ+ </v>
      </c>
      <c r="Q18" s="40">
        <f t="shared" si="2"/>
        <v>15</v>
      </c>
      <c r="R18" s="53">
        <v>2</v>
      </c>
      <c r="S18" s="15">
        <v>100</v>
      </c>
      <c r="T18" s="65">
        <f>VLOOKUP(S18,المرجع!$B$4:$C$12,2)</f>
        <v>5</v>
      </c>
      <c r="U18" s="44" t="str">
        <f>VLOOKUP(T18,المرجع!$D$4:$E$12,2)</f>
        <v xml:space="preserve">أ+ </v>
      </c>
      <c r="V18" s="40">
        <f t="shared" si="3"/>
        <v>10</v>
      </c>
      <c r="W18" s="53">
        <v>2</v>
      </c>
      <c r="X18" s="15">
        <v>100</v>
      </c>
      <c r="Y18" s="65">
        <f>VLOOKUP(X18,المرجع!$B$4:$C$12,2)</f>
        <v>5</v>
      </c>
      <c r="Z18" s="44" t="str">
        <f>VLOOKUP(Y18,المرجع!$D$4:$E$12,2)</f>
        <v xml:space="preserve">أ+ </v>
      </c>
      <c r="AA18" s="40">
        <f t="shared" si="4"/>
        <v>10</v>
      </c>
      <c r="AB18" s="53">
        <v>3</v>
      </c>
      <c r="AC18" s="15">
        <v>67</v>
      </c>
      <c r="AD18" s="65">
        <f>VLOOKUP(AC18,المرجع!$B$4:$C$12,2)</f>
        <v>2.5</v>
      </c>
      <c r="AE18" s="44" t="str">
        <f>VLOOKUP(AD18,المرجع!$D$4:$E$12,2)</f>
        <v>د+</v>
      </c>
      <c r="AF18" s="40">
        <f t="shared" si="5"/>
        <v>7.5</v>
      </c>
      <c r="AG18" s="53">
        <v>2</v>
      </c>
      <c r="AH18" s="15">
        <v>98</v>
      </c>
      <c r="AI18" s="65">
        <f>VLOOKUP(AH18,المرجع!$B$4:$C$12,2)</f>
        <v>5</v>
      </c>
      <c r="AJ18" s="44" t="str">
        <f>VLOOKUP(AI18,المرجع!$D$4:$E$12,2)</f>
        <v xml:space="preserve">أ+ </v>
      </c>
      <c r="AK18" s="40">
        <f t="shared" si="6"/>
        <v>10</v>
      </c>
      <c r="AL18" s="53">
        <v>2</v>
      </c>
      <c r="AM18" s="15">
        <v>82</v>
      </c>
      <c r="AN18" s="65">
        <f>VLOOKUP(AM18,المرجع!$B$4:$C$12,2)</f>
        <v>4</v>
      </c>
      <c r="AO18" s="44" t="str">
        <f>VLOOKUP(AN18,المرجع!$D$4:$E$12,2)</f>
        <v>ب</v>
      </c>
      <c r="AP18" s="40">
        <f t="shared" si="7"/>
        <v>8</v>
      </c>
      <c r="AQ18" s="53">
        <v>3</v>
      </c>
      <c r="AR18" s="15">
        <v>95</v>
      </c>
      <c r="AS18" s="65">
        <f>VLOOKUP(AR18,المرجع!$B$4:$C$12,2)</f>
        <v>5</v>
      </c>
      <c r="AT18" s="44" t="str">
        <f>VLOOKUP(AS18,المرجع!$D$4:$E$12,2)</f>
        <v xml:space="preserve">أ+ </v>
      </c>
      <c r="AU18" s="40">
        <f t="shared" si="8"/>
        <v>15</v>
      </c>
      <c r="AV18" s="53">
        <v>2</v>
      </c>
      <c r="AW18" s="15">
        <v>65</v>
      </c>
      <c r="AX18" s="65">
        <f>VLOOKUP(AW18,المرجع!$B$4:$C$12,2)</f>
        <v>2.5</v>
      </c>
      <c r="AY18" s="44" t="str">
        <f>VLOOKUP(AX18,المرجع!$D$4:$E$12,2)</f>
        <v>د+</v>
      </c>
      <c r="AZ18" s="40">
        <f t="shared" si="9"/>
        <v>5</v>
      </c>
      <c r="BA18" s="53">
        <v>2</v>
      </c>
      <c r="BB18" s="15">
        <v>92</v>
      </c>
      <c r="BC18" s="65">
        <f>VLOOKUP(BB18,المرجع!$B$4:$C$12,2)</f>
        <v>4.75</v>
      </c>
      <c r="BD18" s="44" t="str">
        <f>VLOOKUP(BC18,المرجع!$D$4:$E$12,2)</f>
        <v>أ</v>
      </c>
      <c r="BE18" s="40">
        <f t="shared" si="10"/>
        <v>9.5</v>
      </c>
      <c r="BF18" s="56">
        <v>99.25</v>
      </c>
      <c r="BG18" s="58">
        <f t="shared" si="11"/>
        <v>24</v>
      </c>
      <c r="BH18" s="60">
        <v>4.3099999999999996</v>
      </c>
      <c r="BI18" s="92">
        <v>4.09</v>
      </c>
      <c r="BJ18" s="59" t="s">
        <v>122</v>
      </c>
      <c r="BK18" s="108">
        <v>19</v>
      </c>
    </row>
    <row r="19" spans="1:63" ht="28.5" hidden="1">
      <c r="A19" s="107">
        <v>2023018</v>
      </c>
      <c r="B19" s="70" t="s">
        <v>18</v>
      </c>
      <c r="C19" s="53">
        <v>1</v>
      </c>
      <c r="D19" s="15">
        <v>81</v>
      </c>
      <c r="E19" s="65">
        <f>VLOOKUP(D19,المرجع!$B$4:$C$12,2)</f>
        <v>4</v>
      </c>
      <c r="F19" s="44" t="str">
        <f>VLOOKUP(E19,المرجع!$D$4:$E$12,2)</f>
        <v>ب</v>
      </c>
      <c r="G19" s="40">
        <f t="shared" si="0"/>
        <v>4</v>
      </c>
      <c r="H19" s="53">
        <v>2</v>
      </c>
      <c r="I19" s="15">
        <v>93</v>
      </c>
      <c r="J19" s="65">
        <f>VLOOKUP(I19,المرجع!$B$4:$C$12,2)</f>
        <v>4.75</v>
      </c>
      <c r="K19" s="44" t="str">
        <f>VLOOKUP(J19,المرجع!$D$4:$E$12,2)</f>
        <v>أ</v>
      </c>
      <c r="L19" s="40">
        <f t="shared" si="1"/>
        <v>9.5</v>
      </c>
      <c r="M19" s="53">
        <v>3</v>
      </c>
      <c r="N19" s="15">
        <v>95</v>
      </c>
      <c r="O19" s="65">
        <f>VLOOKUP(N19,المرجع!$B$4:$C$12,2)</f>
        <v>5</v>
      </c>
      <c r="P19" s="44" t="str">
        <f>VLOOKUP(O19,المرجع!$D$4:$E$12,2)</f>
        <v xml:space="preserve">أ+ </v>
      </c>
      <c r="Q19" s="40">
        <f t="shared" si="2"/>
        <v>15</v>
      </c>
      <c r="R19" s="53">
        <v>2</v>
      </c>
      <c r="S19" s="15">
        <v>89</v>
      </c>
      <c r="T19" s="65">
        <f>VLOOKUP(S19,المرجع!$B$4:$C$12,2)</f>
        <v>4.5</v>
      </c>
      <c r="U19" s="44" t="str">
        <f>VLOOKUP(T19,المرجع!$D$4:$E$12,2)</f>
        <v>ب+</v>
      </c>
      <c r="V19" s="40">
        <f t="shared" si="3"/>
        <v>9</v>
      </c>
      <c r="W19" s="53">
        <v>2</v>
      </c>
      <c r="X19" s="15">
        <v>97</v>
      </c>
      <c r="Y19" s="65">
        <f>VLOOKUP(X19,المرجع!$B$4:$C$12,2)</f>
        <v>5</v>
      </c>
      <c r="Z19" s="44" t="str">
        <f>VLOOKUP(Y19,المرجع!$D$4:$E$12,2)</f>
        <v xml:space="preserve">أ+ </v>
      </c>
      <c r="AA19" s="40">
        <f t="shared" si="4"/>
        <v>10</v>
      </c>
      <c r="AB19" s="53">
        <v>3</v>
      </c>
      <c r="AC19" s="15">
        <v>81</v>
      </c>
      <c r="AD19" s="65">
        <f>VLOOKUP(AC19,المرجع!$B$4:$C$12,2)</f>
        <v>4</v>
      </c>
      <c r="AE19" s="44" t="str">
        <f>VLOOKUP(AD19,المرجع!$D$4:$E$12,2)</f>
        <v>ب</v>
      </c>
      <c r="AF19" s="40">
        <f t="shared" si="5"/>
        <v>12</v>
      </c>
      <c r="AG19" s="53">
        <v>2</v>
      </c>
      <c r="AH19" s="15">
        <v>94</v>
      </c>
      <c r="AI19" s="65">
        <f>VLOOKUP(AH19,المرجع!$B$4:$C$12,2)</f>
        <v>4.75</v>
      </c>
      <c r="AJ19" s="44" t="str">
        <f>VLOOKUP(AI19,المرجع!$D$4:$E$12,2)</f>
        <v>أ</v>
      </c>
      <c r="AK19" s="40">
        <f t="shared" si="6"/>
        <v>9.5</v>
      </c>
      <c r="AL19" s="53">
        <v>2</v>
      </c>
      <c r="AM19" s="15">
        <v>95</v>
      </c>
      <c r="AN19" s="65">
        <f>VLOOKUP(AM19,المرجع!$B$4:$C$12,2)</f>
        <v>5</v>
      </c>
      <c r="AO19" s="44" t="str">
        <f>VLOOKUP(AN19,المرجع!$D$4:$E$12,2)</f>
        <v xml:space="preserve">أ+ </v>
      </c>
      <c r="AP19" s="40">
        <f t="shared" si="7"/>
        <v>10</v>
      </c>
      <c r="AQ19" s="53">
        <v>3</v>
      </c>
      <c r="AR19" s="15">
        <v>99</v>
      </c>
      <c r="AS19" s="65">
        <f>VLOOKUP(AR19,المرجع!$B$4:$C$12,2)</f>
        <v>5</v>
      </c>
      <c r="AT19" s="44" t="str">
        <f>VLOOKUP(AS19,المرجع!$D$4:$E$12,2)</f>
        <v xml:space="preserve">أ+ </v>
      </c>
      <c r="AU19" s="40">
        <f t="shared" si="8"/>
        <v>15</v>
      </c>
      <c r="AV19" s="53">
        <v>2</v>
      </c>
      <c r="AW19" s="15">
        <v>86</v>
      </c>
      <c r="AX19" s="65">
        <f>VLOOKUP(AW19,المرجع!$B$4:$C$12,2)</f>
        <v>4.5</v>
      </c>
      <c r="AY19" s="44" t="str">
        <f>VLOOKUP(AX19,المرجع!$D$4:$E$12,2)</f>
        <v>ب+</v>
      </c>
      <c r="AZ19" s="40">
        <f t="shared" si="9"/>
        <v>9</v>
      </c>
      <c r="BA19" s="53">
        <v>2</v>
      </c>
      <c r="BB19" s="15">
        <v>58</v>
      </c>
      <c r="BC19" s="65">
        <f>VLOOKUP(BB19,المرجع!$B$4:$C$12,2)</f>
        <v>2</v>
      </c>
      <c r="BD19" s="44" t="str">
        <f>VLOOKUP(BC19,المرجع!$D$4:$E$12,2)</f>
        <v>د</v>
      </c>
      <c r="BE19" s="40">
        <f t="shared" si="10"/>
        <v>4</v>
      </c>
      <c r="BF19" s="56">
        <v>101.5</v>
      </c>
      <c r="BG19" s="58">
        <f t="shared" si="11"/>
        <v>24</v>
      </c>
      <c r="BH19" s="60">
        <v>4.41</v>
      </c>
      <c r="BI19" s="92">
        <v>4.13</v>
      </c>
      <c r="BJ19" s="59" t="s">
        <v>122</v>
      </c>
      <c r="BK19" s="108">
        <v>17</v>
      </c>
    </row>
    <row r="20" spans="1:63" ht="28.5" hidden="1">
      <c r="A20" s="107">
        <v>2023030</v>
      </c>
      <c r="B20" s="70" t="s">
        <v>6</v>
      </c>
      <c r="C20" s="53">
        <v>1</v>
      </c>
      <c r="D20" s="15">
        <v>96</v>
      </c>
      <c r="E20" s="65">
        <f>VLOOKUP(D20,المرجع!$B$4:$C$12,2)</f>
        <v>5</v>
      </c>
      <c r="F20" s="44" t="str">
        <f>VLOOKUP(E20,المرجع!$D$4:$E$12,2)</f>
        <v xml:space="preserve">أ+ </v>
      </c>
      <c r="G20" s="40">
        <f t="shared" si="0"/>
        <v>5</v>
      </c>
      <c r="H20" s="53">
        <v>2</v>
      </c>
      <c r="I20" s="15">
        <v>94</v>
      </c>
      <c r="J20" s="65">
        <f>VLOOKUP(I20,المرجع!$B$4:$C$12,2)</f>
        <v>4.75</v>
      </c>
      <c r="K20" s="44" t="str">
        <f>VLOOKUP(J20,المرجع!$D$4:$E$12,2)</f>
        <v>أ</v>
      </c>
      <c r="L20" s="40">
        <f t="shared" si="1"/>
        <v>9.5</v>
      </c>
      <c r="M20" s="53">
        <v>3</v>
      </c>
      <c r="N20" s="15">
        <v>94</v>
      </c>
      <c r="O20" s="65">
        <f>VLOOKUP(N20,المرجع!$B$4:$C$12,2)</f>
        <v>4.75</v>
      </c>
      <c r="P20" s="44" t="str">
        <f>VLOOKUP(O20,المرجع!$D$4:$E$12,2)</f>
        <v>أ</v>
      </c>
      <c r="Q20" s="40">
        <f t="shared" si="2"/>
        <v>14.25</v>
      </c>
      <c r="R20" s="53">
        <v>2</v>
      </c>
      <c r="S20" s="15">
        <v>87</v>
      </c>
      <c r="T20" s="65">
        <f>VLOOKUP(S20,المرجع!$B$4:$C$12,2)</f>
        <v>4.5</v>
      </c>
      <c r="U20" s="44" t="str">
        <f>VLOOKUP(T20,المرجع!$D$4:$E$12,2)</f>
        <v>ب+</v>
      </c>
      <c r="V20" s="40">
        <f t="shared" si="3"/>
        <v>9</v>
      </c>
      <c r="W20" s="53">
        <v>2</v>
      </c>
      <c r="X20" s="15">
        <v>97</v>
      </c>
      <c r="Y20" s="65">
        <f>VLOOKUP(X20,المرجع!$B$4:$C$12,2)</f>
        <v>5</v>
      </c>
      <c r="Z20" s="44" t="str">
        <f>VLOOKUP(Y20,المرجع!$D$4:$E$12,2)</f>
        <v xml:space="preserve">أ+ </v>
      </c>
      <c r="AA20" s="40">
        <f t="shared" si="4"/>
        <v>10</v>
      </c>
      <c r="AB20" s="53">
        <v>3</v>
      </c>
      <c r="AC20" s="15">
        <v>88</v>
      </c>
      <c r="AD20" s="65">
        <f>VLOOKUP(AC20,المرجع!$B$4:$C$12,2)</f>
        <v>4.5</v>
      </c>
      <c r="AE20" s="44" t="str">
        <f>VLOOKUP(AD20,المرجع!$D$4:$E$12,2)</f>
        <v>ب+</v>
      </c>
      <c r="AF20" s="40">
        <f t="shared" si="5"/>
        <v>13.5</v>
      </c>
      <c r="AG20" s="53">
        <v>2</v>
      </c>
      <c r="AH20" s="15">
        <v>94</v>
      </c>
      <c r="AI20" s="65">
        <f>VLOOKUP(AH20,المرجع!$B$4:$C$12,2)</f>
        <v>4.75</v>
      </c>
      <c r="AJ20" s="44" t="str">
        <f>VLOOKUP(AI20,المرجع!$D$4:$E$12,2)</f>
        <v>أ</v>
      </c>
      <c r="AK20" s="40">
        <f t="shared" si="6"/>
        <v>9.5</v>
      </c>
      <c r="AL20" s="53">
        <v>2</v>
      </c>
      <c r="AM20" s="15">
        <v>95</v>
      </c>
      <c r="AN20" s="65">
        <f>VLOOKUP(AM20,المرجع!$B$4:$C$12,2)</f>
        <v>5</v>
      </c>
      <c r="AO20" s="44" t="str">
        <f>VLOOKUP(AN20,المرجع!$D$4:$E$12,2)</f>
        <v xml:space="preserve">أ+ </v>
      </c>
      <c r="AP20" s="40">
        <f t="shared" si="7"/>
        <v>10</v>
      </c>
      <c r="AQ20" s="53">
        <v>3</v>
      </c>
      <c r="AR20" s="15">
        <v>95</v>
      </c>
      <c r="AS20" s="65">
        <f>VLOOKUP(AR20,المرجع!$B$4:$C$12,2)</f>
        <v>5</v>
      </c>
      <c r="AT20" s="44" t="str">
        <f>VLOOKUP(AS20,المرجع!$D$4:$E$12,2)</f>
        <v xml:space="preserve">أ+ </v>
      </c>
      <c r="AU20" s="40">
        <f t="shared" si="8"/>
        <v>15</v>
      </c>
      <c r="AV20" s="53">
        <v>2</v>
      </c>
      <c r="AW20" s="15">
        <v>50</v>
      </c>
      <c r="AX20" s="65">
        <f>VLOOKUP(AW20,المرجع!$B$4:$C$12,2)</f>
        <v>2</v>
      </c>
      <c r="AY20" s="44" t="str">
        <f>VLOOKUP(AX20,المرجع!$D$4:$E$12,2)</f>
        <v>د</v>
      </c>
      <c r="AZ20" s="40">
        <f t="shared" si="9"/>
        <v>4</v>
      </c>
      <c r="BA20" s="53">
        <v>2</v>
      </c>
      <c r="BB20" s="15">
        <v>76</v>
      </c>
      <c r="BC20" s="65">
        <f>VLOOKUP(BB20,المرجع!$B$4:$C$12,2)</f>
        <v>3.5</v>
      </c>
      <c r="BD20" s="44" t="str">
        <f>VLOOKUP(BC20,المرجع!$D$4:$E$12,2)</f>
        <v>ج+</v>
      </c>
      <c r="BE20" s="40">
        <f t="shared" si="10"/>
        <v>7</v>
      </c>
      <c r="BF20" s="56">
        <v>102</v>
      </c>
      <c r="BG20" s="58">
        <f t="shared" si="11"/>
        <v>24</v>
      </c>
      <c r="BH20" s="60">
        <v>4.43</v>
      </c>
      <c r="BI20" s="92">
        <v>4.04</v>
      </c>
      <c r="BJ20" s="59" t="s">
        <v>122</v>
      </c>
      <c r="BK20" s="108">
        <v>14</v>
      </c>
    </row>
    <row r="21" spans="1:63" ht="28.5" hidden="1">
      <c r="A21" s="107">
        <v>202357</v>
      </c>
      <c r="B21" s="70" t="s">
        <v>8</v>
      </c>
      <c r="C21" s="53">
        <v>1</v>
      </c>
      <c r="D21" s="15">
        <v>90</v>
      </c>
      <c r="E21" s="65">
        <f>VLOOKUP(D21,المرجع!$B$4:$C$12,2)</f>
        <v>4.75</v>
      </c>
      <c r="F21" s="44" t="str">
        <f>VLOOKUP(E21,المرجع!$D$4:$E$12,2)</f>
        <v>أ</v>
      </c>
      <c r="G21" s="40">
        <f t="shared" si="0"/>
        <v>4.75</v>
      </c>
      <c r="H21" s="53">
        <v>2</v>
      </c>
      <c r="I21" s="15">
        <v>96</v>
      </c>
      <c r="J21" s="65">
        <f>VLOOKUP(I21,المرجع!$B$4:$C$12,2)</f>
        <v>5</v>
      </c>
      <c r="K21" s="44" t="str">
        <f>VLOOKUP(J21,المرجع!$D$4:$E$12,2)</f>
        <v xml:space="preserve">أ+ </v>
      </c>
      <c r="L21" s="40">
        <f t="shared" si="1"/>
        <v>10</v>
      </c>
      <c r="M21" s="53">
        <v>3</v>
      </c>
      <c r="N21" s="15">
        <v>100</v>
      </c>
      <c r="O21" s="65">
        <f>VLOOKUP(N21,المرجع!$B$4:$C$12,2)</f>
        <v>5</v>
      </c>
      <c r="P21" s="44" t="str">
        <f>VLOOKUP(O21,المرجع!$D$4:$E$12,2)</f>
        <v xml:space="preserve">أ+ </v>
      </c>
      <c r="Q21" s="40">
        <f t="shared" si="2"/>
        <v>15</v>
      </c>
      <c r="R21" s="53">
        <v>2</v>
      </c>
      <c r="S21" s="15">
        <v>95</v>
      </c>
      <c r="T21" s="65">
        <f>VLOOKUP(S21,المرجع!$B$4:$C$12,2)</f>
        <v>5</v>
      </c>
      <c r="U21" s="44" t="str">
        <f>VLOOKUP(T21,المرجع!$D$4:$E$12,2)</f>
        <v xml:space="preserve">أ+ </v>
      </c>
      <c r="V21" s="40">
        <f t="shared" si="3"/>
        <v>10</v>
      </c>
      <c r="W21" s="53">
        <v>2</v>
      </c>
      <c r="X21" s="15">
        <v>92</v>
      </c>
      <c r="Y21" s="65">
        <f>VLOOKUP(X21,المرجع!$B$4:$C$12,2)</f>
        <v>4.75</v>
      </c>
      <c r="Z21" s="44" t="str">
        <f>VLOOKUP(Y21,المرجع!$D$4:$E$12,2)</f>
        <v>أ</v>
      </c>
      <c r="AA21" s="40">
        <f t="shared" si="4"/>
        <v>9.5</v>
      </c>
      <c r="AB21" s="53">
        <v>3</v>
      </c>
      <c r="AC21" s="15">
        <v>68</v>
      </c>
      <c r="AD21" s="65">
        <f>VLOOKUP(AC21,المرجع!$B$4:$C$12,2)</f>
        <v>2.5</v>
      </c>
      <c r="AE21" s="44" t="str">
        <f>VLOOKUP(AD21,المرجع!$D$4:$E$12,2)</f>
        <v>د+</v>
      </c>
      <c r="AF21" s="40">
        <f t="shared" si="5"/>
        <v>7.5</v>
      </c>
      <c r="AG21" s="53">
        <v>2</v>
      </c>
      <c r="AH21" s="15">
        <v>75</v>
      </c>
      <c r="AI21" s="65">
        <f>VLOOKUP(AH21,المرجع!$B$4:$C$12,2)</f>
        <v>3.5</v>
      </c>
      <c r="AJ21" s="44" t="str">
        <f>VLOOKUP(AI21,المرجع!$D$4:$E$12,2)</f>
        <v>ج+</v>
      </c>
      <c r="AK21" s="40">
        <f t="shared" si="6"/>
        <v>7</v>
      </c>
      <c r="AL21" s="53">
        <v>2</v>
      </c>
      <c r="AM21" s="15">
        <v>89</v>
      </c>
      <c r="AN21" s="65">
        <f>VLOOKUP(AM21,المرجع!$B$4:$C$12,2)</f>
        <v>4.5</v>
      </c>
      <c r="AO21" s="44" t="str">
        <f>VLOOKUP(AN21,المرجع!$D$4:$E$12,2)</f>
        <v>ب+</v>
      </c>
      <c r="AP21" s="40">
        <f t="shared" si="7"/>
        <v>9</v>
      </c>
      <c r="AQ21" s="53">
        <v>3</v>
      </c>
      <c r="AR21" s="15">
        <v>97</v>
      </c>
      <c r="AS21" s="65">
        <f>VLOOKUP(AR21,المرجع!$B$4:$C$12,2)</f>
        <v>5</v>
      </c>
      <c r="AT21" s="44" t="str">
        <f>VLOOKUP(AS21,المرجع!$D$4:$E$12,2)</f>
        <v xml:space="preserve">أ+ </v>
      </c>
      <c r="AU21" s="40">
        <f t="shared" si="8"/>
        <v>15</v>
      </c>
      <c r="AV21" s="53">
        <v>2</v>
      </c>
      <c r="AW21" s="15">
        <v>96</v>
      </c>
      <c r="AX21" s="65">
        <f>VLOOKUP(AW21,المرجع!$B$4:$C$12,2)</f>
        <v>5</v>
      </c>
      <c r="AY21" s="44" t="str">
        <f>VLOOKUP(AX21,المرجع!$D$4:$E$12,2)</f>
        <v xml:space="preserve">أ+ </v>
      </c>
      <c r="AZ21" s="40">
        <f t="shared" si="9"/>
        <v>10</v>
      </c>
      <c r="BA21" s="53">
        <v>2</v>
      </c>
      <c r="BB21" s="15">
        <v>66</v>
      </c>
      <c r="BC21" s="65">
        <f>VLOOKUP(BB21,المرجع!$B$4:$C$12,2)</f>
        <v>2.5</v>
      </c>
      <c r="BD21" s="44" t="str">
        <f>VLOOKUP(BC21,المرجع!$D$4:$E$12,2)</f>
        <v>د+</v>
      </c>
      <c r="BE21" s="40">
        <f t="shared" si="10"/>
        <v>5</v>
      </c>
      <c r="BF21" s="56">
        <v>97.5</v>
      </c>
      <c r="BG21" s="58">
        <f t="shared" si="11"/>
        <v>24</v>
      </c>
      <c r="BH21" s="60">
        <v>4.2300000000000004</v>
      </c>
      <c r="BI21" s="92">
        <v>3.99</v>
      </c>
      <c r="BJ21" s="59" t="s">
        <v>122</v>
      </c>
      <c r="BK21" s="108">
        <v>22</v>
      </c>
    </row>
    <row r="22" spans="1:63" ht="28.5" hidden="1">
      <c r="A22" s="107">
        <v>2023056</v>
      </c>
      <c r="B22" s="70" t="s">
        <v>3</v>
      </c>
      <c r="C22" s="53">
        <v>1</v>
      </c>
      <c r="D22" s="15">
        <v>89</v>
      </c>
      <c r="E22" s="65">
        <f>VLOOKUP(D22,المرجع!$B$4:$C$12,2)</f>
        <v>4.5</v>
      </c>
      <c r="F22" s="44" t="str">
        <f>VLOOKUP(E22,المرجع!$D$4:$E$12,2)</f>
        <v>ب+</v>
      </c>
      <c r="G22" s="40">
        <f t="shared" si="0"/>
        <v>4.5</v>
      </c>
      <c r="H22" s="53">
        <v>2</v>
      </c>
      <c r="I22" s="15">
        <v>91</v>
      </c>
      <c r="J22" s="65">
        <f>VLOOKUP(I22,المرجع!$B$4:$C$12,2)</f>
        <v>4.75</v>
      </c>
      <c r="K22" s="44" t="str">
        <f>VLOOKUP(J22,المرجع!$D$4:$E$12,2)</f>
        <v>أ</v>
      </c>
      <c r="L22" s="40">
        <f t="shared" si="1"/>
        <v>9.5</v>
      </c>
      <c r="M22" s="53">
        <v>3</v>
      </c>
      <c r="N22" s="15">
        <v>100</v>
      </c>
      <c r="O22" s="65">
        <f>VLOOKUP(N22,المرجع!$B$4:$C$12,2)</f>
        <v>5</v>
      </c>
      <c r="P22" s="44" t="str">
        <f>VLOOKUP(O22,المرجع!$D$4:$E$12,2)</f>
        <v xml:space="preserve">أ+ </v>
      </c>
      <c r="Q22" s="40">
        <f t="shared" si="2"/>
        <v>15</v>
      </c>
      <c r="R22" s="53">
        <v>2</v>
      </c>
      <c r="S22" s="15">
        <v>89</v>
      </c>
      <c r="T22" s="65">
        <f>VLOOKUP(S22,المرجع!$B$4:$C$12,2)</f>
        <v>4.5</v>
      </c>
      <c r="U22" s="44" t="str">
        <f>VLOOKUP(T22,المرجع!$D$4:$E$12,2)</f>
        <v>ب+</v>
      </c>
      <c r="V22" s="40">
        <f t="shared" si="3"/>
        <v>9</v>
      </c>
      <c r="W22" s="53">
        <v>2</v>
      </c>
      <c r="X22" s="15">
        <v>100</v>
      </c>
      <c r="Y22" s="65">
        <f>VLOOKUP(X22,المرجع!$B$4:$C$12,2)</f>
        <v>5</v>
      </c>
      <c r="Z22" s="44" t="str">
        <f>VLOOKUP(Y22,المرجع!$D$4:$E$12,2)</f>
        <v xml:space="preserve">أ+ </v>
      </c>
      <c r="AA22" s="40">
        <f t="shared" si="4"/>
        <v>10</v>
      </c>
      <c r="AB22" s="53">
        <v>3</v>
      </c>
      <c r="AC22" s="15">
        <v>64</v>
      </c>
      <c r="AD22" s="65">
        <f>VLOOKUP(AC22,المرجع!$B$4:$C$12,2)</f>
        <v>2</v>
      </c>
      <c r="AE22" s="44" t="str">
        <f>VLOOKUP(AD22,المرجع!$D$4:$E$12,2)</f>
        <v>د</v>
      </c>
      <c r="AF22" s="40">
        <f t="shared" si="5"/>
        <v>6</v>
      </c>
      <c r="AG22" s="53">
        <v>2</v>
      </c>
      <c r="AH22" s="15">
        <v>95</v>
      </c>
      <c r="AI22" s="65">
        <f>VLOOKUP(AH22,المرجع!$B$4:$C$12,2)</f>
        <v>5</v>
      </c>
      <c r="AJ22" s="44" t="str">
        <f>VLOOKUP(AI22,المرجع!$D$4:$E$12,2)</f>
        <v xml:space="preserve">أ+ </v>
      </c>
      <c r="AK22" s="40">
        <f t="shared" si="6"/>
        <v>10</v>
      </c>
      <c r="AL22" s="53">
        <v>2</v>
      </c>
      <c r="AM22" s="15">
        <v>85</v>
      </c>
      <c r="AN22" s="65">
        <f>VLOOKUP(AM22,المرجع!$B$4:$C$12,2)</f>
        <v>4.5</v>
      </c>
      <c r="AO22" s="44" t="str">
        <f>VLOOKUP(AN22,المرجع!$D$4:$E$12,2)</f>
        <v>ب+</v>
      </c>
      <c r="AP22" s="40">
        <f t="shared" si="7"/>
        <v>9</v>
      </c>
      <c r="AQ22" s="53">
        <v>3</v>
      </c>
      <c r="AR22" s="15">
        <v>100</v>
      </c>
      <c r="AS22" s="65">
        <f>VLOOKUP(AR22,المرجع!$B$4:$C$12,2)</f>
        <v>5</v>
      </c>
      <c r="AT22" s="44" t="str">
        <f>VLOOKUP(AS22,المرجع!$D$4:$E$12,2)</f>
        <v xml:space="preserve">أ+ </v>
      </c>
      <c r="AU22" s="40">
        <f t="shared" si="8"/>
        <v>15</v>
      </c>
      <c r="AV22" s="53">
        <v>2</v>
      </c>
      <c r="AW22" s="15">
        <v>53</v>
      </c>
      <c r="AX22" s="65">
        <f>VLOOKUP(AW22,المرجع!$B$4:$C$12,2)</f>
        <v>2</v>
      </c>
      <c r="AY22" s="44" t="str">
        <f>VLOOKUP(AX22,المرجع!$D$4:$E$12,2)</f>
        <v>د</v>
      </c>
      <c r="AZ22" s="40">
        <f t="shared" si="9"/>
        <v>4</v>
      </c>
      <c r="BA22" s="53">
        <v>2</v>
      </c>
      <c r="BB22" s="15">
        <v>91</v>
      </c>
      <c r="BC22" s="65">
        <f>VLOOKUP(BB22,المرجع!$B$4:$C$12,2)</f>
        <v>4.75</v>
      </c>
      <c r="BD22" s="44" t="str">
        <f>VLOOKUP(BC22,المرجع!$D$4:$E$12,2)</f>
        <v>أ</v>
      </c>
      <c r="BE22" s="40">
        <f t="shared" si="10"/>
        <v>9.5</v>
      </c>
      <c r="BF22" s="56">
        <v>96</v>
      </c>
      <c r="BG22" s="58">
        <f t="shared" si="11"/>
        <v>24</v>
      </c>
      <c r="BH22" s="60">
        <v>4.17</v>
      </c>
      <c r="BI22" s="92">
        <v>3.97</v>
      </c>
      <c r="BJ22" s="59" t="s">
        <v>122</v>
      </c>
      <c r="BK22" s="108">
        <v>24</v>
      </c>
    </row>
    <row r="23" spans="1:63" ht="28.5" hidden="1">
      <c r="A23" s="107">
        <v>2023113</v>
      </c>
      <c r="B23" s="70" t="s">
        <v>54</v>
      </c>
      <c r="C23" s="53">
        <v>1</v>
      </c>
      <c r="D23" s="15">
        <v>100</v>
      </c>
      <c r="E23" s="65">
        <f>VLOOKUP(D23,المرجع!$B$4:$C$12,2)</f>
        <v>5</v>
      </c>
      <c r="F23" s="44" t="str">
        <f>VLOOKUP(E23,المرجع!$D$4:$E$12,2)</f>
        <v xml:space="preserve">أ+ </v>
      </c>
      <c r="G23" s="40">
        <f t="shared" si="0"/>
        <v>5</v>
      </c>
      <c r="H23" s="53">
        <v>2</v>
      </c>
      <c r="I23" s="15">
        <v>87</v>
      </c>
      <c r="J23" s="65">
        <f>VLOOKUP(I23,المرجع!$B$4:$C$12,2)</f>
        <v>4.5</v>
      </c>
      <c r="K23" s="44" t="str">
        <f>VLOOKUP(J23,المرجع!$D$4:$E$12,2)</f>
        <v>ب+</v>
      </c>
      <c r="L23" s="40">
        <f t="shared" si="1"/>
        <v>9</v>
      </c>
      <c r="M23" s="53">
        <v>3</v>
      </c>
      <c r="N23" s="15">
        <v>70</v>
      </c>
      <c r="O23" s="65">
        <f>VLOOKUP(N23,المرجع!$B$4:$C$12,2)</f>
        <v>3</v>
      </c>
      <c r="P23" s="44" t="str">
        <f>VLOOKUP(O23,المرجع!$D$4:$E$12,2)</f>
        <v>ج</v>
      </c>
      <c r="Q23" s="40">
        <f t="shared" si="2"/>
        <v>9</v>
      </c>
      <c r="R23" s="53">
        <v>2</v>
      </c>
      <c r="S23" s="15">
        <v>93</v>
      </c>
      <c r="T23" s="65">
        <f>VLOOKUP(S23,المرجع!$B$4:$C$12,2)</f>
        <v>4.75</v>
      </c>
      <c r="U23" s="44" t="str">
        <f>VLOOKUP(T23,المرجع!$D$4:$E$12,2)</f>
        <v>أ</v>
      </c>
      <c r="V23" s="40">
        <f t="shared" si="3"/>
        <v>9.5</v>
      </c>
      <c r="W23" s="53">
        <v>2</v>
      </c>
      <c r="X23" s="15">
        <v>100</v>
      </c>
      <c r="Y23" s="65">
        <f>VLOOKUP(X23,المرجع!$B$4:$C$12,2)</f>
        <v>5</v>
      </c>
      <c r="Z23" s="44" t="str">
        <f>VLOOKUP(Y23,المرجع!$D$4:$E$12,2)</f>
        <v xml:space="preserve">أ+ </v>
      </c>
      <c r="AA23" s="40">
        <f t="shared" si="4"/>
        <v>10</v>
      </c>
      <c r="AB23" s="53">
        <v>3</v>
      </c>
      <c r="AC23" s="15">
        <v>95</v>
      </c>
      <c r="AD23" s="65">
        <f>VLOOKUP(AC23,المرجع!$B$4:$C$12,2)</f>
        <v>5</v>
      </c>
      <c r="AE23" s="44" t="str">
        <f>VLOOKUP(AD23,المرجع!$D$4:$E$12,2)</f>
        <v xml:space="preserve">أ+ </v>
      </c>
      <c r="AF23" s="40">
        <f t="shared" si="5"/>
        <v>15</v>
      </c>
      <c r="AG23" s="53">
        <v>2</v>
      </c>
      <c r="AH23" s="15">
        <v>99</v>
      </c>
      <c r="AI23" s="65">
        <f>VLOOKUP(AH23,المرجع!$B$4:$C$12,2)</f>
        <v>5</v>
      </c>
      <c r="AJ23" s="44" t="str">
        <f>VLOOKUP(AI23,المرجع!$D$4:$E$12,2)</f>
        <v xml:space="preserve">أ+ </v>
      </c>
      <c r="AK23" s="40">
        <f t="shared" si="6"/>
        <v>10</v>
      </c>
      <c r="AL23" s="53">
        <v>2</v>
      </c>
      <c r="AM23" s="15">
        <v>80</v>
      </c>
      <c r="AN23" s="65">
        <f>VLOOKUP(AM23,المرجع!$B$4:$C$12,2)</f>
        <v>4</v>
      </c>
      <c r="AO23" s="44" t="str">
        <f>VLOOKUP(AN23,المرجع!$D$4:$E$12,2)</f>
        <v>ب</v>
      </c>
      <c r="AP23" s="40">
        <f t="shared" si="7"/>
        <v>8</v>
      </c>
      <c r="AQ23" s="53">
        <v>3</v>
      </c>
      <c r="AR23" s="15">
        <v>98</v>
      </c>
      <c r="AS23" s="65">
        <f>VLOOKUP(AR23,المرجع!$B$4:$C$12,2)</f>
        <v>5</v>
      </c>
      <c r="AT23" s="44" t="str">
        <f>VLOOKUP(AS23,المرجع!$D$4:$E$12,2)</f>
        <v xml:space="preserve">أ+ </v>
      </c>
      <c r="AU23" s="40">
        <f t="shared" si="8"/>
        <v>15</v>
      </c>
      <c r="AV23" s="53">
        <v>2</v>
      </c>
      <c r="AW23" s="15">
        <v>84</v>
      </c>
      <c r="AX23" s="65">
        <f>VLOOKUP(AW23,المرجع!$B$4:$C$12,2)</f>
        <v>4</v>
      </c>
      <c r="AY23" s="44" t="str">
        <f>VLOOKUP(AX23,المرجع!$D$4:$E$12,2)</f>
        <v>ب</v>
      </c>
      <c r="AZ23" s="40">
        <f t="shared" si="9"/>
        <v>8</v>
      </c>
      <c r="BA23" s="53">
        <v>2</v>
      </c>
      <c r="BB23" s="15">
        <v>50</v>
      </c>
      <c r="BC23" s="65">
        <f>VLOOKUP(BB23,المرجع!$B$4:$C$12,2)</f>
        <v>2</v>
      </c>
      <c r="BD23" s="44" t="str">
        <f>VLOOKUP(BC23,المرجع!$D$4:$E$12,2)</f>
        <v>د</v>
      </c>
      <c r="BE23" s="40">
        <f t="shared" si="10"/>
        <v>4</v>
      </c>
      <c r="BF23" s="56">
        <v>103.25</v>
      </c>
      <c r="BG23" s="58">
        <f t="shared" si="11"/>
        <v>24</v>
      </c>
      <c r="BH23" s="60">
        <v>4.4800000000000004</v>
      </c>
      <c r="BI23" s="92">
        <v>4.0199999999999996</v>
      </c>
      <c r="BJ23" s="59" t="s">
        <v>122</v>
      </c>
      <c r="BK23" s="108">
        <v>13</v>
      </c>
    </row>
    <row r="24" spans="1:63" ht="28.5" hidden="1">
      <c r="A24" s="107">
        <v>2023039</v>
      </c>
      <c r="B24" s="70" t="s">
        <v>89</v>
      </c>
      <c r="C24" s="53">
        <v>1</v>
      </c>
      <c r="D24" s="15">
        <v>63</v>
      </c>
      <c r="E24" s="65">
        <f>VLOOKUP(D24,المرجع!$B$4:$C$12,2)</f>
        <v>2</v>
      </c>
      <c r="F24" s="44" t="str">
        <f>VLOOKUP(E24,المرجع!$D$4:$E$12,2)</f>
        <v>د</v>
      </c>
      <c r="G24" s="40">
        <f t="shared" si="0"/>
        <v>2</v>
      </c>
      <c r="H24" s="53">
        <v>2</v>
      </c>
      <c r="I24" s="15">
        <v>99</v>
      </c>
      <c r="J24" s="65">
        <f>VLOOKUP(I24,المرجع!$B$4:$C$12,2)</f>
        <v>5</v>
      </c>
      <c r="K24" s="44" t="str">
        <f>VLOOKUP(J24,المرجع!$D$4:$E$12,2)</f>
        <v xml:space="preserve">أ+ </v>
      </c>
      <c r="L24" s="40">
        <f t="shared" si="1"/>
        <v>10</v>
      </c>
      <c r="M24" s="53">
        <v>3</v>
      </c>
      <c r="N24" s="15">
        <v>100</v>
      </c>
      <c r="O24" s="65">
        <f>VLOOKUP(N24,المرجع!$B$4:$C$12,2)</f>
        <v>5</v>
      </c>
      <c r="P24" s="44" t="str">
        <f>VLOOKUP(O24,المرجع!$D$4:$E$12,2)</f>
        <v xml:space="preserve">أ+ </v>
      </c>
      <c r="Q24" s="40">
        <f t="shared" si="2"/>
        <v>15</v>
      </c>
      <c r="R24" s="53">
        <v>2</v>
      </c>
      <c r="S24" s="15">
        <v>100</v>
      </c>
      <c r="T24" s="65">
        <f>VLOOKUP(S24,المرجع!$B$4:$C$12,2)</f>
        <v>5</v>
      </c>
      <c r="U24" s="44" t="str">
        <f>VLOOKUP(T24,المرجع!$D$4:$E$12,2)</f>
        <v xml:space="preserve">أ+ </v>
      </c>
      <c r="V24" s="40">
        <f t="shared" si="3"/>
        <v>10</v>
      </c>
      <c r="W24" s="53">
        <v>2</v>
      </c>
      <c r="X24" s="15">
        <v>98</v>
      </c>
      <c r="Y24" s="65">
        <f>VLOOKUP(X24,المرجع!$B$4:$C$12,2)</f>
        <v>5</v>
      </c>
      <c r="Z24" s="44" t="str">
        <f>VLOOKUP(Y24,المرجع!$D$4:$E$12,2)</f>
        <v xml:space="preserve">أ+ </v>
      </c>
      <c r="AA24" s="40">
        <f t="shared" si="4"/>
        <v>10</v>
      </c>
      <c r="AB24" s="53">
        <v>3</v>
      </c>
      <c r="AC24" s="15">
        <v>62</v>
      </c>
      <c r="AD24" s="65">
        <f>VLOOKUP(AC24,المرجع!$B$4:$C$12,2)</f>
        <v>2</v>
      </c>
      <c r="AE24" s="44" t="str">
        <f>VLOOKUP(AD24,المرجع!$D$4:$E$12,2)</f>
        <v>د</v>
      </c>
      <c r="AF24" s="40">
        <f t="shared" si="5"/>
        <v>6</v>
      </c>
      <c r="AG24" s="53">
        <v>2</v>
      </c>
      <c r="AH24" s="15">
        <v>89</v>
      </c>
      <c r="AI24" s="65">
        <f>VLOOKUP(AH24,المرجع!$B$4:$C$12,2)</f>
        <v>4.5</v>
      </c>
      <c r="AJ24" s="44" t="str">
        <f>VLOOKUP(AI24,المرجع!$D$4:$E$12,2)</f>
        <v>ب+</v>
      </c>
      <c r="AK24" s="40">
        <f t="shared" si="6"/>
        <v>9</v>
      </c>
      <c r="AL24" s="53">
        <v>2</v>
      </c>
      <c r="AM24" s="15">
        <v>95</v>
      </c>
      <c r="AN24" s="65">
        <f>VLOOKUP(AM24,المرجع!$B$4:$C$12,2)</f>
        <v>5</v>
      </c>
      <c r="AO24" s="44" t="str">
        <f>VLOOKUP(AN24,المرجع!$D$4:$E$12,2)</f>
        <v xml:space="preserve">أ+ </v>
      </c>
      <c r="AP24" s="40">
        <f t="shared" si="7"/>
        <v>10</v>
      </c>
      <c r="AQ24" s="53">
        <v>3</v>
      </c>
      <c r="AR24" s="15">
        <v>97</v>
      </c>
      <c r="AS24" s="65">
        <f>VLOOKUP(AR24,المرجع!$B$4:$C$12,2)</f>
        <v>5</v>
      </c>
      <c r="AT24" s="44" t="str">
        <f>VLOOKUP(AS24,المرجع!$D$4:$E$12,2)</f>
        <v xml:space="preserve">أ+ </v>
      </c>
      <c r="AU24" s="40">
        <f t="shared" si="8"/>
        <v>15</v>
      </c>
      <c r="AV24" s="53">
        <v>2</v>
      </c>
      <c r="AW24" s="15">
        <v>86</v>
      </c>
      <c r="AX24" s="65">
        <f>VLOOKUP(AW24,المرجع!$B$4:$C$12,2)</f>
        <v>4.5</v>
      </c>
      <c r="AY24" s="44" t="str">
        <f>VLOOKUP(AX24,المرجع!$D$4:$E$12,2)</f>
        <v>ب+</v>
      </c>
      <c r="AZ24" s="40">
        <f t="shared" si="9"/>
        <v>9</v>
      </c>
      <c r="BA24" s="53">
        <v>2</v>
      </c>
      <c r="BB24" s="15">
        <v>67</v>
      </c>
      <c r="BC24" s="65">
        <f>VLOOKUP(BB24,المرجع!$B$4:$C$12,2)</f>
        <v>2.5</v>
      </c>
      <c r="BD24" s="44" t="str">
        <f>VLOOKUP(BC24,المرجع!$D$4:$E$12,2)</f>
        <v>د+</v>
      </c>
      <c r="BE24" s="40">
        <f t="shared" si="10"/>
        <v>5</v>
      </c>
      <c r="BF24" s="56">
        <v>96</v>
      </c>
      <c r="BG24" s="58">
        <f t="shared" si="11"/>
        <v>24</v>
      </c>
      <c r="BH24" s="60">
        <v>4.17</v>
      </c>
      <c r="BI24" s="92">
        <v>3.92</v>
      </c>
      <c r="BJ24" s="59" t="s">
        <v>122</v>
      </c>
      <c r="BK24" s="108">
        <v>24</v>
      </c>
    </row>
    <row r="25" spans="1:63" ht="28.5" hidden="1">
      <c r="A25" s="107">
        <v>2023101</v>
      </c>
      <c r="B25" s="70" t="s">
        <v>65</v>
      </c>
      <c r="C25" s="53">
        <v>1</v>
      </c>
      <c r="D25" s="15">
        <v>100</v>
      </c>
      <c r="E25" s="65">
        <f>VLOOKUP(D25,المرجع!$B$4:$C$12,2)</f>
        <v>5</v>
      </c>
      <c r="F25" s="44" t="str">
        <f>VLOOKUP(E25,المرجع!$D$4:$E$12,2)</f>
        <v xml:space="preserve">أ+ </v>
      </c>
      <c r="G25" s="40">
        <f t="shared" si="0"/>
        <v>5</v>
      </c>
      <c r="H25" s="53">
        <v>2</v>
      </c>
      <c r="I25" s="15">
        <v>88</v>
      </c>
      <c r="J25" s="65">
        <f>VLOOKUP(I25,المرجع!$B$4:$C$12,2)</f>
        <v>4.5</v>
      </c>
      <c r="K25" s="44" t="str">
        <f>VLOOKUP(J25,المرجع!$D$4:$E$12,2)</f>
        <v>ب+</v>
      </c>
      <c r="L25" s="40">
        <f t="shared" si="1"/>
        <v>9</v>
      </c>
      <c r="M25" s="53">
        <v>3</v>
      </c>
      <c r="N25" s="15">
        <v>100</v>
      </c>
      <c r="O25" s="65">
        <f>VLOOKUP(N25,المرجع!$B$4:$C$12,2)</f>
        <v>5</v>
      </c>
      <c r="P25" s="44" t="str">
        <f>VLOOKUP(O25,المرجع!$D$4:$E$12,2)</f>
        <v xml:space="preserve">أ+ </v>
      </c>
      <c r="Q25" s="40">
        <f t="shared" si="2"/>
        <v>15</v>
      </c>
      <c r="R25" s="53">
        <v>2</v>
      </c>
      <c r="S25" s="15">
        <v>89</v>
      </c>
      <c r="T25" s="65">
        <f>VLOOKUP(S25,المرجع!$B$4:$C$12,2)</f>
        <v>4.5</v>
      </c>
      <c r="U25" s="44" t="str">
        <f>VLOOKUP(T25,المرجع!$D$4:$E$12,2)</f>
        <v>ب+</v>
      </c>
      <c r="V25" s="40">
        <f t="shared" si="3"/>
        <v>9</v>
      </c>
      <c r="W25" s="53">
        <v>2</v>
      </c>
      <c r="X25" s="15">
        <v>98</v>
      </c>
      <c r="Y25" s="65">
        <f>VLOOKUP(X25,المرجع!$B$4:$C$12,2)</f>
        <v>5</v>
      </c>
      <c r="Z25" s="44" t="str">
        <f>VLOOKUP(Y25,المرجع!$D$4:$E$12,2)</f>
        <v xml:space="preserve">أ+ </v>
      </c>
      <c r="AA25" s="40">
        <f t="shared" si="4"/>
        <v>10</v>
      </c>
      <c r="AB25" s="53">
        <v>3</v>
      </c>
      <c r="AC25" s="15">
        <v>75</v>
      </c>
      <c r="AD25" s="65">
        <f>VLOOKUP(AC25,المرجع!$B$4:$C$12,2)</f>
        <v>3.5</v>
      </c>
      <c r="AE25" s="44" t="str">
        <f>VLOOKUP(AD25,المرجع!$D$4:$E$12,2)</f>
        <v>ج+</v>
      </c>
      <c r="AF25" s="40">
        <f t="shared" si="5"/>
        <v>10.5</v>
      </c>
      <c r="AG25" s="53">
        <v>2</v>
      </c>
      <c r="AH25" s="15">
        <v>98</v>
      </c>
      <c r="AI25" s="65">
        <f>VLOOKUP(AH25,المرجع!$B$4:$C$12,2)</f>
        <v>5</v>
      </c>
      <c r="AJ25" s="44" t="str">
        <f>VLOOKUP(AI25,المرجع!$D$4:$E$12,2)</f>
        <v xml:space="preserve">أ+ </v>
      </c>
      <c r="AK25" s="40">
        <f t="shared" si="6"/>
        <v>10</v>
      </c>
      <c r="AL25" s="53">
        <v>2</v>
      </c>
      <c r="AM25" s="15">
        <v>99</v>
      </c>
      <c r="AN25" s="65">
        <f>VLOOKUP(AM25,المرجع!$B$4:$C$12,2)</f>
        <v>5</v>
      </c>
      <c r="AO25" s="44" t="str">
        <f>VLOOKUP(AN25,المرجع!$D$4:$E$12,2)</f>
        <v xml:space="preserve">أ+ </v>
      </c>
      <c r="AP25" s="40">
        <f t="shared" si="7"/>
        <v>10</v>
      </c>
      <c r="AQ25" s="53">
        <v>3</v>
      </c>
      <c r="AR25" s="15">
        <v>95</v>
      </c>
      <c r="AS25" s="65">
        <f>VLOOKUP(AR25,المرجع!$B$4:$C$12,2)</f>
        <v>5</v>
      </c>
      <c r="AT25" s="44" t="str">
        <f>VLOOKUP(AS25,المرجع!$D$4:$E$12,2)</f>
        <v xml:space="preserve">أ+ </v>
      </c>
      <c r="AU25" s="40">
        <f t="shared" si="8"/>
        <v>15</v>
      </c>
      <c r="AV25" s="53">
        <v>2</v>
      </c>
      <c r="AW25" s="15">
        <v>50</v>
      </c>
      <c r="AX25" s="65">
        <f>VLOOKUP(AW25,المرجع!$B$4:$C$12,2)</f>
        <v>2</v>
      </c>
      <c r="AY25" s="44" t="str">
        <f>VLOOKUP(AX25,المرجع!$D$4:$E$12,2)</f>
        <v>د</v>
      </c>
      <c r="AZ25" s="40">
        <f t="shared" si="9"/>
        <v>4</v>
      </c>
      <c r="BA25" s="53">
        <v>2</v>
      </c>
      <c r="BB25" s="15">
        <v>62</v>
      </c>
      <c r="BC25" s="65">
        <f>VLOOKUP(BB25,المرجع!$B$4:$C$12,2)</f>
        <v>2</v>
      </c>
      <c r="BD25" s="44" t="str">
        <f>VLOOKUP(BC25,المرجع!$D$4:$E$12,2)</f>
        <v>د</v>
      </c>
      <c r="BE25" s="40">
        <f t="shared" si="10"/>
        <v>4</v>
      </c>
      <c r="BF25" s="56">
        <v>96</v>
      </c>
      <c r="BG25" s="58">
        <f t="shared" si="11"/>
        <v>24</v>
      </c>
      <c r="BH25" s="60">
        <v>4.17</v>
      </c>
      <c r="BI25" s="92">
        <v>3.89</v>
      </c>
      <c r="BJ25" s="59" t="s">
        <v>122</v>
      </c>
      <c r="BK25" s="108">
        <v>24</v>
      </c>
    </row>
    <row r="26" spans="1:63" ht="28.5" hidden="1">
      <c r="A26" s="107">
        <v>2023107</v>
      </c>
      <c r="B26" s="70" t="s">
        <v>93</v>
      </c>
      <c r="C26" s="53">
        <v>1</v>
      </c>
      <c r="D26" s="15">
        <v>82</v>
      </c>
      <c r="E26" s="65">
        <f>VLOOKUP(D26,المرجع!$B$4:$C$12,2)</f>
        <v>4</v>
      </c>
      <c r="F26" s="44" t="str">
        <f>VLOOKUP(E26,المرجع!$D$4:$E$12,2)</f>
        <v>ب</v>
      </c>
      <c r="G26" s="40">
        <f t="shared" si="0"/>
        <v>4</v>
      </c>
      <c r="H26" s="53">
        <v>2</v>
      </c>
      <c r="I26" s="15">
        <v>97</v>
      </c>
      <c r="J26" s="65">
        <f>VLOOKUP(I26,المرجع!$B$4:$C$12,2)</f>
        <v>5</v>
      </c>
      <c r="K26" s="44" t="str">
        <f>VLOOKUP(J26,المرجع!$D$4:$E$12,2)</f>
        <v xml:space="preserve">أ+ </v>
      </c>
      <c r="L26" s="40">
        <f t="shared" si="1"/>
        <v>10</v>
      </c>
      <c r="M26" s="53">
        <v>3</v>
      </c>
      <c r="N26" s="15">
        <v>100</v>
      </c>
      <c r="O26" s="65">
        <f>VLOOKUP(N26,المرجع!$B$4:$C$12,2)</f>
        <v>5</v>
      </c>
      <c r="P26" s="44" t="str">
        <f>VLOOKUP(O26,المرجع!$D$4:$E$12,2)</f>
        <v xml:space="preserve">أ+ </v>
      </c>
      <c r="Q26" s="40">
        <f t="shared" si="2"/>
        <v>15</v>
      </c>
      <c r="R26" s="53">
        <v>2</v>
      </c>
      <c r="S26" s="15">
        <v>100</v>
      </c>
      <c r="T26" s="65">
        <f>VLOOKUP(S26,المرجع!$B$4:$C$12,2)</f>
        <v>5</v>
      </c>
      <c r="U26" s="44" t="str">
        <f>VLOOKUP(T26,المرجع!$D$4:$E$12,2)</f>
        <v xml:space="preserve">أ+ </v>
      </c>
      <c r="V26" s="40">
        <f t="shared" si="3"/>
        <v>10</v>
      </c>
      <c r="W26" s="53">
        <v>2</v>
      </c>
      <c r="X26" s="15">
        <v>100</v>
      </c>
      <c r="Y26" s="65">
        <f>VLOOKUP(X26,المرجع!$B$4:$C$12,2)</f>
        <v>5</v>
      </c>
      <c r="Z26" s="44" t="str">
        <f>VLOOKUP(Y26,المرجع!$D$4:$E$12,2)</f>
        <v xml:space="preserve">أ+ </v>
      </c>
      <c r="AA26" s="40">
        <f t="shared" si="4"/>
        <v>10</v>
      </c>
      <c r="AB26" s="53">
        <v>3</v>
      </c>
      <c r="AC26" s="15">
        <v>81</v>
      </c>
      <c r="AD26" s="65">
        <f>VLOOKUP(AC26,المرجع!$B$4:$C$12,2)</f>
        <v>4</v>
      </c>
      <c r="AE26" s="44" t="str">
        <f>VLOOKUP(AD26,المرجع!$D$4:$E$12,2)</f>
        <v>ب</v>
      </c>
      <c r="AF26" s="40">
        <f t="shared" si="5"/>
        <v>12</v>
      </c>
      <c r="AG26" s="53">
        <v>2</v>
      </c>
      <c r="AH26" s="15">
        <v>95</v>
      </c>
      <c r="AI26" s="65">
        <f>VLOOKUP(AH26,المرجع!$B$4:$C$12,2)</f>
        <v>5</v>
      </c>
      <c r="AJ26" s="44" t="str">
        <f>VLOOKUP(AI26,المرجع!$D$4:$E$12,2)</f>
        <v xml:space="preserve">أ+ </v>
      </c>
      <c r="AK26" s="40">
        <f t="shared" si="6"/>
        <v>10</v>
      </c>
      <c r="AL26" s="53">
        <v>2</v>
      </c>
      <c r="AM26" s="15">
        <v>94</v>
      </c>
      <c r="AN26" s="65">
        <f>VLOOKUP(AM26,المرجع!$B$4:$C$12,2)</f>
        <v>4.75</v>
      </c>
      <c r="AO26" s="44" t="str">
        <f>VLOOKUP(AN26,المرجع!$D$4:$E$12,2)</f>
        <v>أ</v>
      </c>
      <c r="AP26" s="40">
        <f t="shared" si="7"/>
        <v>9.5</v>
      </c>
      <c r="AQ26" s="53">
        <v>3</v>
      </c>
      <c r="AR26" s="15">
        <v>90</v>
      </c>
      <c r="AS26" s="65">
        <f>VLOOKUP(AR26,المرجع!$B$4:$C$12,2)</f>
        <v>4.75</v>
      </c>
      <c r="AT26" s="44" t="str">
        <f>VLOOKUP(AS26,المرجع!$D$4:$E$12,2)</f>
        <v>أ</v>
      </c>
      <c r="AU26" s="40">
        <f t="shared" si="8"/>
        <v>14.25</v>
      </c>
      <c r="AV26" s="53">
        <v>2</v>
      </c>
      <c r="AW26" s="15">
        <v>60</v>
      </c>
      <c r="AX26" s="65">
        <f>VLOOKUP(AW26,المرجع!$B$4:$C$12,2)</f>
        <v>2</v>
      </c>
      <c r="AY26" s="44" t="str">
        <f>VLOOKUP(AX26,المرجع!$D$4:$E$12,2)</f>
        <v>د</v>
      </c>
      <c r="AZ26" s="40">
        <f t="shared" si="9"/>
        <v>4</v>
      </c>
      <c r="BA26" s="53">
        <v>2</v>
      </c>
      <c r="BB26" s="15">
        <v>50</v>
      </c>
      <c r="BC26" s="65">
        <f>VLOOKUP(BB26,المرجع!$B$4:$C$12,2)</f>
        <v>2</v>
      </c>
      <c r="BD26" s="44" t="str">
        <f>VLOOKUP(BC26,المرجع!$D$4:$E$12,2)</f>
        <v>د</v>
      </c>
      <c r="BE26" s="40">
        <f t="shared" si="10"/>
        <v>4</v>
      </c>
      <c r="BF26" s="56">
        <v>97.75</v>
      </c>
      <c r="BG26" s="58">
        <f t="shared" si="11"/>
        <v>24</v>
      </c>
      <c r="BH26" s="60">
        <v>4.25</v>
      </c>
      <c r="BI26" s="92">
        <v>3.91</v>
      </c>
      <c r="BJ26" s="59" t="s">
        <v>122</v>
      </c>
      <c r="BK26" s="108">
        <v>20</v>
      </c>
    </row>
    <row r="27" spans="1:63" ht="28.5" hidden="1">
      <c r="A27" s="107">
        <v>2023009</v>
      </c>
      <c r="B27" s="70" t="s">
        <v>19</v>
      </c>
      <c r="C27" s="53">
        <v>1</v>
      </c>
      <c r="D27" s="15">
        <v>100</v>
      </c>
      <c r="E27" s="65">
        <f>VLOOKUP(D27,المرجع!$B$4:$C$12,2)</f>
        <v>5</v>
      </c>
      <c r="F27" s="44" t="str">
        <f>VLOOKUP(E27,المرجع!$D$4:$E$12,2)</f>
        <v xml:space="preserve">أ+ </v>
      </c>
      <c r="G27" s="40">
        <f t="shared" si="0"/>
        <v>5</v>
      </c>
      <c r="H27" s="53">
        <v>2</v>
      </c>
      <c r="I27" s="15">
        <v>87</v>
      </c>
      <c r="J27" s="65">
        <f>VLOOKUP(I27,المرجع!$B$4:$C$12,2)</f>
        <v>4.5</v>
      </c>
      <c r="K27" s="44" t="str">
        <f>VLOOKUP(J27,المرجع!$D$4:$E$12,2)</f>
        <v>ب+</v>
      </c>
      <c r="L27" s="40">
        <f t="shared" si="1"/>
        <v>9</v>
      </c>
      <c r="M27" s="53">
        <v>3</v>
      </c>
      <c r="N27" s="15">
        <v>100</v>
      </c>
      <c r="O27" s="65">
        <f>VLOOKUP(N27,المرجع!$B$4:$C$12,2)</f>
        <v>5</v>
      </c>
      <c r="P27" s="44" t="str">
        <f>VLOOKUP(O27,المرجع!$D$4:$E$12,2)</f>
        <v xml:space="preserve">أ+ </v>
      </c>
      <c r="Q27" s="40">
        <f t="shared" si="2"/>
        <v>15</v>
      </c>
      <c r="R27" s="53">
        <v>2</v>
      </c>
      <c r="S27" s="15">
        <v>96</v>
      </c>
      <c r="T27" s="65">
        <f>VLOOKUP(S27,المرجع!$B$4:$C$12,2)</f>
        <v>5</v>
      </c>
      <c r="U27" s="44" t="str">
        <f>VLOOKUP(T27,المرجع!$D$4:$E$12,2)</f>
        <v xml:space="preserve">أ+ </v>
      </c>
      <c r="V27" s="40">
        <f t="shared" si="3"/>
        <v>10</v>
      </c>
      <c r="W27" s="53">
        <v>2</v>
      </c>
      <c r="X27" s="15">
        <v>98</v>
      </c>
      <c r="Y27" s="65">
        <f>VLOOKUP(X27,المرجع!$B$4:$C$12,2)</f>
        <v>5</v>
      </c>
      <c r="Z27" s="44" t="str">
        <f>VLOOKUP(Y27,المرجع!$D$4:$E$12,2)</f>
        <v xml:space="preserve">أ+ </v>
      </c>
      <c r="AA27" s="40">
        <f t="shared" si="4"/>
        <v>10</v>
      </c>
      <c r="AB27" s="53">
        <v>3</v>
      </c>
      <c r="AC27" s="15">
        <v>71</v>
      </c>
      <c r="AD27" s="65">
        <f>VLOOKUP(AC27,المرجع!$B$4:$C$12,2)</f>
        <v>3</v>
      </c>
      <c r="AE27" s="44" t="str">
        <f>VLOOKUP(AD27,المرجع!$D$4:$E$12,2)</f>
        <v>ج</v>
      </c>
      <c r="AF27" s="40">
        <f t="shared" si="5"/>
        <v>9</v>
      </c>
      <c r="AG27" s="53">
        <v>2</v>
      </c>
      <c r="AH27" s="15">
        <v>88</v>
      </c>
      <c r="AI27" s="65">
        <f>VLOOKUP(AH27,المرجع!$B$4:$C$12,2)</f>
        <v>4.5</v>
      </c>
      <c r="AJ27" s="44" t="str">
        <f>VLOOKUP(AI27,المرجع!$D$4:$E$12,2)</f>
        <v>ب+</v>
      </c>
      <c r="AK27" s="40">
        <f t="shared" si="6"/>
        <v>9</v>
      </c>
      <c r="AL27" s="53">
        <v>2</v>
      </c>
      <c r="AM27" s="15">
        <v>99</v>
      </c>
      <c r="AN27" s="65">
        <f>VLOOKUP(AM27,المرجع!$B$4:$C$12,2)</f>
        <v>5</v>
      </c>
      <c r="AO27" s="44" t="str">
        <f>VLOOKUP(AN27,المرجع!$D$4:$E$12,2)</f>
        <v xml:space="preserve">أ+ </v>
      </c>
      <c r="AP27" s="40">
        <f t="shared" si="7"/>
        <v>10</v>
      </c>
      <c r="AQ27" s="53">
        <v>3</v>
      </c>
      <c r="AR27" s="15">
        <v>94</v>
      </c>
      <c r="AS27" s="65">
        <f>VLOOKUP(AR27,المرجع!$B$4:$C$12,2)</f>
        <v>4.75</v>
      </c>
      <c r="AT27" s="44" t="str">
        <f>VLOOKUP(AS27,المرجع!$D$4:$E$12,2)</f>
        <v>أ</v>
      </c>
      <c r="AU27" s="40">
        <f t="shared" si="8"/>
        <v>14.25</v>
      </c>
      <c r="AV27" s="53">
        <v>2</v>
      </c>
      <c r="AW27" s="15">
        <v>63</v>
      </c>
      <c r="AX27" s="65">
        <f>VLOOKUP(AW27,المرجع!$B$4:$C$12,2)</f>
        <v>2</v>
      </c>
      <c r="AY27" s="44" t="str">
        <f>VLOOKUP(AX27,المرجع!$D$4:$E$12,2)</f>
        <v>د</v>
      </c>
      <c r="AZ27" s="40">
        <f t="shared" si="9"/>
        <v>4</v>
      </c>
      <c r="BA27" s="53">
        <v>2</v>
      </c>
      <c r="BB27" s="15">
        <v>50</v>
      </c>
      <c r="BC27" s="65">
        <f>VLOOKUP(BB27,المرجع!$B$4:$C$12,2)</f>
        <v>2</v>
      </c>
      <c r="BD27" s="44" t="str">
        <f>VLOOKUP(BC27,المرجع!$D$4:$E$12,2)</f>
        <v>د</v>
      </c>
      <c r="BE27" s="40">
        <f t="shared" si="10"/>
        <v>4</v>
      </c>
      <c r="BF27" s="56">
        <v>94.25</v>
      </c>
      <c r="BG27" s="58">
        <f t="shared" si="11"/>
        <v>24</v>
      </c>
      <c r="BH27" s="60">
        <v>4.09</v>
      </c>
      <c r="BI27" s="92">
        <v>3.88</v>
      </c>
      <c r="BJ27" s="59" t="s">
        <v>120</v>
      </c>
      <c r="BK27" s="108">
        <v>27</v>
      </c>
    </row>
    <row r="28" spans="1:63" ht="28.5" hidden="1">
      <c r="A28" s="107">
        <v>2023040</v>
      </c>
      <c r="B28" s="70" t="s">
        <v>14</v>
      </c>
      <c r="C28" s="53">
        <v>1</v>
      </c>
      <c r="D28" s="15">
        <v>87</v>
      </c>
      <c r="E28" s="65">
        <f>VLOOKUP(D28,المرجع!$B$4:$C$12,2)</f>
        <v>4.5</v>
      </c>
      <c r="F28" s="44" t="str">
        <f>VLOOKUP(E28,المرجع!$D$4:$E$12,2)</f>
        <v>ب+</v>
      </c>
      <c r="G28" s="40">
        <f t="shared" si="0"/>
        <v>4.5</v>
      </c>
      <c r="H28" s="53">
        <v>2</v>
      </c>
      <c r="I28" s="15">
        <v>93</v>
      </c>
      <c r="J28" s="65">
        <f>VLOOKUP(I28,المرجع!$B$4:$C$12,2)</f>
        <v>4.75</v>
      </c>
      <c r="K28" s="44" t="str">
        <f>VLOOKUP(J28,المرجع!$D$4:$E$12,2)</f>
        <v>أ</v>
      </c>
      <c r="L28" s="40">
        <f t="shared" si="1"/>
        <v>9.5</v>
      </c>
      <c r="M28" s="53">
        <v>3</v>
      </c>
      <c r="N28" s="15">
        <v>100</v>
      </c>
      <c r="O28" s="65">
        <f>VLOOKUP(N28,المرجع!$B$4:$C$12,2)</f>
        <v>5</v>
      </c>
      <c r="P28" s="44" t="str">
        <f>VLOOKUP(O28,المرجع!$D$4:$E$12,2)</f>
        <v xml:space="preserve">أ+ </v>
      </c>
      <c r="Q28" s="40">
        <f t="shared" si="2"/>
        <v>15</v>
      </c>
      <c r="R28" s="53">
        <v>2</v>
      </c>
      <c r="S28" s="15">
        <v>88</v>
      </c>
      <c r="T28" s="65">
        <f>VLOOKUP(S28,المرجع!$B$4:$C$12,2)</f>
        <v>4.5</v>
      </c>
      <c r="U28" s="44" t="str">
        <f>VLOOKUP(T28,المرجع!$D$4:$E$12,2)</f>
        <v>ب+</v>
      </c>
      <c r="V28" s="40">
        <f t="shared" si="3"/>
        <v>9</v>
      </c>
      <c r="W28" s="53">
        <v>2</v>
      </c>
      <c r="X28" s="15">
        <v>97</v>
      </c>
      <c r="Y28" s="65">
        <f>VLOOKUP(X28,المرجع!$B$4:$C$12,2)</f>
        <v>5</v>
      </c>
      <c r="Z28" s="44" t="str">
        <f>VLOOKUP(Y28,المرجع!$D$4:$E$12,2)</f>
        <v xml:space="preserve">أ+ </v>
      </c>
      <c r="AA28" s="40">
        <f t="shared" si="4"/>
        <v>10</v>
      </c>
      <c r="AB28" s="53">
        <v>3</v>
      </c>
      <c r="AC28" s="15">
        <v>81</v>
      </c>
      <c r="AD28" s="65">
        <f>VLOOKUP(AC28,المرجع!$B$4:$C$12,2)</f>
        <v>4</v>
      </c>
      <c r="AE28" s="44" t="str">
        <f>VLOOKUP(AD28,المرجع!$D$4:$E$12,2)</f>
        <v>ب</v>
      </c>
      <c r="AF28" s="40">
        <f t="shared" si="5"/>
        <v>12</v>
      </c>
      <c r="AG28" s="53">
        <v>2</v>
      </c>
      <c r="AH28" s="15">
        <v>85</v>
      </c>
      <c r="AI28" s="65">
        <f>VLOOKUP(AH28,المرجع!$B$4:$C$12,2)</f>
        <v>4.5</v>
      </c>
      <c r="AJ28" s="44" t="str">
        <f>VLOOKUP(AI28,المرجع!$D$4:$E$12,2)</f>
        <v>ب+</v>
      </c>
      <c r="AK28" s="40">
        <f t="shared" si="6"/>
        <v>9</v>
      </c>
      <c r="AL28" s="53">
        <v>2</v>
      </c>
      <c r="AM28" s="15">
        <v>95</v>
      </c>
      <c r="AN28" s="65">
        <f>VLOOKUP(AM28,المرجع!$B$4:$C$12,2)</f>
        <v>5</v>
      </c>
      <c r="AO28" s="44" t="str">
        <f>VLOOKUP(AN28,المرجع!$D$4:$E$12,2)</f>
        <v xml:space="preserve">أ+ </v>
      </c>
      <c r="AP28" s="40">
        <f t="shared" si="7"/>
        <v>10</v>
      </c>
      <c r="AQ28" s="53">
        <v>3</v>
      </c>
      <c r="AR28" s="15">
        <v>98</v>
      </c>
      <c r="AS28" s="65">
        <f>VLOOKUP(AR28,المرجع!$B$4:$C$12,2)</f>
        <v>5</v>
      </c>
      <c r="AT28" s="44" t="str">
        <f>VLOOKUP(AS28,المرجع!$D$4:$E$12,2)</f>
        <v xml:space="preserve">أ+ </v>
      </c>
      <c r="AU28" s="40">
        <f t="shared" si="8"/>
        <v>15</v>
      </c>
      <c r="AV28" s="53">
        <v>2</v>
      </c>
      <c r="AW28" s="15">
        <v>65</v>
      </c>
      <c r="AX28" s="65">
        <f>VLOOKUP(AW28,المرجع!$B$4:$C$12,2)</f>
        <v>2.5</v>
      </c>
      <c r="AY28" s="44" t="str">
        <f>VLOOKUP(AX28,المرجع!$D$4:$E$12,2)</f>
        <v>د+</v>
      </c>
      <c r="AZ28" s="40">
        <f t="shared" si="9"/>
        <v>5</v>
      </c>
      <c r="BA28" s="53">
        <v>2</v>
      </c>
      <c r="BB28" s="15">
        <v>50</v>
      </c>
      <c r="BC28" s="65">
        <f>VLOOKUP(BB28,المرجع!$B$4:$C$12,2)</f>
        <v>2</v>
      </c>
      <c r="BD28" s="44" t="str">
        <f>VLOOKUP(BC28,المرجع!$D$4:$E$12,2)</f>
        <v>د</v>
      </c>
      <c r="BE28" s="40">
        <f t="shared" si="10"/>
        <v>4</v>
      </c>
      <c r="BF28" s="56">
        <v>97.5</v>
      </c>
      <c r="BG28" s="58">
        <f t="shared" si="11"/>
        <v>24</v>
      </c>
      <c r="BH28" s="60">
        <v>4.2300000000000004</v>
      </c>
      <c r="BI28" s="92">
        <v>3.84</v>
      </c>
      <c r="BJ28" s="59" t="s">
        <v>122</v>
      </c>
      <c r="BK28" s="108">
        <v>22</v>
      </c>
    </row>
    <row r="29" spans="1:63" ht="28.5" hidden="1">
      <c r="A29" s="107">
        <v>2023090</v>
      </c>
      <c r="B29" s="70" t="s">
        <v>49</v>
      </c>
      <c r="C29" s="53">
        <v>1</v>
      </c>
      <c r="D29" s="15">
        <v>90</v>
      </c>
      <c r="E29" s="65">
        <f>VLOOKUP(D29,المرجع!$B$4:$C$12,2)</f>
        <v>4.75</v>
      </c>
      <c r="F29" s="44" t="str">
        <f>VLOOKUP(E29,المرجع!$D$4:$E$12,2)</f>
        <v>أ</v>
      </c>
      <c r="G29" s="40">
        <f t="shared" si="0"/>
        <v>4.75</v>
      </c>
      <c r="H29" s="53">
        <v>2</v>
      </c>
      <c r="I29" s="15">
        <v>77</v>
      </c>
      <c r="J29" s="65">
        <f>VLOOKUP(I29,المرجع!$B$4:$C$12,2)</f>
        <v>3.5</v>
      </c>
      <c r="K29" s="44" t="str">
        <f>VLOOKUP(J29,المرجع!$D$4:$E$12,2)</f>
        <v>ج+</v>
      </c>
      <c r="L29" s="40">
        <f t="shared" si="1"/>
        <v>7</v>
      </c>
      <c r="M29" s="53">
        <v>3</v>
      </c>
      <c r="N29" s="15">
        <v>97</v>
      </c>
      <c r="O29" s="65">
        <f>VLOOKUP(N29,المرجع!$B$4:$C$12,2)</f>
        <v>5</v>
      </c>
      <c r="P29" s="44" t="str">
        <f>VLOOKUP(O29,المرجع!$D$4:$E$12,2)</f>
        <v xml:space="preserve">أ+ </v>
      </c>
      <c r="Q29" s="40">
        <f t="shared" si="2"/>
        <v>15</v>
      </c>
      <c r="R29" s="53">
        <v>2</v>
      </c>
      <c r="S29" s="15">
        <v>91</v>
      </c>
      <c r="T29" s="65">
        <f>VLOOKUP(S29,المرجع!$B$4:$C$12,2)</f>
        <v>4.75</v>
      </c>
      <c r="U29" s="44" t="str">
        <f>VLOOKUP(T29,المرجع!$D$4:$E$12,2)</f>
        <v>أ</v>
      </c>
      <c r="V29" s="40">
        <f t="shared" si="3"/>
        <v>9.5</v>
      </c>
      <c r="W29" s="53">
        <v>2</v>
      </c>
      <c r="X29" s="15">
        <v>95</v>
      </c>
      <c r="Y29" s="65">
        <f>VLOOKUP(X29,المرجع!$B$4:$C$12,2)</f>
        <v>5</v>
      </c>
      <c r="Z29" s="44" t="str">
        <f>VLOOKUP(Y29,المرجع!$D$4:$E$12,2)</f>
        <v xml:space="preserve">أ+ </v>
      </c>
      <c r="AA29" s="40">
        <f t="shared" si="4"/>
        <v>10</v>
      </c>
      <c r="AB29" s="53">
        <v>3</v>
      </c>
      <c r="AC29" s="15">
        <v>63</v>
      </c>
      <c r="AD29" s="65">
        <f>VLOOKUP(AC29,المرجع!$B$4:$C$12,2)</f>
        <v>2</v>
      </c>
      <c r="AE29" s="44" t="str">
        <f>VLOOKUP(AD29,المرجع!$D$4:$E$12,2)</f>
        <v>د</v>
      </c>
      <c r="AF29" s="40">
        <f t="shared" si="5"/>
        <v>6</v>
      </c>
      <c r="AG29" s="53">
        <v>2</v>
      </c>
      <c r="AH29" s="15">
        <v>98</v>
      </c>
      <c r="AI29" s="65">
        <f>VLOOKUP(AH29,المرجع!$B$4:$C$12,2)</f>
        <v>5</v>
      </c>
      <c r="AJ29" s="44" t="str">
        <f>VLOOKUP(AI29,المرجع!$D$4:$E$12,2)</f>
        <v xml:space="preserve">أ+ </v>
      </c>
      <c r="AK29" s="40">
        <f t="shared" si="6"/>
        <v>10</v>
      </c>
      <c r="AL29" s="53">
        <v>2</v>
      </c>
      <c r="AM29" s="15">
        <v>84</v>
      </c>
      <c r="AN29" s="65">
        <f>VLOOKUP(AM29,المرجع!$B$4:$C$12,2)</f>
        <v>4</v>
      </c>
      <c r="AO29" s="44" t="str">
        <f>VLOOKUP(AN29,المرجع!$D$4:$E$12,2)</f>
        <v>ب</v>
      </c>
      <c r="AP29" s="40">
        <f t="shared" si="7"/>
        <v>8</v>
      </c>
      <c r="AQ29" s="53">
        <v>3</v>
      </c>
      <c r="AR29" s="15">
        <v>93</v>
      </c>
      <c r="AS29" s="65">
        <f>VLOOKUP(AR29,المرجع!$B$4:$C$12,2)</f>
        <v>4.75</v>
      </c>
      <c r="AT29" s="44" t="str">
        <f>VLOOKUP(AS29,المرجع!$D$4:$E$12,2)</f>
        <v>أ</v>
      </c>
      <c r="AU29" s="40">
        <f t="shared" si="8"/>
        <v>14.25</v>
      </c>
      <c r="AV29" s="53">
        <v>2</v>
      </c>
      <c r="AW29" s="15">
        <v>65</v>
      </c>
      <c r="AX29" s="65">
        <f>VLOOKUP(AW29,المرجع!$B$4:$C$12,2)</f>
        <v>2.5</v>
      </c>
      <c r="AY29" s="44" t="str">
        <f>VLOOKUP(AX29,المرجع!$D$4:$E$12,2)</f>
        <v>د+</v>
      </c>
      <c r="AZ29" s="40">
        <f t="shared" si="9"/>
        <v>5</v>
      </c>
      <c r="BA29" s="53">
        <v>2</v>
      </c>
      <c r="BB29" s="15">
        <v>74</v>
      </c>
      <c r="BC29" s="65">
        <f>VLOOKUP(BB29,المرجع!$B$4:$C$12,2)</f>
        <v>3</v>
      </c>
      <c r="BD29" s="44" t="str">
        <f>VLOOKUP(BC29,المرجع!$D$4:$E$12,2)</f>
        <v>ج</v>
      </c>
      <c r="BE29" s="40">
        <f t="shared" si="10"/>
        <v>6</v>
      </c>
      <c r="BF29" s="56">
        <v>90.25</v>
      </c>
      <c r="BG29" s="58">
        <f t="shared" si="11"/>
        <v>24</v>
      </c>
      <c r="BH29" s="60">
        <v>3.92</v>
      </c>
      <c r="BI29" s="92">
        <v>3.79</v>
      </c>
      <c r="BJ29" s="59" t="s">
        <v>120</v>
      </c>
      <c r="BK29" s="108">
        <v>35</v>
      </c>
    </row>
    <row r="30" spans="1:63" ht="28.5" hidden="1">
      <c r="A30" s="107">
        <v>2023047</v>
      </c>
      <c r="B30" s="70" t="s">
        <v>21</v>
      </c>
      <c r="C30" s="53">
        <v>1</v>
      </c>
      <c r="D30" s="15">
        <v>93</v>
      </c>
      <c r="E30" s="65">
        <f>VLOOKUP(D30,المرجع!$B$4:$C$12,2)</f>
        <v>4.75</v>
      </c>
      <c r="F30" s="44" t="str">
        <f>VLOOKUP(E30,المرجع!$D$4:$E$12,2)</f>
        <v>أ</v>
      </c>
      <c r="G30" s="40">
        <f t="shared" si="0"/>
        <v>4.75</v>
      </c>
      <c r="H30" s="53">
        <v>2</v>
      </c>
      <c r="I30" s="15">
        <v>94</v>
      </c>
      <c r="J30" s="65">
        <f>VLOOKUP(I30,المرجع!$B$4:$C$12,2)</f>
        <v>4.75</v>
      </c>
      <c r="K30" s="44" t="str">
        <f>VLOOKUP(J30,المرجع!$D$4:$E$12,2)</f>
        <v>أ</v>
      </c>
      <c r="L30" s="40">
        <f t="shared" si="1"/>
        <v>9.5</v>
      </c>
      <c r="M30" s="53">
        <v>3</v>
      </c>
      <c r="N30" s="15">
        <v>100</v>
      </c>
      <c r="O30" s="65">
        <f>VLOOKUP(N30,المرجع!$B$4:$C$12,2)</f>
        <v>5</v>
      </c>
      <c r="P30" s="44" t="str">
        <f>VLOOKUP(O30,المرجع!$D$4:$E$12,2)</f>
        <v xml:space="preserve">أ+ </v>
      </c>
      <c r="Q30" s="40">
        <f t="shared" si="2"/>
        <v>15</v>
      </c>
      <c r="R30" s="53">
        <v>2</v>
      </c>
      <c r="S30" s="15">
        <v>88</v>
      </c>
      <c r="T30" s="65">
        <f>VLOOKUP(S30,المرجع!$B$4:$C$12,2)</f>
        <v>4.5</v>
      </c>
      <c r="U30" s="44" t="str">
        <f>VLOOKUP(T30,المرجع!$D$4:$E$12,2)</f>
        <v>ب+</v>
      </c>
      <c r="V30" s="40">
        <f t="shared" si="3"/>
        <v>9</v>
      </c>
      <c r="W30" s="53">
        <v>2</v>
      </c>
      <c r="X30" s="15">
        <v>97</v>
      </c>
      <c r="Y30" s="65">
        <f>VLOOKUP(X30,المرجع!$B$4:$C$12,2)</f>
        <v>5</v>
      </c>
      <c r="Z30" s="44" t="str">
        <f>VLOOKUP(Y30,المرجع!$D$4:$E$12,2)</f>
        <v xml:space="preserve">أ+ </v>
      </c>
      <c r="AA30" s="40">
        <f t="shared" si="4"/>
        <v>10</v>
      </c>
      <c r="AB30" s="53">
        <v>3</v>
      </c>
      <c r="AC30" s="15">
        <v>71</v>
      </c>
      <c r="AD30" s="65">
        <f>VLOOKUP(AC30,المرجع!$B$4:$C$12,2)</f>
        <v>3</v>
      </c>
      <c r="AE30" s="44" t="str">
        <f>VLOOKUP(AD30,المرجع!$D$4:$E$12,2)</f>
        <v>ج</v>
      </c>
      <c r="AF30" s="40">
        <f t="shared" si="5"/>
        <v>9</v>
      </c>
      <c r="AG30" s="53">
        <v>2</v>
      </c>
      <c r="AH30" s="15">
        <v>100</v>
      </c>
      <c r="AI30" s="65">
        <f>VLOOKUP(AH30,المرجع!$B$4:$C$12,2)</f>
        <v>5</v>
      </c>
      <c r="AJ30" s="44" t="str">
        <f>VLOOKUP(AI30,المرجع!$D$4:$E$12,2)</f>
        <v xml:space="preserve">أ+ </v>
      </c>
      <c r="AK30" s="40">
        <f t="shared" si="6"/>
        <v>10</v>
      </c>
      <c r="AL30" s="53">
        <v>2</v>
      </c>
      <c r="AM30" s="15">
        <v>87</v>
      </c>
      <c r="AN30" s="65">
        <f>VLOOKUP(AM30,المرجع!$B$4:$C$12,2)</f>
        <v>4.5</v>
      </c>
      <c r="AO30" s="44" t="str">
        <f>VLOOKUP(AN30,المرجع!$D$4:$E$12,2)</f>
        <v>ب+</v>
      </c>
      <c r="AP30" s="40">
        <f t="shared" si="7"/>
        <v>9</v>
      </c>
      <c r="AQ30" s="53">
        <v>3</v>
      </c>
      <c r="AR30" s="15">
        <v>96</v>
      </c>
      <c r="AS30" s="65">
        <f>VLOOKUP(AR30,المرجع!$B$4:$C$12,2)</f>
        <v>5</v>
      </c>
      <c r="AT30" s="44" t="str">
        <f>VLOOKUP(AS30,المرجع!$D$4:$E$12,2)</f>
        <v xml:space="preserve">أ+ </v>
      </c>
      <c r="AU30" s="40">
        <f t="shared" si="8"/>
        <v>15</v>
      </c>
      <c r="AV30" s="53">
        <v>2</v>
      </c>
      <c r="AW30" s="15">
        <v>50</v>
      </c>
      <c r="AX30" s="65">
        <f>VLOOKUP(AW30,المرجع!$B$4:$C$12,2)</f>
        <v>2</v>
      </c>
      <c r="AY30" s="44" t="str">
        <f>VLOOKUP(AX30,المرجع!$D$4:$E$12,2)</f>
        <v>د</v>
      </c>
      <c r="AZ30" s="40">
        <f t="shared" si="9"/>
        <v>4</v>
      </c>
      <c r="BA30" s="53">
        <v>2</v>
      </c>
      <c r="BB30" s="15">
        <v>50</v>
      </c>
      <c r="BC30" s="65">
        <f>VLOOKUP(BB30,المرجع!$B$4:$C$12,2)</f>
        <v>2</v>
      </c>
      <c r="BD30" s="44" t="str">
        <f>VLOOKUP(BC30,المرجع!$D$4:$E$12,2)</f>
        <v>د</v>
      </c>
      <c r="BE30" s="40">
        <f t="shared" si="10"/>
        <v>4</v>
      </c>
      <c r="BF30" s="56">
        <v>93.75</v>
      </c>
      <c r="BG30" s="58">
        <f t="shared" si="11"/>
        <v>24</v>
      </c>
      <c r="BH30" s="60">
        <v>4.07</v>
      </c>
      <c r="BI30" s="92">
        <v>3.82</v>
      </c>
      <c r="BJ30" s="59" t="s">
        <v>120</v>
      </c>
      <c r="BK30" s="108">
        <v>29</v>
      </c>
    </row>
    <row r="31" spans="1:63" ht="28.5" hidden="1">
      <c r="A31" s="107">
        <v>2023038</v>
      </c>
      <c r="B31" s="70" t="s">
        <v>5</v>
      </c>
      <c r="C31" s="53">
        <v>1</v>
      </c>
      <c r="D31" s="15">
        <v>97</v>
      </c>
      <c r="E31" s="65">
        <f>VLOOKUP(D31,المرجع!$B$4:$C$12,2)</f>
        <v>5</v>
      </c>
      <c r="F31" s="44" t="str">
        <f>VLOOKUP(E31,المرجع!$D$4:$E$12,2)</f>
        <v xml:space="preserve">أ+ </v>
      </c>
      <c r="G31" s="40">
        <f t="shared" si="0"/>
        <v>5</v>
      </c>
      <c r="H31" s="53">
        <v>2</v>
      </c>
      <c r="I31" s="15">
        <v>95</v>
      </c>
      <c r="J31" s="65">
        <f>VLOOKUP(I31,المرجع!$B$4:$C$12,2)</f>
        <v>5</v>
      </c>
      <c r="K31" s="44" t="str">
        <f>VLOOKUP(J31,المرجع!$D$4:$E$12,2)</f>
        <v xml:space="preserve">أ+ </v>
      </c>
      <c r="L31" s="40">
        <f t="shared" si="1"/>
        <v>10</v>
      </c>
      <c r="M31" s="53">
        <v>3</v>
      </c>
      <c r="N31" s="15">
        <v>100</v>
      </c>
      <c r="O31" s="65">
        <f>VLOOKUP(N31,المرجع!$B$4:$C$12,2)</f>
        <v>5</v>
      </c>
      <c r="P31" s="44" t="str">
        <f>VLOOKUP(O31,المرجع!$D$4:$E$12,2)</f>
        <v xml:space="preserve">أ+ </v>
      </c>
      <c r="Q31" s="40">
        <f t="shared" si="2"/>
        <v>15</v>
      </c>
      <c r="R31" s="53">
        <v>2</v>
      </c>
      <c r="S31" s="15">
        <v>88</v>
      </c>
      <c r="T31" s="65">
        <f>VLOOKUP(S31,المرجع!$B$4:$C$12,2)</f>
        <v>4.5</v>
      </c>
      <c r="U31" s="44" t="str">
        <f>VLOOKUP(T31,المرجع!$D$4:$E$12,2)</f>
        <v>ب+</v>
      </c>
      <c r="V31" s="40">
        <f t="shared" si="3"/>
        <v>9</v>
      </c>
      <c r="W31" s="53">
        <v>2</v>
      </c>
      <c r="X31" s="15">
        <v>85</v>
      </c>
      <c r="Y31" s="65">
        <f>VLOOKUP(X31,المرجع!$B$4:$C$12,2)</f>
        <v>4.5</v>
      </c>
      <c r="Z31" s="44" t="str">
        <f>VLOOKUP(Y31,المرجع!$D$4:$E$12,2)</f>
        <v>ب+</v>
      </c>
      <c r="AA31" s="40">
        <f t="shared" si="4"/>
        <v>9</v>
      </c>
      <c r="AB31" s="53">
        <v>3</v>
      </c>
      <c r="AC31" s="15">
        <v>71</v>
      </c>
      <c r="AD31" s="65">
        <f>VLOOKUP(AC31,المرجع!$B$4:$C$12,2)</f>
        <v>3</v>
      </c>
      <c r="AE31" s="44" t="str">
        <f>VLOOKUP(AD31,المرجع!$D$4:$E$12,2)</f>
        <v>ج</v>
      </c>
      <c r="AF31" s="40">
        <f t="shared" si="5"/>
        <v>9</v>
      </c>
      <c r="AG31" s="53">
        <v>2</v>
      </c>
      <c r="AH31" s="15">
        <v>100</v>
      </c>
      <c r="AI31" s="65">
        <f>VLOOKUP(AH31,المرجع!$B$4:$C$12,2)</f>
        <v>5</v>
      </c>
      <c r="AJ31" s="44" t="str">
        <f>VLOOKUP(AI31,المرجع!$D$4:$E$12,2)</f>
        <v xml:space="preserve">أ+ </v>
      </c>
      <c r="AK31" s="40">
        <f t="shared" si="6"/>
        <v>10</v>
      </c>
      <c r="AL31" s="53">
        <v>2</v>
      </c>
      <c r="AM31" s="15">
        <v>72</v>
      </c>
      <c r="AN31" s="65">
        <f>VLOOKUP(AM31,المرجع!$B$4:$C$12,2)</f>
        <v>3</v>
      </c>
      <c r="AO31" s="44" t="str">
        <f>VLOOKUP(AN31,المرجع!$D$4:$E$12,2)</f>
        <v>ج</v>
      </c>
      <c r="AP31" s="40">
        <f t="shared" si="7"/>
        <v>6</v>
      </c>
      <c r="AQ31" s="53">
        <v>3</v>
      </c>
      <c r="AR31" s="15">
        <v>95</v>
      </c>
      <c r="AS31" s="65">
        <f>VLOOKUP(AR31,المرجع!$B$4:$C$12,2)</f>
        <v>5</v>
      </c>
      <c r="AT31" s="44" t="str">
        <f>VLOOKUP(AS31,المرجع!$D$4:$E$12,2)</f>
        <v xml:space="preserve">أ+ </v>
      </c>
      <c r="AU31" s="40">
        <f t="shared" si="8"/>
        <v>15</v>
      </c>
      <c r="AV31" s="53">
        <v>2</v>
      </c>
      <c r="AW31" s="15">
        <v>60</v>
      </c>
      <c r="AX31" s="65">
        <f>VLOOKUP(AW31,المرجع!$B$4:$C$12,2)</f>
        <v>2</v>
      </c>
      <c r="AY31" s="44" t="str">
        <f>VLOOKUP(AX31,المرجع!$D$4:$E$12,2)</f>
        <v>د</v>
      </c>
      <c r="AZ31" s="40">
        <f t="shared" si="9"/>
        <v>4</v>
      </c>
      <c r="BA31" s="53">
        <v>2</v>
      </c>
      <c r="BB31" s="15">
        <v>60</v>
      </c>
      <c r="BC31" s="65">
        <f>VLOOKUP(BB31,المرجع!$B$4:$C$12,2)</f>
        <v>2</v>
      </c>
      <c r="BD31" s="44" t="str">
        <f>VLOOKUP(BC31,المرجع!$D$4:$E$12,2)</f>
        <v>د</v>
      </c>
      <c r="BE31" s="40">
        <f t="shared" si="10"/>
        <v>4</v>
      </c>
      <c r="BF31" s="56">
        <v>90</v>
      </c>
      <c r="BG31" s="58">
        <f t="shared" si="11"/>
        <v>24</v>
      </c>
      <c r="BH31" s="60">
        <v>3.91</v>
      </c>
      <c r="BI31" s="92">
        <v>3.78</v>
      </c>
      <c r="BJ31" s="59" t="s">
        <v>120</v>
      </c>
      <c r="BK31" s="108">
        <v>36</v>
      </c>
    </row>
    <row r="32" spans="1:63" ht="28.5" hidden="1">
      <c r="A32" s="107">
        <v>2023129</v>
      </c>
      <c r="B32" s="70" t="s">
        <v>92</v>
      </c>
      <c r="C32" s="53">
        <v>1</v>
      </c>
      <c r="D32" s="15">
        <v>80</v>
      </c>
      <c r="E32" s="65">
        <f>VLOOKUP(D32,المرجع!$B$4:$C$12,2)</f>
        <v>4</v>
      </c>
      <c r="F32" s="44" t="str">
        <f>VLOOKUP(E32,المرجع!$D$4:$E$12,2)</f>
        <v>ب</v>
      </c>
      <c r="G32" s="40">
        <f t="shared" si="0"/>
        <v>4</v>
      </c>
      <c r="H32" s="53">
        <v>2</v>
      </c>
      <c r="I32" s="15">
        <v>89</v>
      </c>
      <c r="J32" s="65">
        <f>VLOOKUP(I32,المرجع!$B$4:$C$12,2)</f>
        <v>4.5</v>
      </c>
      <c r="K32" s="44" t="str">
        <f>VLOOKUP(J32,المرجع!$D$4:$E$12,2)</f>
        <v>ب+</v>
      </c>
      <c r="L32" s="40">
        <f t="shared" si="1"/>
        <v>9</v>
      </c>
      <c r="M32" s="53">
        <v>3</v>
      </c>
      <c r="N32" s="15">
        <v>95</v>
      </c>
      <c r="O32" s="65">
        <f>VLOOKUP(N32,المرجع!$B$4:$C$12,2)</f>
        <v>5</v>
      </c>
      <c r="P32" s="44" t="str">
        <f>VLOOKUP(O32,المرجع!$D$4:$E$12,2)</f>
        <v xml:space="preserve">أ+ </v>
      </c>
      <c r="Q32" s="40">
        <f t="shared" si="2"/>
        <v>15</v>
      </c>
      <c r="R32" s="53">
        <v>2</v>
      </c>
      <c r="S32" s="15">
        <v>96</v>
      </c>
      <c r="T32" s="65">
        <f>VLOOKUP(S32,المرجع!$B$4:$C$12,2)</f>
        <v>5</v>
      </c>
      <c r="U32" s="44" t="str">
        <f>VLOOKUP(T32,المرجع!$D$4:$E$12,2)</f>
        <v xml:space="preserve">أ+ </v>
      </c>
      <c r="V32" s="40">
        <f t="shared" si="3"/>
        <v>10</v>
      </c>
      <c r="W32" s="53">
        <v>2</v>
      </c>
      <c r="X32" s="15">
        <v>100</v>
      </c>
      <c r="Y32" s="65">
        <f>VLOOKUP(X32,المرجع!$B$4:$C$12,2)</f>
        <v>5</v>
      </c>
      <c r="Z32" s="44" t="str">
        <f>VLOOKUP(Y32,المرجع!$D$4:$E$12,2)</f>
        <v xml:space="preserve">أ+ </v>
      </c>
      <c r="AA32" s="40">
        <f t="shared" si="4"/>
        <v>10</v>
      </c>
      <c r="AB32" s="53">
        <v>3</v>
      </c>
      <c r="AC32" s="15">
        <v>74</v>
      </c>
      <c r="AD32" s="65">
        <f>VLOOKUP(AC32,المرجع!$B$4:$C$12,2)</f>
        <v>3</v>
      </c>
      <c r="AE32" s="44" t="str">
        <f>VLOOKUP(AD32,المرجع!$D$4:$E$12,2)</f>
        <v>ج</v>
      </c>
      <c r="AF32" s="40">
        <f t="shared" si="5"/>
        <v>9</v>
      </c>
      <c r="AG32" s="53">
        <v>2</v>
      </c>
      <c r="AH32" s="15">
        <v>90</v>
      </c>
      <c r="AI32" s="65">
        <f>VLOOKUP(AH32,المرجع!$B$4:$C$12,2)</f>
        <v>4.75</v>
      </c>
      <c r="AJ32" s="44" t="str">
        <f>VLOOKUP(AI32,المرجع!$D$4:$E$12,2)</f>
        <v>أ</v>
      </c>
      <c r="AK32" s="40">
        <f t="shared" si="6"/>
        <v>9.5</v>
      </c>
      <c r="AL32" s="53">
        <v>2</v>
      </c>
      <c r="AM32" s="15">
        <v>90</v>
      </c>
      <c r="AN32" s="65">
        <f>VLOOKUP(AM32,المرجع!$B$4:$C$12,2)</f>
        <v>4.75</v>
      </c>
      <c r="AO32" s="44" t="str">
        <f>VLOOKUP(AN32,المرجع!$D$4:$E$12,2)</f>
        <v>أ</v>
      </c>
      <c r="AP32" s="40">
        <f t="shared" si="7"/>
        <v>9.5</v>
      </c>
      <c r="AQ32" s="53">
        <v>3</v>
      </c>
      <c r="AR32" s="15">
        <v>99</v>
      </c>
      <c r="AS32" s="65">
        <f>VLOOKUP(AR32,المرجع!$B$4:$C$12,2)</f>
        <v>5</v>
      </c>
      <c r="AT32" s="44" t="str">
        <f>VLOOKUP(AS32,المرجع!$D$4:$E$12,2)</f>
        <v xml:space="preserve">أ+ </v>
      </c>
      <c r="AU32" s="40">
        <f t="shared" si="8"/>
        <v>15</v>
      </c>
      <c r="AV32" s="53">
        <v>2</v>
      </c>
      <c r="AW32" s="15">
        <v>50</v>
      </c>
      <c r="AX32" s="65">
        <f>VLOOKUP(AW32,المرجع!$B$4:$C$12,2)</f>
        <v>2</v>
      </c>
      <c r="AY32" s="44" t="str">
        <f>VLOOKUP(AX32,المرجع!$D$4:$E$12,2)</f>
        <v>د</v>
      </c>
      <c r="AZ32" s="40">
        <f t="shared" si="9"/>
        <v>4</v>
      </c>
      <c r="BA32" s="53">
        <v>2</v>
      </c>
      <c r="BB32" s="15">
        <v>57</v>
      </c>
      <c r="BC32" s="65">
        <f>VLOOKUP(BB32,المرجع!$B$4:$C$12,2)</f>
        <v>2</v>
      </c>
      <c r="BD32" s="44" t="str">
        <f>VLOOKUP(BC32,المرجع!$D$4:$E$12,2)</f>
        <v>د</v>
      </c>
      <c r="BE32" s="40">
        <f t="shared" si="10"/>
        <v>4</v>
      </c>
      <c r="BF32" s="56">
        <v>94</v>
      </c>
      <c r="BG32" s="58">
        <f t="shared" si="11"/>
        <v>24</v>
      </c>
      <c r="BH32" s="60">
        <v>4.08</v>
      </c>
      <c r="BI32" s="92">
        <v>3.83</v>
      </c>
      <c r="BJ32" s="59" t="s">
        <v>120</v>
      </c>
      <c r="BK32" s="108">
        <v>28</v>
      </c>
    </row>
    <row r="33" spans="1:63" ht="28.5" hidden="1">
      <c r="A33" s="107">
        <v>2023055</v>
      </c>
      <c r="B33" s="70" t="s">
        <v>91</v>
      </c>
      <c r="C33" s="53">
        <v>1</v>
      </c>
      <c r="D33" s="15">
        <v>88</v>
      </c>
      <c r="E33" s="65">
        <f>VLOOKUP(D33,المرجع!$B$4:$C$12,2)</f>
        <v>4.5</v>
      </c>
      <c r="F33" s="44" t="str">
        <f>VLOOKUP(E33,المرجع!$D$4:$E$12,2)</f>
        <v>ب+</v>
      </c>
      <c r="G33" s="40">
        <f t="shared" si="0"/>
        <v>4.5</v>
      </c>
      <c r="H33" s="53">
        <v>2</v>
      </c>
      <c r="I33" s="15">
        <v>89</v>
      </c>
      <c r="J33" s="65">
        <f>VLOOKUP(I33,المرجع!$B$4:$C$12,2)</f>
        <v>4.5</v>
      </c>
      <c r="K33" s="44" t="str">
        <f>VLOOKUP(J33,المرجع!$D$4:$E$12,2)</f>
        <v>ب+</v>
      </c>
      <c r="L33" s="40">
        <f t="shared" si="1"/>
        <v>9</v>
      </c>
      <c r="M33" s="53">
        <v>3</v>
      </c>
      <c r="N33" s="15">
        <v>100</v>
      </c>
      <c r="O33" s="65">
        <f>VLOOKUP(N33,المرجع!$B$4:$C$12,2)</f>
        <v>5</v>
      </c>
      <c r="P33" s="44" t="str">
        <f>VLOOKUP(O33,المرجع!$D$4:$E$12,2)</f>
        <v xml:space="preserve">أ+ </v>
      </c>
      <c r="Q33" s="40">
        <f t="shared" si="2"/>
        <v>15</v>
      </c>
      <c r="R33" s="53">
        <v>2</v>
      </c>
      <c r="S33" s="15">
        <v>100</v>
      </c>
      <c r="T33" s="65">
        <f>VLOOKUP(S33,المرجع!$B$4:$C$12,2)</f>
        <v>5</v>
      </c>
      <c r="U33" s="44" t="str">
        <f>VLOOKUP(T33,المرجع!$D$4:$E$12,2)</f>
        <v xml:space="preserve">أ+ </v>
      </c>
      <c r="V33" s="40">
        <f t="shared" si="3"/>
        <v>10</v>
      </c>
      <c r="W33" s="53">
        <v>2</v>
      </c>
      <c r="X33" s="15">
        <v>98</v>
      </c>
      <c r="Y33" s="65">
        <f>VLOOKUP(X33,المرجع!$B$4:$C$12,2)</f>
        <v>5</v>
      </c>
      <c r="Z33" s="44" t="str">
        <f>VLOOKUP(Y33,المرجع!$D$4:$E$12,2)</f>
        <v xml:space="preserve">أ+ </v>
      </c>
      <c r="AA33" s="40">
        <f t="shared" si="4"/>
        <v>10</v>
      </c>
      <c r="AB33" s="53">
        <v>3</v>
      </c>
      <c r="AC33" s="15">
        <v>50</v>
      </c>
      <c r="AD33" s="65">
        <f>VLOOKUP(AC33,المرجع!$B$4:$C$12,2)</f>
        <v>2</v>
      </c>
      <c r="AE33" s="44" t="str">
        <f>VLOOKUP(AD33,المرجع!$D$4:$E$12,2)</f>
        <v>د</v>
      </c>
      <c r="AF33" s="40">
        <f t="shared" si="5"/>
        <v>6</v>
      </c>
      <c r="AG33" s="53">
        <v>2</v>
      </c>
      <c r="AH33" s="15">
        <v>80</v>
      </c>
      <c r="AI33" s="65">
        <f>VLOOKUP(AH33,المرجع!$B$4:$C$12,2)</f>
        <v>4</v>
      </c>
      <c r="AJ33" s="44" t="str">
        <f>VLOOKUP(AI33,المرجع!$D$4:$E$12,2)</f>
        <v>ب</v>
      </c>
      <c r="AK33" s="40">
        <f t="shared" si="6"/>
        <v>8</v>
      </c>
      <c r="AL33" s="53">
        <v>2</v>
      </c>
      <c r="AM33" s="15">
        <v>87</v>
      </c>
      <c r="AN33" s="65">
        <f>VLOOKUP(AM33,المرجع!$B$4:$C$12,2)</f>
        <v>4.5</v>
      </c>
      <c r="AO33" s="44" t="str">
        <f>VLOOKUP(AN33,المرجع!$D$4:$E$12,2)</f>
        <v>ب+</v>
      </c>
      <c r="AP33" s="40">
        <f t="shared" si="7"/>
        <v>9</v>
      </c>
      <c r="AQ33" s="53">
        <v>3</v>
      </c>
      <c r="AR33" s="15">
        <v>95</v>
      </c>
      <c r="AS33" s="65">
        <f>VLOOKUP(AR33,المرجع!$B$4:$C$12,2)</f>
        <v>5</v>
      </c>
      <c r="AT33" s="44" t="str">
        <f>VLOOKUP(AS33,المرجع!$D$4:$E$12,2)</f>
        <v xml:space="preserve">أ+ </v>
      </c>
      <c r="AU33" s="40">
        <f t="shared" si="8"/>
        <v>15</v>
      </c>
      <c r="AV33" s="53">
        <v>2</v>
      </c>
      <c r="AW33" s="15">
        <v>58</v>
      </c>
      <c r="AX33" s="65">
        <f>VLOOKUP(AW33,المرجع!$B$4:$C$12,2)</f>
        <v>2</v>
      </c>
      <c r="AY33" s="44" t="str">
        <f>VLOOKUP(AX33,المرجع!$D$4:$E$12,2)</f>
        <v>د</v>
      </c>
      <c r="AZ33" s="40">
        <f t="shared" si="9"/>
        <v>4</v>
      </c>
      <c r="BA33" s="53">
        <v>2</v>
      </c>
      <c r="BB33" s="15">
        <v>74</v>
      </c>
      <c r="BC33" s="65">
        <f>VLOOKUP(BB33,المرجع!$B$4:$C$12,2)</f>
        <v>3</v>
      </c>
      <c r="BD33" s="44" t="str">
        <f>VLOOKUP(BC33,المرجع!$D$4:$E$12,2)</f>
        <v>ج</v>
      </c>
      <c r="BE33" s="40">
        <f t="shared" si="10"/>
        <v>6</v>
      </c>
      <c r="BF33" s="56">
        <v>91.5</v>
      </c>
      <c r="BG33" s="58">
        <f t="shared" si="11"/>
        <v>24</v>
      </c>
      <c r="BH33" s="60">
        <v>3.97</v>
      </c>
      <c r="BI33" s="92">
        <v>3.78</v>
      </c>
      <c r="BJ33" s="59" t="s">
        <v>120</v>
      </c>
      <c r="BK33" s="108">
        <v>30</v>
      </c>
    </row>
    <row r="34" spans="1:63" ht="28.5" hidden="1">
      <c r="A34" s="107">
        <v>2023087</v>
      </c>
      <c r="B34" s="70" t="s">
        <v>51</v>
      </c>
      <c r="C34" s="53">
        <v>1</v>
      </c>
      <c r="D34" s="15">
        <v>20</v>
      </c>
      <c r="E34" s="65">
        <f>VLOOKUP(D34,المرجع!$B$4:$C$12,2)</f>
        <v>0</v>
      </c>
      <c r="F34" s="44" t="str">
        <f>VLOOKUP(E34,المرجع!$D$4:$E$12,2)</f>
        <v>ه</v>
      </c>
      <c r="G34" s="40">
        <f t="shared" si="0"/>
        <v>0</v>
      </c>
      <c r="H34" s="53">
        <v>2</v>
      </c>
      <c r="I34" s="15">
        <v>99</v>
      </c>
      <c r="J34" s="65">
        <f>VLOOKUP(I34,المرجع!$B$4:$C$12,2)</f>
        <v>5</v>
      </c>
      <c r="K34" s="44" t="str">
        <f>VLOOKUP(J34,المرجع!$D$4:$E$12,2)</f>
        <v xml:space="preserve">أ+ </v>
      </c>
      <c r="L34" s="40">
        <f t="shared" si="1"/>
        <v>10</v>
      </c>
      <c r="M34" s="53">
        <v>3</v>
      </c>
      <c r="N34" s="15">
        <v>100</v>
      </c>
      <c r="O34" s="65">
        <f>VLOOKUP(N34,المرجع!$B$4:$C$12,2)</f>
        <v>5</v>
      </c>
      <c r="P34" s="44" t="str">
        <f>VLOOKUP(O34,المرجع!$D$4:$E$12,2)</f>
        <v xml:space="preserve">أ+ </v>
      </c>
      <c r="Q34" s="40">
        <f t="shared" si="2"/>
        <v>15</v>
      </c>
      <c r="R34" s="53">
        <v>2</v>
      </c>
      <c r="S34" s="15">
        <v>95</v>
      </c>
      <c r="T34" s="65">
        <f>VLOOKUP(S34,المرجع!$B$4:$C$12,2)</f>
        <v>5</v>
      </c>
      <c r="U34" s="44" t="str">
        <f>VLOOKUP(T34,المرجع!$D$4:$E$12,2)</f>
        <v xml:space="preserve">أ+ </v>
      </c>
      <c r="V34" s="40">
        <f t="shared" si="3"/>
        <v>10</v>
      </c>
      <c r="W34" s="53">
        <v>2</v>
      </c>
      <c r="X34" s="15">
        <v>100</v>
      </c>
      <c r="Y34" s="65">
        <f>VLOOKUP(X34,المرجع!$B$4:$C$12,2)</f>
        <v>5</v>
      </c>
      <c r="Z34" s="44" t="str">
        <f>VLOOKUP(Y34,المرجع!$D$4:$E$12,2)</f>
        <v xml:space="preserve">أ+ </v>
      </c>
      <c r="AA34" s="40">
        <f t="shared" si="4"/>
        <v>10</v>
      </c>
      <c r="AB34" s="53">
        <v>3</v>
      </c>
      <c r="AC34" s="15">
        <v>90</v>
      </c>
      <c r="AD34" s="65">
        <f>VLOOKUP(AC34,المرجع!$B$4:$C$12,2)</f>
        <v>4.75</v>
      </c>
      <c r="AE34" s="44" t="str">
        <f>VLOOKUP(AD34,المرجع!$D$4:$E$12,2)</f>
        <v>أ</v>
      </c>
      <c r="AF34" s="40">
        <f t="shared" si="5"/>
        <v>14.25</v>
      </c>
      <c r="AG34" s="53">
        <v>2</v>
      </c>
      <c r="AH34" s="15">
        <v>95</v>
      </c>
      <c r="AI34" s="65">
        <f>VLOOKUP(AH34,المرجع!$B$4:$C$12,2)</f>
        <v>5</v>
      </c>
      <c r="AJ34" s="44" t="str">
        <f>VLOOKUP(AI34,المرجع!$D$4:$E$12,2)</f>
        <v xml:space="preserve">أ+ </v>
      </c>
      <c r="AK34" s="40">
        <f t="shared" si="6"/>
        <v>10</v>
      </c>
      <c r="AL34" s="53">
        <v>2</v>
      </c>
      <c r="AM34" s="15">
        <v>90</v>
      </c>
      <c r="AN34" s="65">
        <f>VLOOKUP(AM34,المرجع!$B$4:$C$12,2)</f>
        <v>4.75</v>
      </c>
      <c r="AO34" s="44" t="str">
        <f>VLOOKUP(AN34,المرجع!$D$4:$E$12,2)</f>
        <v>أ</v>
      </c>
      <c r="AP34" s="40">
        <f t="shared" si="7"/>
        <v>9.5</v>
      </c>
      <c r="AQ34" s="53">
        <v>3</v>
      </c>
      <c r="AR34" s="15">
        <v>99</v>
      </c>
      <c r="AS34" s="65">
        <f>VLOOKUP(AR34,المرجع!$B$4:$C$12,2)</f>
        <v>5</v>
      </c>
      <c r="AT34" s="44" t="str">
        <f>VLOOKUP(AS34,المرجع!$D$4:$E$12,2)</f>
        <v xml:space="preserve">أ+ </v>
      </c>
      <c r="AU34" s="40">
        <f t="shared" si="8"/>
        <v>15</v>
      </c>
      <c r="AV34" s="53">
        <v>2</v>
      </c>
      <c r="AW34" s="15">
        <v>69</v>
      </c>
      <c r="AX34" s="65">
        <f>VLOOKUP(AW34,المرجع!$B$4:$C$12,2)</f>
        <v>2.5</v>
      </c>
      <c r="AY34" s="44" t="str">
        <f>VLOOKUP(AX34,المرجع!$D$4:$E$12,2)</f>
        <v>د+</v>
      </c>
      <c r="AZ34" s="40">
        <f t="shared" si="9"/>
        <v>5</v>
      </c>
      <c r="BA34" s="53">
        <v>2</v>
      </c>
      <c r="BB34" s="15">
        <v>60</v>
      </c>
      <c r="BC34" s="65">
        <f>VLOOKUP(BB34,المرجع!$B$4:$C$12,2)</f>
        <v>2</v>
      </c>
      <c r="BD34" s="44" t="str">
        <f>VLOOKUP(BC34,المرجع!$D$4:$E$12,2)</f>
        <v>د</v>
      </c>
      <c r="BE34" s="40">
        <f t="shared" si="10"/>
        <v>4</v>
      </c>
      <c r="BF34" s="56">
        <v>97.75</v>
      </c>
      <c r="BG34" s="58">
        <f t="shared" si="11"/>
        <v>24</v>
      </c>
      <c r="BH34" s="60">
        <v>4.25</v>
      </c>
      <c r="BI34" s="92">
        <v>3.76</v>
      </c>
      <c r="BJ34" s="59" t="s">
        <v>122</v>
      </c>
      <c r="BK34" s="108">
        <v>20</v>
      </c>
    </row>
    <row r="35" spans="1:63" ht="28.5" hidden="1">
      <c r="A35" s="107">
        <v>2023072</v>
      </c>
      <c r="B35" s="70" t="s">
        <v>58</v>
      </c>
      <c r="C35" s="53">
        <v>1</v>
      </c>
      <c r="D35" s="15">
        <v>90</v>
      </c>
      <c r="E35" s="65">
        <f>VLOOKUP(D35,المرجع!$B$4:$C$12,2)</f>
        <v>4.75</v>
      </c>
      <c r="F35" s="44" t="str">
        <f>VLOOKUP(E35,المرجع!$D$4:$E$12,2)</f>
        <v>أ</v>
      </c>
      <c r="G35" s="40">
        <f t="shared" si="0"/>
        <v>4.75</v>
      </c>
      <c r="H35" s="53">
        <v>2</v>
      </c>
      <c r="I35" s="15">
        <v>83</v>
      </c>
      <c r="J35" s="65">
        <f>VLOOKUP(I35,المرجع!$B$4:$C$12,2)</f>
        <v>4</v>
      </c>
      <c r="K35" s="44" t="str">
        <f>VLOOKUP(J35,المرجع!$D$4:$E$12,2)</f>
        <v>ب</v>
      </c>
      <c r="L35" s="40">
        <f t="shared" si="1"/>
        <v>8</v>
      </c>
      <c r="M35" s="53">
        <v>3</v>
      </c>
      <c r="N35" s="15">
        <v>100</v>
      </c>
      <c r="O35" s="65">
        <f>VLOOKUP(N35,المرجع!$B$4:$C$12,2)</f>
        <v>5</v>
      </c>
      <c r="P35" s="44" t="str">
        <f>VLOOKUP(O35,المرجع!$D$4:$E$12,2)</f>
        <v xml:space="preserve">أ+ </v>
      </c>
      <c r="Q35" s="40">
        <f t="shared" si="2"/>
        <v>15</v>
      </c>
      <c r="R35" s="53">
        <v>2</v>
      </c>
      <c r="S35" s="15">
        <v>90</v>
      </c>
      <c r="T35" s="65">
        <f>VLOOKUP(S35,المرجع!$B$4:$C$12,2)</f>
        <v>4.75</v>
      </c>
      <c r="U35" s="44" t="str">
        <f>VLOOKUP(T35,المرجع!$D$4:$E$12,2)</f>
        <v>أ</v>
      </c>
      <c r="V35" s="40">
        <f t="shared" si="3"/>
        <v>9.5</v>
      </c>
      <c r="W35" s="53">
        <v>2</v>
      </c>
      <c r="X35" s="15">
        <v>98</v>
      </c>
      <c r="Y35" s="65">
        <f>VLOOKUP(X35,المرجع!$B$4:$C$12,2)</f>
        <v>5</v>
      </c>
      <c r="Z35" s="44" t="str">
        <f>VLOOKUP(Y35,المرجع!$D$4:$E$12,2)</f>
        <v xml:space="preserve">أ+ </v>
      </c>
      <c r="AA35" s="40">
        <f t="shared" si="4"/>
        <v>10</v>
      </c>
      <c r="AB35" s="53">
        <v>3</v>
      </c>
      <c r="AC35" s="15">
        <v>85</v>
      </c>
      <c r="AD35" s="65">
        <f>VLOOKUP(AC35,المرجع!$B$4:$C$12,2)</f>
        <v>4.5</v>
      </c>
      <c r="AE35" s="44" t="str">
        <f>VLOOKUP(AD35,المرجع!$D$4:$E$12,2)</f>
        <v>ب+</v>
      </c>
      <c r="AF35" s="40">
        <f t="shared" si="5"/>
        <v>13.5</v>
      </c>
      <c r="AG35" s="53">
        <v>2</v>
      </c>
      <c r="AH35" s="15">
        <v>93</v>
      </c>
      <c r="AI35" s="65">
        <f>VLOOKUP(AH35,المرجع!$B$4:$C$12,2)</f>
        <v>4.75</v>
      </c>
      <c r="AJ35" s="44" t="str">
        <f>VLOOKUP(AI35,المرجع!$D$4:$E$12,2)</f>
        <v>أ</v>
      </c>
      <c r="AK35" s="40">
        <f t="shared" si="6"/>
        <v>9.5</v>
      </c>
      <c r="AL35" s="53">
        <v>2</v>
      </c>
      <c r="AM35" s="15">
        <v>85</v>
      </c>
      <c r="AN35" s="65">
        <f>VLOOKUP(AM35,المرجع!$B$4:$C$12,2)</f>
        <v>4.5</v>
      </c>
      <c r="AO35" s="44" t="str">
        <f>VLOOKUP(AN35,المرجع!$D$4:$E$12,2)</f>
        <v>ب+</v>
      </c>
      <c r="AP35" s="40">
        <f t="shared" si="7"/>
        <v>9</v>
      </c>
      <c r="AQ35" s="53">
        <v>3</v>
      </c>
      <c r="AR35" s="15">
        <v>67</v>
      </c>
      <c r="AS35" s="65">
        <f>VLOOKUP(AR35,المرجع!$B$4:$C$12,2)</f>
        <v>2.5</v>
      </c>
      <c r="AT35" s="44" t="str">
        <f>VLOOKUP(AS35,المرجع!$D$4:$E$12,2)</f>
        <v>د+</v>
      </c>
      <c r="AU35" s="40">
        <f t="shared" si="8"/>
        <v>7.5</v>
      </c>
      <c r="AV35" s="53">
        <v>2</v>
      </c>
      <c r="AW35" s="15">
        <v>50</v>
      </c>
      <c r="AX35" s="65">
        <f>VLOOKUP(AW35,المرجع!$B$4:$C$12,2)</f>
        <v>2</v>
      </c>
      <c r="AY35" s="44" t="str">
        <f>VLOOKUP(AX35,المرجع!$D$4:$E$12,2)</f>
        <v>د</v>
      </c>
      <c r="AZ35" s="40">
        <f t="shared" si="9"/>
        <v>4</v>
      </c>
      <c r="BA35" s="53">
        <v>2</v>
      </c>
      <c r="BB35" s="15">
        <v>67</v>
      </c>
      <c r="BC35" s="65">
        <f>VLOOKUP(BB35,المرجع!$B$4:$C$12,2)</f>
        <v>2.5</v>
      </c>
      <c r="BD35" s="44" t="str">
        <f>VLOOKUP(BC35,المرجع!$D$4:$E$12,2)</f>
        <v>د+</v>
      </c>
      <c r="BE35" s="40">
        <f t="shared" si="10"/>
        <v>5</v>
      </c>
      <c r="BF35" s="56">
        <v>90.5</v>
      </c>
      <c r="BG35" s="58">
        <f t="shared" si="11"/>
        <v>24</v>
      </c>
      <c r="BH35" s="60">
        <v>3.93</v>
      </c>
      <c r="BI35" s="92">
        <v>3.76</v>
      </c>
      <c r="BJ35" s="59" t="s">
        <v>120</v>
      </c>
      <c r="BK35" s="108">
        <v>34</v>
      </c>
    </row>
    <row r="36" spans="1:63" ht="28.5" hidden="1">
      <c r="A36" s="107">
        <v>2023081</v>
      </c>
      <c r="B36" s="70" t="s">
        <v>52</v>
      </c>
      <c r="C36" s="53">
        <v>1</v>
      </c>
      <c r="D36" s="15">
        <v>93</v>
      </c>
      <c r="E36" s="65">
        <f>VLOOKUP(D36,المرجع!$B$4:$C$12,2)</f>
        <v>4.75</v>
      </c>
      <c r="F36" s="44" t="str">
        <f>VLOOKUP(E36,المرجع!$D$4:$E$12,2)</f>
        <v>أ</v>
      </c>
      <c r="G36" s="40">
        <f t="shared" si="0"/>
        <v>4.75</v>
      </c>
      <c r="H36" s="53">
        <v>2</v>
      </c>
      <c r="I36" s="15">
        <v>85</v>
      </c>
      <c r="J36" s="65">
        <f>VLOOKUP(I36,المرجع!$B$4:$C$12,2)</f>
        <v>4.5</v>
      </c>
      <c r="K36" s="44" t="str">
        <f>VLOOKUP(J36,المرجع!$D$4:$E$12,2)</f>
        <v>ب+</v>
      </c>
      <c r="L36" s="40">
        <f t="shared" si="1"/>
        <v>9</v>
      </c>
      <c r="M36" s="53">
        <v>3</v>
      </c>
      <c r="N36" s="15">
        <v>80</v>
      </c>
      <c r="O36" s="65">
        <f>VLOOKUP(N36,المرجع!$B$4:$C$12,2)</f>
        <v>4</v>
      </c>
      <c r="P36" s="44" t="str">
        <f>VLOOKUP(O36,المرجع!$D$4:$E$12,2)</f>
        <v>ب</v>
      </c>
      <c r="Q36" s="40">
        <f t="shared" si="2"/>
        <v>12</v>
      </c>
      <c r="R36" s="53">
        <v>2</v>
      </c>
      <c r="S36" s="15">
        <v>92</v>
      </c>
      <c r="T36" s="65">
        <f>VLOOKUP(S36,المرجع!$B$4:$C$12,2)</f>
        <v>4.75</v>
      </c>
      <c r="U36" s="44" t="str">
        <f>VLOOKUP(T36,المرجع!$D$4:$E$12,2)</f>
        <v>أ</v>
      </c>
      <c r="V36" s="40">
        <f t="shared" si="3"/>
        <v>9.5</v>
      </c>
      <c r="W36" s="53">
        <v>2</v>
      </c>
      <c r="X36" s="15">
        <v>99</v>
      </c>
      <c r="Y36" s="65">
        <f>VLOOKUP(X36,المرجع!$B$4:$C$12,2)</f>
        <v>5</v>
      </c>
      <c r="Z36" s="44" t="str">
        <f>VLOOKUP(Y36,المرجع!$D$4:$E$12,2)</f>
        <v xml:space="preserve">أ+ </v>
      </c>
      <c r="AA36" s="40">
        <f t="shared" si="4"/>
        <v>10</v>
      </c>
      <c r="AB36" s="53">
        <v>3</v>
      </c>
      <c r="AC36" s="15">
        <v>71</v>
      </c>
      <c r="AD36" s="65">
        <f>VLOOKUP(AC36,المرجع!$B$4:$C$12,2)</f>
        <v>3</v>
      </c>
      <c r="AE36" s="44" t="str">
        <f>VLOOKUP(AD36,المرجع!$D$4:$E$12,2)</f>
        <v>ج</v>
      </c>
      <c r="AF36" s="40">
        <f t="shared" si="5"/>
        <v>9</v>
      </c>
      <c r="AG36" s="53">
        <v>2</v>
      </c>
      <c r="AH36" s="15">
        <v>92</v>
      </c>
      <c r="AI36" s="65">
        <f>VLOOKUP(AH36,المرجع!$B$4:$C$12,2)</f>
        <v>4.75</v>
      </c>
      <c r="AJ36" s="44" t="str">
        <f>VLOOKUP(AI36,المرجع!$D$4:$E$12,2)</f>
        <v>أ</v>
      </c>
      <c r="AK36" s="40">
        <f t="shared" si="6"/>
        <v>9.5</v>
      </c>
      <c r="AL36" s="53">
        <v>2</v>
      </c>
      <c r="AM36" s="15">
        <v>60</v>
      </c>
      <c r="AN36" s="65">
        <f>VLOOKUP(AM36,المرجع!$B$4:$C$12,2)</f>
        <v>2</v>
      </c>
      <c r="AO36" s="44" t="str">
        <f>VLOOKUP(AN36,المرجع!$D$4:$E$12,2)</f>
        <v>د</v>
      </c>
      <c r="AP36" s="40">
        <f t="shared" si="7"/>
        <v>4</v>
      </c>
      <c r="AQ36" s="53">
        <v>3</v>
      </c>
      <c r="AR36" s="15">
        <v>92</v>
      </c>
      <c r="AS36" s="65">
        <f>VLOOKUP(AR36,المرجع!$B$4:$C$12,2)</f>
        <v>4.75</v>
      </c>
      <c r="AT36" s="44" t="str">
        <f>VLOOKUP(AS36,المرجع!$D$4:$E$12,2)</f>
        <v>أ</v>
      </c>
      <c r="AU36" s="40">
        <f t="shared" si="8"/>
        <v>14.25</v>
      </c>
      <c r="AV36" s="53">
        <v>2</v>
      </c>
      <c r="AW36" s="15">
        <v>60</v>
      </c>
      <c r="AX36" s="65">
        <f>VLOOKUP(AW36,المرجع!$B$4:$C$12,2)</f>
        <v>2</v>
      </c>
      <c r="AY36" s="44" t="str">
        <f>VLOOKUP(AX36,المرجع!$D$4:$E$12,2)</f>
        <v>د</v>
      </c>
      <c r="AZ36" s="40">
        <f t="shared" si="9"/>
        <v>4</v>
      </c>
      <c r="BA36" s="53">
        <v>2</v>
      </c>
      <c r="BB36" s="15">
        <v>76</v>
      </c>
      <c r="BC36" s="65">
        <f>VLOOKUP(BB36,المرجع!$B$4:$C$12,2)</f>
        <v>3.5</v>
      </c>
      <c r="BD36" s="44" t="str">
        <f>VLOOKUP(BC36,المرجع!$D$4:$E$12,2)</f>
        <v>ج+</v>
      </c>
      <c r="BE36" s="40">
        <f t="shared" si="10"/>
        <v>7</v>
      </c>
      <c r="BF36" s="56">
        <v>90.75</v>
      </c>
      <c r="BG36" s="58">
        <f t="shared" si="11"/>
        <v>24</v>
      </c>
      <c r="BH36" s="60">
        <v>3.94</v>
      </c>
      <c r="BI36" s="92">
        <v>3.6695652173913045</v>
      </c>
      <c r="BJ36" s="59" t="s">
        <v>120</v>
      </c>
      <c r="BK36" s="108">
        <v>32</v>
      </c>
    </row>
    <row r="37" spans="1:63" ht="28.5" hidden="1">
      <c r="A37" s="107">
        <v>2023046</v>
      </c>
      <c r="B37" s="70" t="s">
        <v>12</v>
      </c>
      <c r="C37" s="53">
        <v>1</v>
      </c>
      <c r="D37" s="15">
        <v>94</v>
      </c>
      <c r="E37" s="65">
        <f>VLOOKUP(D37,المرجع!$B$4:$C$12,2)</f>
        <v>4.75</v>
      </c>
      <c r="F37" s="44" t="str">
        <f>VLOOKUP(E37,المرجع!$D$4:$E$12,2)</f>
        <v>أ</v>
      </c>
      <c r="G37" s="40">
        <f t="shared" si="0"/>
        <v>4.75</v>
      </c>
      <c r="H37" s="53">
        <v>2</v>
      </c>
      <c r="I37" s="15">
        <v>99</v>
      </c>
      <c r="J37" s="65">
        <f>VLOOKUP(I37,المرجع!$B$4:$C$12,2)</f>
        <v>5</v>
      </c>
      <c r="K37" s="44" t="str">
        <f>VLOOKUP(J37,المرجع!$D$4:$E$12,2)</f>
        <v xml:space="preserve">أ+ </v>
      </c>
      <c r="L37" s="40">
        <f t="shared" si="1"/>
        <v>10</v>
      </c>
      <c r="M37" s="53">
        <v>3</v>
      </c>
      <c r="N37" s="15">
        <v>100</v>
      </c>
      <c r="O37" s="65">
        <f>VLOOKUP(N37,المرجع!$B$4:$C$12,2)</f>
        <v>5</v>
      </c>
      <c r="P37" s="44" t="str">
        <f>VLOOKUP(O37,المرجع!$D$4:$E$12,2)</f>
        <v xml:space="preserve">أ+ </v>
      </c>
      <c r="Q37" s="40">
        <f t="shared" si="2"/>
        <v>15</v>
      </c>
      <c r="R37" s="53">
        <v>2</v>
      </c>
      <c r="S37" s="15">
        <v>89</v>
      </c>
      <c r="T37" s="65">
        <f>VLOOKUP(S37,المرجع!$B$4:$C$12,2)</f>
        <v>4.5</v>
      </c>
      <c r="U37" s="44" t="str">
        <f>VLOOKUP(T37,المرجع!$D$4:$E$12,2)</f>
        <v>ب+</v>
      </c>
      <c r="V37" s="40">
        <f t="shared" si="3"/>
        <v>9</v>
      </c>
      <c r="W37" s="53">
        <v>2</v>
      </c>
      <c r="X37" s="15">
        <v>97</v>
      </c>
      <c r="Y37" s="65">
        <f>VLOOKUP(X37,المرجع!$B$4:$C$12,2)</f>
        <v>5</v>
      </c>
      <c r="Z37" s="44" t="str">
        <f>VLOOKUP(Y37,المرجع!$D$4:$E$12,2)</f>
        <v xml:space="preserve">أ+ </v>
      </c>
      <c r="AA37" s="40">
        <f t="shared" si="4"/>
        <v>10</v>
      </c>
      <c r="AB37" s="53">
        <v>3</v>
      </c>
      <c r="AC37" s="15">
        <v>38</v>
      </c>
      <c r="AD37" s="65">
        <f>VLOOKUP(AC37,المرجع!$B$4:$C$12,2)</f>
        <v>0</v>
      </c>
      <c r="AE37" s="44" t="str">
        <f>VLOOKUP(AD37,المرجع!$D$4:$E$12,2)</f>
        <v>ه</v>
      </c>
      <c r="AF37" s="40">
        <f t="shared" si="5"/>
        <v>0</v>
      </c>
      <c r="AG37" s="53">
        <v>2</v>
      </c>
      <c r="AH37" s="15">
        <v>89</v>
      </c>
      <c r="AI37" s="65">
        <f>VLOOKUP(AH37,المرجع!$B$4:$C$12,2)</f>
        <v>4.5</v>
      </c>
      <c r="AJ37" s="44" t="str">
        <f>VLOOKUP(AI37,المرجع!$D$4:$E$12,2)</f>
        <v>ب+</v>
      </c>
      <c r="AK37" s="40">
        <f t="shared" si="6"/>
        <v>9</v>
      </c>
      <c r="AL37" s="53">
        <v>2</v>
      </c>
      <c r="AM37" s="15">
        <v>92</v>
      </c>
      <c r="AN37" s="65">
        <f>VLOOKUP(AM37,المرجع!$B$4:$C$12,2)</f>
        <v>4.75</v>
      </c>
      <c r="AO37" s="44" t="str">
        <f>VLOOKUP(AN37,المرجع!$D$4:$E$12,2)</f>
        <v>أ</v>
      </c>
      <c r="AP37" s="40">
        <f t="shared" si="7"/>
        <v>9.5</v>
      </c>
      <c r="AQ37" s="53">
        <v>3</v>
      </c>
      <c r="AR37" s="15">
        <v>96</v>
      </c>
      <c r="AS37" s="65">
        <f>VLOOKUP(AR37,المرجع!$B$4:$C$12,2)</f>
        <v>5</v>
      </c>
      <c r="AT37" s="44" t="str">
        <f>VLOOKUP(AS37,المرجع!$D$4:$E$12,2)</f>
        <v xml:space="preserve">أ+ </v>
      </c>
      <c r="AU37" s="40">
        <f t="shared" si="8"/>
        <v>15</v>
      </c>
      <c r="AV37" s="53">
        <v>2</v>
      </c>
      <c r="AW37" s="15">
        <v>61</v>
      </c>
      <c r="AX37" s="65">
        <f>VLOOKUP(AW37,المرجع!$B$4:$C$12,2)</f>
        <v>2</v>
      </c>
      <c r="AY37" s="44" t="str">
        <f>VLOOKUP(AX37,المرجع!$D$4:$E$12,2)</f>
        <v>د</v>
      </c>
      <c r="AZ37" s="40">
        <f t="shared" si="9"/>
        <v>4</v>
      </c>
      <c r="BA37" s="53">
        <v>2</v>
      </c>
      <c r="BB37" s="15">
        <v>31</v>
      </c>
      <c r="BC37" s="65">
        <f>VLOOKUP(BB37,المرجع!$B$4:$C$12,2)</f>
        <v>0</v>
      </c>
      <c r="BD37" s="44" t="str">
        <f>VLOOKUP(BC37,المرجع!$D$4:$E$12,2)</f>
        <v>ه</v>
      </c>
      <c r="BE37" s="40">
        <f t="shared" si="10"/>
        <v>0</v>
      </c>
      <c r="BF37" s="56">
        <v>80.75</v>
      </c>
      <c r="BG37" s="58">
        <f t="shared" si="11"/>
        <v>24</v>
      </c>
      <c r="BH37" s="60">
        <v>3.51</v>
      </c>
      <c r="BI37" s="92">
        <v>3.59</v>
      </c>
      <c r="BJ37" s="59" t="s">
        <v>118</v>
      </c>
      <c r="BK37" s="108">
        <v>46</v>
      </c>
    </row>
    <row r="38" spans="1:63" ht="28.5" hidden="1">
      <c r="A38" s="107">
        <v>2023100</v>
      </c>
      <c r="B38" s="70" t="s">
        <v>72</v>
      </c>
      <c r="C38" s="53">
        <v>1</v>
      </c>
      <c r="D38" s="15">
        <v>92</v>
      </c>
      <c r="E38" s="65">
        <f>VLOOKUP(D38,المرجع!$B$4:$C$12,2)</f>
        <v>4.75</v>
      </c>
      <c r="F38" s="44" t="str">
        <f>VLOOKUP(E38,المرجع!$D$4:$E$12,2)</f>
        <v>أ</v>
      </c>
      <c r="G38" s="40">
        <f t="shared" si="0"/>
        <v>4.75</v>
      </c>
      <c r="H38" s="53">
        <v>2</v>
      </c>
      <c r="I38" s="15">
        <v>75</v>
      </c>
      <c r="J38" s="65">
        <f>VLOOKUP(I38,المرجع!$B$4:$C$12,2)</f>
        <v>3.5</v>
      </c>
      <c r="K38" s="44" t="str">
        <f>VLOOKUP(J38,المرجع!$D$4:$E$12,2)</f>
        <v>ج+</v>
      </c>
      <c r="L38" s="40">
        <f t="shared" si="1"/>
        <v>7</v>
      </c>
      <c r="M38" s="53">
        <v>3</v>
      </c>
      <c r="N38" s="15">
        <v>95</v>
      </c>
      <c r="O38" s="65">
        <f>VLOOKUP(N38,المرجع!$B$4:$C$12,2)</f>
        <v>5</v>
      </c>
      <c r="P38" s="44" t="str">
        <f>VLOOKUP(O38,المرجع!$D$4:$E$12,2)</f>
        <v xml:space="preserve">أ+ </v>
      </c>
      <c r="Q38" s="40">
        <f t="shared" si="2"/>
        <v>15</v>
      </c>
      <c r="R38" s="53">
        <v>2</v>
      </c>
      <c r="S38" s="15">
        <v>83</v>
      </c>
      <c r="T38" s="65">
        <f>VLOOKUP(S38,المرجع!$B$4:$C$12,2)</f>
        <v>4</v>
      </c>
      <c r="U38" s="44" t="str">
        <f>VLOOKUP(T38,المرجع!$D$4:$E$12,2)</f>
        <v>ب</v>
      </c>
      <c r="V38" s="40">
        <f t="shared" si="3"/>
        <v>8</v>
      </c>
      <c r="W38" s="53">
        <v>2</v>
      </c>
      <c r="X38" s="15">
        <v>94</v>
      </c>
      <c r="Y38" s="65">
        <f>VLOOKUP(X38,المرجع!$B$4:$C$12,2)</f>
        <v>4.75</v>
      </c>
      <c r="Z38" s="44" t="str">
        <f>VLOOKUP(Y38,المرجع!$D$4:$E$12,2)</f>
        <v>أ</v>
      </c>
      <c r="AA38" s="40">
        <f t="shared" si="4"/>
        <v>9.5</v>
      </c>
      <c r="AB38" s="53">
        <v>3</v>
      </c>
      <c r="AC38" s="15">
        <v>53</v>
      </c>
      <c r="AD38" s="65">
        <f>VLOOKUP(AC38,المرجع!$B$4:$C$12,2)</f>
        <v>2</v>
      </c>
      <c r="AE38" s="44" t="str">
        <f>VLOOKUP(AD38,المرجع!$D$4:$E$12,2)</f>
        <v>د</v>
      </c>
      <c r="AF38" s="40">
        <f t="shared" si="5"/>
        <v>6</v>
      </c>
      <c r="AG38" s="53">
        <v>2</v>
      </c>
      <c r="AH38" s="15">
        <v>98</v>
      </c>
      <c r="AI38" s="65">
        <f>VLOOKUP(AH38,المرجع!$B$4:$C$12,2)</f>
        <v>5</v>
      </c>
      <c r="AJ38" s="44" t="str">
        <f>VLOOKUP(AI38,المرجع!$D$4:$E$12,2)</f>
        <v xml:space="preserve">أ+ </v>
      </c>
      <c r="AK38" s="40">
        <f t="shared" si="6"/>
        <v>10</v>
      </c>
      <c r="AL38" s="53">
        <v>2</v>
      </c>
      <c r="AM38" s="15">
        <v>72</v>
      </c>
      <c r="AN38" s="65">
        <f>VLOOKUP(AM38,المرجع!$B$4:$C$12,2)</f>
        <v>3</v>
      </c>
      <c r="AO38" s="44" t="str">
        <f>VLOOKUP(AN38,المرجع!$D$4:$E$12,2)</f>
        <v>ج</v>
      </c>
      <c r="AP38" s="40">
        <f t="shared" si="7"/>
        <v>6</v>
      </c>
      <c r="AQ38" s="53">
        <v>3</v>
      </c>
      <c r="AR38" s="15">
        <v>97</v>
      </c>
      <c r="AS38" s="65">
        <f>VLOOKUP(AR38,المرجع!$B$4:$C$12,2)</f>
        <v>5</v>
      </c>
      <c r="AT38" s="44" t="str">
        <f>VLOOKUP(AS38,المرجع!$D$4:$E$12,2)</f>
        <v xml:space="preserve">أ+ </v>
      </c>
      <c r="AU38" s="40">
        <f t="shared" si="8"/>
        <v>15</v>
      </c>
      <c r="AV38" s="53">
        <v>2</v>
      </c>
      <c r="AW38" s="15">
        <v>50</v>
      </c>
      <c r="AX38" s="65">
        <f>VLOOKUP(AW38,المرجع!$B$4:$C$12,2)</f>
        <v>2</v>
      </c>
      <c r="AY38" s="44" t="str">
        <f>VLOOKUP(AX38,المرجع!$D$4:$E$12,2)</f>
        <v>د</v>
      </c>
      <c r="AZ38" s="40">
        <f t="shared" si="9"/>
        <v>4</v>
      </c>
      <c r="BA38" s="53">
        <v>2</v>
      </c>
      <c r="BB38" s="15">
        <v>71</v>
      </c>
      <c r="BC38" s="65">
        <f>VLOOKUP(BB38,المرجع!$B$4:$C$12,2)</f>
        <v>3</v>
      </c>
      <c r="BD38" s="44" t="str">
        <f>VLOOKUP(BC38,المرجع!$D$4:$E$12,2)</f>
        <v>ج</v>
      </c>
      <c r="BE38" s="40">
        <f t="shared" si="10"/>
        <v>6</v>
      </c>
      <c r="BF38" s="56">
        <v>85</v>
      </c>
      <c r="BG38" s="58">
        <f t="shared" si="11"/>
        <v>24</v>
      </c>
      <c r="BH38" s="60">
        <v>3.69</v>
      </c>
      <c r="BI38" s="92">
        <v>3.62</v>
      </c>
      <c r="BJ38" s="59" t="s">
        <v>120</v>
      </c>
      <c r="BK38" s="108">
        <v>40</v>
      </c>
    </row>
    <row r="39" spans="1:63" ht="28.5" hidden="1">
      <c r="A39" s="107">
        <v>2023091</v>
      </c>
      <c r="B39" s="70" t="s">
        <v>70</v>
      </c>
      <c r="C39" s="53">
        <v>1</v>
      </c>
      <c r="D39" s="15">
        <v>80</v>
      </c>
      <c r="E39" s="65">
        <f>VLOOKUP(D39,المرجع!$B$4:$C$12,2)</f>
        <v>4</v>
      </c>
      <c r="F39" s="44" t="str">
        <f>VLOOKUP(E39,المرجع!$D$4:$E$12,2)</f>
        <v>ب</v>
      </c>
      <c r="G39" s="40">
        <f t="shared" si="0"/>
        <v>4</v>
      </c>
      <c r="H39" s="53">
        <v>2</v>
      </c>
      <c r="I39" s="15">
        <v>90</v>
      </c>
      <c r="J39" s="65">
        <f>VLOOKUP(I39,المرجع!$B$4:$C$12,2)</f>
        <v>4.75</v>
      </c>
      <c r="K39" s="44" t="str">
        <f>VLOOKUP(J39,المرجع!$D$4:$E$12,2)</f>
        <v>أ</v>
      </c>
      <c r="L39" s="40">
        <f t="shared" si="1"/>
        <v>9.5</v>
      </c>
      <c r="M39" s="53">
        <v>3</v>
      </c>
      <c r="N39" s="15">
        <v>95</v>
      </c>
      <c r="O39" s="65">
        <f>VLOOKUP(N39,المرجع!$B$4:$C$12,2)</f>
        <v>5</v>
      </c>
      <c r="P39" s="44" t="str">
        <f>VLOOKUP(O39,المرجع!$D$4:$E$12,2)</f>
        <v xml:space="preserve">أ+ </v>
      </c>
      <c r="Q39" s="40">
        <f t="shared" si="2"/>
        <v>15</v>
      </c>
      <c r="R39" s="53">
        <v>2</v>
      </c>
      <c r="S39" s="15">
        <v>90</v>
      </c>
      <c r="T39" s="65">
        <f>VLOOKUP(S39,المرجع!$B$4:$C$12,2)</f>
        <v>4.75</v>
      </c>
      <c r="U39" s="44" t="str">
        <f>VLOOKUP(T39,المرجع!$D$4:$E$12,2)</f>
        <v>أ</v>
      </c>
      <c r="V39" s="40">
        <f t="shared" si="3"/>
        <v>9.5</v>
      </c>
      <c r="W39" s="53">
        <v>2</v>
      </c>
      <c r="X39" s="15">
        <v>94</v>
      </c>
      <c r="Y39" s="65">
        <f>VLOOKUP(X39,المرجع!$B$4:$C$12,2)</f>
        <v>4.75</v>
      </c>
      <c r="Z39" s="44" t="str">
        <f>VLOOKUP(Y39,المرجع!$D$4:$E$12,2)</f>
        <v>أ</v>
      </c>
      <c r="AA39" s="40">
        <f t="shared" si="4"/>
        <v>9.5</v>
      </c>
      <c r="AB39" s="53">
        <v>3</v>
      </c>
      <c r="AC39" s="15">
        <v>66</v>
      </c>
      <c r="AD39" s="65">
        <f>VLOOKUP(AC39,المرجع!$B$4:$C$12,2)</f>
        <v>2.5</v>
      </c>
      <c r="AE39" s="44" t="str">
        <f>VLOOKUP(AD39,المرجع!$D$4:$E$12,2)</f>
        <v>د+</v>
      </c>
      <c r="AF39" s="40">
        <f t="shared" si="5"/>
        <v>7.5</v>
      </c>
      <c r="AG39" s="53">
        <v>2</v>
      </c>
      <c r="AH39" s="15">
        <v>99</v>
      </c>
      <c r="AI39" s="65">
        <f>VLOOKUP(AH39,المرجع!$B$4:$C$12,2)</f>
        <v>5</v>
      </c>
      <c r="AJ39" s="44" t="str">
        <f>VLOOKUP(AI39,المرجع!$D$4:$E$12,2)</f>
        <v xml:space="preserve">أ+ </v>
      </c>
      <c r="AK39" s="40">
        <f t="shared" si="6"/>
        <v>10</v>
      </c>
      <c r="AL39" s="53">
        <v>2</v>
      </c>
      <c r="AM39" s="15">
        <v>75</v>
      </c>
      <c r="AN39" s="65">
        <f>VLOOKUP(AM39,المرجع!$B$4:$C$12,2)</f>
        <v>3.5</v>
      </c>
      <c r="AO39" s="44" t="str">
        <f>VLOOKUP(AN39,المرجع!$D$4:$E$12,2)</f>
        <v>ج+</v>
      </c>
      <c r="AP39" s="40">
        <f t="shared" si="7"/>
        <v>7</v>
      </c>
      <c r="AQ39" s="53">
        <v>3</v>
      </c>
      <c r="AR39" s="15">
        <v>90</v>
      </c>
      <c r="AS39" s="65">
        <f>VLOOKUP(AR39,المرجع!$B$4:$C$12,2)</f>
        <v>4.75</v>
      </c>
      <c r="AT39" s="44" t="str">
        <f>VLOOKUP(AS39,المرجع!$D$4:$E$12,2)</f>
        <v>أ</v>
      </c>
      <c r="AU39" s="40">
        <f t="shared" si="8"/>
        <v>14.25</v>
      </c>
      <c r="AV39" s="53">
        <v>2</v>
      </c>
      <c r="AW39" s="15">
        <v>50</v>
      </c>
      <c r="AX39" s="65">
        <f>VLOOKUP(AW39,المرجع!$B$4:$C$12,2)</f>
        <v>2</v>
      </c>
      <c r="AY39" s="44" t="str">
        <f>VLOOKUP(AX39,المرجع!$D$4:$E$12,2)</f>
        <v>د</v>
      </c>
      <c r="AZ39" s="40">
        <f t="shared" si="9"/>
        <v>4</v>
      </c>
      <c r="BA39" s="53">
        <v>2</v>
      </c>
      <c r="BB39" s="15">
        <v>50</v>
      </c>
      <c r="BC39" s="65">
        <f>VLOOKUP(BB39,المرجع!$B$4:$C$12,2)</f>
        <v>2</v>
      </c>
      <c r="BD39" s="44" t="str">
        <f>VLOOKUP(BC39,المرجع!$D$4:$E$12,2)</f>
        <v>د</v>
      </c>
      <c r="BE39" s="40">
        <f t="shared" si="10"/>
        <v>4</v>
      </c>
      <c r="BF39" s="56">
        <v>88.75</v>
      </c>
      <c r="BG39" s="58">
        <f t="shared" si="11"/>
        <v>24</v>
      </c>
      <c r="BH39" s="60">
        <v>3.85</v>
      </c>
      <c r="BI39" s="92">
        <v>3.6</v>
      </c>
      <c r="BJ39" s="59" t="s">
        <v>120</v>
      </c>
      <c r="BK39" s="108">
        <v>37</v>
      </c>
    </row>
    <row r="40" spans="1:63" ht="28.5" hidden="1">
      <c r="A40" s="107">
        <v>2023007</v>
      </c>
      <c r="B40" s="70" t="s">
        <v>140</v>
      </c>
      <c r="C40" s="53">
        <v>1</v>
      </c>
      <c r="D40" s="15">
        <v>94</v>
      </c>
      <c r="E40" s="65">
        <f>VLOOKUP(D40,المرجع!$B$4:$C$12,2)</f>
        <v>4.75</v>
      </c>
      <c r="F40" s="44" t="str">
        <f>VLOOKUP(E40,المرجع!$D$4:$E$12,2)</f>
        <v>أ</v>
      </c>
      <c r="G40" s="40">
        <f t="shared" si="0"/>
        <v>4.75</v>
      </c>
      <c r="H40" s="53">
        <v>2</v>
      </c>
      <c r="I40" s="15">
        <v>91</v>
      </c>
      <c r="J40" s="65">
        <f>VLOOKUP(I40,المرجع!$B$4:$C$12,2)</f>
        <v>4.75</v>
      </c>
      <c r="K40" s="44" t="str">
        <f>VLOOKUP(J40,المرجع!$D$4:$E$12,2)</f>
        <v>أ</v>
      </c>
      <c r="L40" s="40">
        <f t="shared" si="1"/>
        <v>9.5</v>
      </c>
      <c r="M40" s="53">
        <v>3</v>
      </c>
      <c r="N40" s="15">
        <v>80</v>
      </c>
      <c r="O40" s="65">
        <f>VLOOKUP(N40,المرجع!$B$4:$C$12,2)</f>
        <v>4</v>
      </c>
      <c r="P40" s="44" t="str">
        <f>VLOOKUP(O40,المرجع!$D$4:$E$12,2)</f>
        <v>ب</v>
      </c>
      <c r="Q40" s="40">
        <f t="shared" si="2"/>
        <v>12</v>
      </c>
      <c r="R40" s="53">
        <v>2</v>
      </c>
      <c r="S40" s="15">
        <v>89</v>
      </c>
      <c r="T40" s="65">
        <f>VLOOKUP(S40,المرجع!$B$4:$C$12,2)</f>
        <v>4.5</v>
      </c>
      <c r="U40" s="44" t="str">
        <f>VLOOKUP(T40,المرجع!$D$4:$E$12,2)</f>
        <v>ب+</v>
      </c>
      <c r="V40" s="40">
        <f t="shared" si="3"/>
        <v>9</v>
      </c>
      <c r="W40" s="53">
        <v>2</v>
      </c>
      <c r="X40" s="15">
        <v>96</v>
      </c>
      <c r="Y40" s="65">
        <f>VLOOKUP(X40,المرجع!$B$4:$C$12,2)</f>
        <v>5</v>
      </c>
      <c r="Z40" s="44" t="str">
        <f>VLOOKUP(Y40,المرجع!$D$4:$E$12,2)</f>
        <v xml:space="preserve">أ+ </v>
      </c>
      <c r="AA40" s="40">
        <f t="shared" si="4"/>
        <v>10</v>
      </c>
      <c r="AB40" s="53">
        <v>3</v>
      </c>
      <c r="AC40" s="15">
        <v>15</v>
      </c>
      <c r="AD40" s="65">
        <f>VLOOKUP(AC40,المرجع!$B$4:$C$12,2)</f>
        <v>0</v>
      </c>
      <c r="AE40" s="44" t="str">
        <f>VLOOKUP(AD40,المرجع!$D$4:$E$12,2)</f>
        <v>ه</v>
      </c>
      <c r="AF40" s="40">
        <f t="shared" si="5"/>
        <v>0</v>
      </c>
      <c r="AG40" s="53">
        <v>2</v>
      </c>
      <c r="AH40" s="15">
        <v>89</v>
      </c>
      <c r="AI40" s="65">
        <f>VLOOKUP(AH40,المرجع!$B$4:$C$12,2)</f>
        <v>4.5</v>
      </c>
      <c r="AJ40" s="44" t="str">
        <f>VLOOKUP(AI40,المرجع!$D$4:$E$12,2)</f>
        <v>ب+</v>
      </c>
      <c r="AK40" s="40">
        <f t="shared" si="6"/>
        <v>9</v>
      </c>
      <c r="AL40" s="53">
        <v>2</v>
      </c>
      <c r="AM40" s="15">
        <v>92</v>
      </c>
      <c r="AN40" s="65">
        <f>VLOOKUP(AM40,المرجع!$B$4:$C$12,2)</f>
        <v>4.75</v>
      </c>
      <c r="AO40" s="44" t="str">
        <f>VLOOKUP(AN40,المرجع!$D$4:$E$12,2)</f>
        <v>أ</v>
      </c>
      <c r="AP40" s="40">
        <f t="shared" si="7"/>
        <v>9.5</v>
      </c>
      <c r="AQ40" s="53">
        <v>3</v>
      </c>
      <c r="AR40" s="15">
        <v>93</v>
      </c>
      <c r="AS40" s="65">
        <f>VLOOKUP(AR40,المرجع!$B$4:$C$12,2)</f>
        <v>4.75</v>
      </c>
      <c r="AT40" s="44" t="str">
        <f>VLOOKUP(AS40,المرجع!$D$4:$E$12,2)</f>
        <v>أ</v>
      </c>
      <c r="AU40" s="40">
        <f t="shared" si="8"/>
        <v>14.25</v>
      </c>
      <c r="AV40" s="53">
        <v>2</v>
      </c>
      <c r="AW40" s="15">
        <v>80</v>
      </c>
      <c r="AX40" s="65">
        <f>VLOOKUP(AW40,المرجع!$B$4:$C$12,2)</f>
        <v>4</v>
      </c>
      <c r="AY40" s="44" t="str">
        <f>VLOOKUP(AX40,المرجع!$D$4:$E$12,2)</f>
        <v>ب</v>
      </c>
      <c r="AZ40" s="40">
        <f t="shared" si="9"/>
        <v>8</v>
      </c>
      <c r="BA40" s="53">
        <v>2</v>
      </c>
      <c r="BB40" s="15">
        <v>50</v>
      </c>
      <c r="BC40" s="65">
        <f>VLOOKUP(BB40,المرجع!$B$4:$C$12,2)</f>
        <v>2</v>
      </c>
      <c r="BD40" s="44" t="str">
        <f>VLOOKUP(BC40,المرجع!$D$4:$E$12,2)</f>
        <v>د</v>
      </c>
      <c r="BE40" s="40">
        <f t="shared" si="10"/>
        <v>4</v>
      </c>
      <c r="BF40" s="56">
        <v>87.5</v>
      </c>
      <c r="BG40" s="58">
        <f t="shared" si="11"/>
        <v>24</v>
      </c>
      <c r="BH40" s="60">
        <v>3.8</v>
      </c>
      <c r="BI40" s="92">
        <v>3.59</v>
      </c>
      <c r="BJ40" s="59" t="s">
        <v>120</v>
      </c>
      <c r="BK40" s="108">
        <v>38</v>
      </c>
    </row>
    <row r="41" spans="1:63" ht="28.5" hidden="1">
      <c r="A41" s="107">
        <v>2023060</v>
      </c>
      <c r="B41" s="70" t="s">
        <v>76</v>
      </c>
      <c r="C41" s="53">
        <v>1</v>
      </c>
      <c r="D41" s="15">
        <v>97</v>
      </c>
      <c r="E41" s="65">
        <f>VLOOKUP(D41,المرجع!$B$4:$C$12,2)</f>
        <v>5</v>
      </c>
      <c r="F41" s="44" t="str">
        <f>VLOOKUP(E41,المرجع!$D$4:$E$12,2)</f>
        <v xml:space="preserve">أ+ </v>
      </c>
      <c r="G41" s="40">
        <f t="shared" si="0"/>
        <v>5</v>
      </c>
      <c r="H41" s="53">
        <v>2</v>
      </c>
      <c r="I41" s="15">
        <v>94</v>
      </c>
      <c r="J41" s="65">
        <f>VLOOKUP(I41,المرجع!$B$4:$C$12,2)</f>
        <v>4.75</v>
      </c>
      <c r="K41" s="44" t="str">
        <f>VLOOKUP(J41,المرجع!$D$4:$E$12,2)</f>
        <v>أ</v>
      </c>
      <c r="L41" s="40">
        <f t="shared" si="1"/>
        <v>9.5</v>
      </c>
      <c r="M41" s="53">
        <v>3</v>
      </c>
      <c r="N41" s="15">
        <v>100</v>
      </c>
      <c r="O41" s="65">
        <f>VLOOKUP(N41,المرجع!$B$4:$C$12,2)</f>
        <v>5</v>
      </c>
      <c r="P41" s="44" t="str">
        <f>VLOOKUP(O41,المرجع!$D$4:$E$12,2)</f>
        <v xml:space="preserve">أ+ </v>
      </c>
      <c r="Q41" s="40">
        <f t="shared" si="2"/>
        <v>15</v>
      </c>
      <c r="R41" s="53">
        <v>2</v>
      </c>
      <c r="S41" s="15">
        <v>82</v>
      </c>
      <c r="T41" s="65">
        <f>VLOOKUP(S41,المرجع!$B$4:$C$12,2)</f>
        <v>4</v>
      </c>
      <c r="U41" s="44" t="str">
        <f>VLOOKUP(T41,المرجع!$D$4:$E$12,2)</f>
        <v>ب</v>
      </c>
      <c r="V41" s="40">
        <f t="shared" si="3"/>
        <v>8</v>
      </c>
      <c r="W41" s="53">
        <v>2</v>
      </c>
      <c r="X41" s="15">
        <v>80</v>
      </c>
      <c r="Y41" s="65">
        <f>VLOOKUP(X41,المرجع!$B$4:$C$12,2)</f>
        <v>4</v>
      </c>
      <c r="Z41" s="44" t="str">
        <f>VLOOKUP(Y41,المرجع!$D$4:$E$12,2)</f>
        <v>ب</v>
      </c>
      <c r="AA41" s="40">
        <f t="shared" si="4"/>
        <v>8</v>
      </c>
      <c r="AB41" s="53">
        <v>3</v>
      </c>
      <c r="AC41" s="15">
        <v>50</v>
      </c>
      <c r="AD41" s="65">
        <f>VLOOKUP(AC41,المرجع!$B$4:$C$12,2)</f>
        <v>2</v>
      </c>
      <c r="AE41" s="44" t="str">
        <f>VLOOKUP(AD41,المرجع!$D$4:$E$12,2)</f>
        <v>د</v>
      </c>
      <c r="AF41" s="40">
        <f t="shared" si="5"/>
        <v>6</v>
      </c>
      <c r="AG41" s="53">
        <v>2</v>
      </c>
      <c r="AH41" s="15">
        <v>89</v>
      </c>
      <c r="AI41" s="65">
        <f>VLOOKUP(AH41,المرجع!$B$4:$C$12,2)</f>
        <v>4.5</v>
      </c>
      <c r="AJ41" s="44" t="str">
        <f>VLOOKUP(AI41,المرجع!$D$4:$E$12,2)</f>
        <v>ب+</v>
      </c>
      <c r="AK41" s="40">
        <f t="shared" si="6"/>
        <v>9</v>
      </c>
      <c r="AL41" s="53">
        <v>2</v>
      </c>
      <c r="AM41" s="15">
        <v>60</v>
      </c>
      <c r="AN41" s="65">
        <f>VLOOKUP(AM41,المرجع!$B$4:$C$12,2)</f>
        <v>2</v>
      </c>
      <c r="AO41" s="44" t="str">
        <f>VLOOKUP(AN41,المرجع!$D$4:$E$12,2)</f>
        <v>د</v>
      </c>
      <c r="AP41" s="40">
        <f t="shared" si="7"/>
        <v>4</v>
      </c>
      <c r="AQ41" s="53">
        <v>3</v>
      </c>
      <c r="AR41" s="15">
        <v>97</v>
      </c>
      <c r="AS41" s="65">
        <f>VLOOKUP(AR41,المرجع!$B$4:$C$12,2)</f>
        <v>5</v>
      </c>
      <c r="AT41" s="44" t="str">
        <f>VLOOKUP(AS41,المرجع!$D$4:$E$12,2)</f>
        <v xml:space="preserve">أ+ </v>
      </c>
      <c r="AU41" s="40">
        <f t="shared" si="8"/>
        <v>15</v>
      </c>
      <c r="AV41" s="53">
        <v>2</v>
      </c>
      <c r="AW41" s="15">
        <v>70</v>
      </c>
      <c r="AX41" s="65">
        <f>VLOOKUP(AW41,المرجع!$B$4:$C$12,2)</f>
        <v>3</v>
      </c>
      <c r="AY41" s="44" t="str">
        <f>VLOOKUP(AX41,المرجع!$D$4:$E$12,2)</f>
        <v>ج</v>
      </c>
      <c r="AZ41" s="40">
        <f t="shared" si="9"/>
        <v>6</v>
      </c>
      <c r="BA41" s="53">
        <v>2</v>
      </c>
      <c r="BB41" s="15">
        <v>50</v>
      </c>
      <c r="BC41" s="65">
        <f>VLOOKUP(BB41,المرجع!$B$4:$C$12,2)</f>
        <v>2</v>
      </c>
      <c r="BD41" s="44" t="str">
        <f>VLOOKUP(BC41,المرجع!$D$4:$E$12,2)</f>
        <v>د</v>
      </c>
      <c r="BE41" s="40">
        <f t="shared" si="10"/>
        <v>4</v>
      </c>
      <c r="BF41" s="56">
        <v>82.5</v>
      </c>
      <c r="BG41" s="58">
        <f t="shared" si="11"/>
        <v>24</v>
      </c>
      <c r="BH41" s="60">
        <v>3.58</v>
      </c>
      <c r="BI41" s="92">
        <v>3.54</v>
      </c>
      <c r="BJ41" s="59" t="s">
        <v>118</v>
      </c>
      <c r="BK41" s="108">
        <v>41</v>
      </c>
    </row>
    <row r="42" spans="1:63" ht="28.5" hidden="1">
      <c r="A42" s="107">
        <v>2023070</v>
      </c>
      <c r="B42" s="70" t="s">
        <v>62</v>
      </c>
      <c r="C42" s="53">
        <v>1</v>
      </c>
      <c r="D42" s="15">
        <v>82</v>
      </c>
      <c r="E42" s="65">
        <f>VLOOKUP(D42,المرجع!$B$4:$C$12,2)</f>
        <v>4</v>
      </c>
      <c r="F42" s="44" t="str">
        <f>VLOOKUP(E42,المرجع!$D$4:$E$12,2)</f>
        <v>ب</v>
      </c>
      <c r="G42" s="40">
        <f t="shared" si="0"/>
        <v>4</v>
      </c>
      <c r="H42" s="53">
        <v>2</v>
      </c>
      <c r="I42" s="15">
        <v>86</v>
      </c>
      <c r="J42" s="65">
        <f>VLOOKUP(I42,المرجع!$B$4:$C$12,2)</f>
        <v>4.5</v>
      </c>
      <c r="K42" s="44" t="str">
        <f>VLOOKUP(J42,المرجع!$D$4:$E$12,2)</f>
        <v>ب+</v>
      </c>
      <c r="L42" s="40">
        <f t="shared" si="1"/>
        <v>9</v>
      </c>
      <c r="M42" s="53">
        <v>3</v>
      </c>
      <c r="N42" s="15">
        <v>65</v>
      </c>
      <c r="O42" s="65">
        <f>VLOOKUP(N42,المرجع!$B$4:$C$12,2)</f>
        <v>2.5</v>
      </c>
      <c r="P42" s="44" t="str">
        <f>VLOOKUP(O42,المرجع!$D$4:$E$12,2)</f>
        <v>د+</v>
      </c>
      <c r="Q42" s="40">
        <f t="shared" si="2"/>
        <v>7.5</v>
      </c>
      <c r="R42" s="53">
        <v>2</v>
      </c>
      <c r="S42" s="15">
        <v>86</v>
      </c>
      <c r="T42" s="65">
        <f>VLOOKUP(S42,المرجع!$B$4:$C$12,2)</f>
        <v>4.5</v>
      </c>
      <c r="U42" s="44" t="str">
        <f>VLOOKUP(T42,المرجع!$D$4:$E$12,2)</f>
        <v>ب+</v>
      </c>
      <c r="V42" s="40">
        <f t="shared" si="3"/>
        <v>9</v>
      </c>
      <c r="W42" s="53">
        <v>2</v>
      </c>
      <c r="X42" s="15">
        <v>93</v>
      </c>
      <c r="Y42" s="65">
        <f>VLOOKUP(X42,المرجع!$B$4:$C$12,2)</f>
        <v>4.75</v>
      </c>
      <c r="Z42" s="44" t="str">
        <f>VLOOKUP(Y42,المرجع!$D$4:$E$12,2)</f>
        <v>أ</v>
      </c>
      <c r="AA42" s="40">
        <f t="shared" si="4"/>
        <v>9.5</v>
      </c>
      <c r="AB42" s="53">
        <v>3</v>
      </c>
      <c r="AC42" s="15">
        <v>50</v>
      </c>
      <c r="AD42" s="65">
        <f>VLOOKUP(AC42,المرجع!$B$4:$C$12,2)</f>
        <v>2</v>
      </c>
      <c r="AE42" s="44" t="str">
        <f>VLOOKUP(AD42,المرجع!$D$4:$E$12,2)</f>
        <v>د</v>
      </c>
      <c r="AF42" s="40">
        <f t="shared" si="5"/>
        <v>6</v>
      </c>
      <c r="AG42" s="53">
        <v>2</v>
      </c>
      <c r="AH42" s="15">
        <v>87</v>
      </c>
      <c r="AI42" s="65">
        <f>VLOOKUP(AH42,المرجع!$B$4:$C$12,2)</f>
        <v>4.5</v>
      </c>
      <c r="AJ42" s="44" t="str">
        <f>VLOOKUP(AI42,المرجع!$D$4:$E$12,2)</f>
        <v>ب+</v>
      </c>
      <c r="AK42" s="40">
        <f t="shared" si="6"/>
        <v>9</v>
      </c>
      <c r="AL42" s="53">
        <v>2</v>
      </c>
      <c r="AM42" s="15">
        <v>75</v>
      </c>
      <c r="AN42" s="65">
        <f>VLOOKUP(AM42,المرجع!$B$4:$C$12,2)</f>
        <v>3.5</v>
      </c>
      <c r="AO42" s="44" t="str">
        <f>VLOOKUP(AN42,المرجع!$D$4:$E$12,2)</f>
        <v>ج+</v>
      </c>
      <c r="AP42" s="40">
        <f t="shared" si="7"/>
        <v>7</v>
      </c>
      <c r="AQ42" s="53">
        <v>3</v>
      </c>
      <c r="AR42" s="15">
        <v>96</v>
      </c>
      <c r="AS42" s="65">
        <f>VLOOKUP(AR42,المرجع!$B$4:$C$12,2)</f>
        <v>5</v>
      </c>
      <c r="AT42" s="44" t="str">
        <f>VLOOKUP(AS42,المرجع!$D$4:$E$12,2)</f>
        <v xml:space="preserve">أ+ </v>
      </c>
      <c r="AU42" s="40">
        <f t="shared" si="8"/>
        <v>15</v>
      </c>
      <c r="AV42" s="53">
        <v>2</v>
      </c>
      <c r="AW42" s="15">
        <v>52</v>
      </c>
      <c r="AX42" s="65">
        <f>VLOOKUP(AW42,المرجع!$B$4:$C$12,2)</f>
        <v>2</v>
      </c>
      <c r="AY42" s="44" t="str">
        <f>VLOOKUP(AX42,المرجع!$D$4:$E$12,2)</f>
        <v>د</v>
      </c>
      <c r="AZ42" s="40">
        <f t="shared" si="9"/>
        <v>4</v>
      </c>
      <c r="BA42" s="53">
        <v>2</v>
      </c>
      <c r="BB42" s="15">
        <v>85</v>
      </c>
      <c r="BC42" s="65">
        <f>VLOOKUP(BB42,المرجع!$B$4:$C$12,2)</f>
        <v>4.5</v>
      </c>
      <c r="BD42" s="44" t="str">
        <f>VLOOKUP(BC42,المرجع!$D$4:$E$12,2)</f>
        <v>ب+</v>
      </c>
      <c r="BE42" s="40">
        <f t="shared" si="10"/>
        <v>9</v>
      </c>
      <c r="BF42" s="56">
        <v>90.75</v>
      </c>
      <c r="BG42" s="58">
        <f t="shared" si="11"/>
        <v>24</v>
      </c>
      <c r="BH42" s="60">
        <v>3.94</v>
      </c>
      <c r="BI42" s="92">
        <v>3.51</v>
      </c>
      <c r="BJ42" s="59" t="s">
        <v>120</v>
      </c>
      <c r="BK42" s="108">
        <v>32</v>
      </c>
    </row>
    <row r="43" spans="1:63" ht="28.5">
      <c r="A43" s="107">
        <v>2023013</v>
      </c>
      <c r="B43" s="70" t="s">
        <v>22</v>
      </c>
      <c r="C43" s="53">
        <v>1</v>
      </c>
      <c r="D43" s="15">
        <v>89</v>
      </c>
      <c r="E43" s="65">
        <f>VLOOKUP(D43,المرجع!$B$4:$C$12,2)</f>
        <v>4.5</v>
      </c>
      <c r="F43" s="44" t="str">
        <f>VLOOKUP(E43,المرجع!$D$4:$E$12,2)</f>
        <v>ب+</v>
      </c>
      <c r="G43" s="40">
        <f t="shared" si="0"/>
        <v>4.5</v>
      </c>
      <c r="H43" s="53">
        <v>2</v>
      </c>
      <c r="I43" s="15">
        <v>82</v>
      </c>
      <c r="J43" s="65">
        <f>VLOOKUP(I43,المرجع!$B$4:$C$12,2)</f>
        <v>4</v>
      </c>
      <c r="K43" s="44" t="str">
        <f>VLOOKUP(J43,المرجع!$D$4:$E$12,2)</f>
        <v>ب</v>
      </c>
      <c r="L43" s="40">
        <f t="shared" si="1"/>
        <v>8</v>
      </c>
      <c r="M43" s="53">
        <v>3</v>
      </c>
      <c r="N43" s="15">
        <v>80</v>
      </c>
      <c r="O43" s="65">
        <f>VLOOKUP(N43,المرجع!$B$4:$C$12,2)</f>
        <v>4</v>
      </c>
      <c r="P43" s="44" t="str">
        <f>VLOOKUP(O43,المرجع!$D$4:$E$12,2)</f>
        <v>ب</v>
      </c>
      <c r="Q43" s="40">
        <f t="shared" si="2"/>
        <v>12</v>
      </c>
      <c r="R43" s="53">
        <v>2</v>
      </c>
      <c r="S43" s="15">
        <v>91</v>
      </c>
      <c r="T43" s="65">
        <f>VLOOKUP(S43,المرجع!$B$4:$C$12,2)</f>
        <v>4.75</v>
      </c>
      <c r="U43" s="44" t="str">
        <f>VLOOKUP(T43,المرجع!$D$4:$E$12,2)</f>
        <v>أ</v>
      </c>
      <c r="V43" s="40">
        <f t="shared" si="3"/>
        <v>9.5</v>
      </c>
      <c r="W43" s="53">
        <v>2</v>
      </c>
      <c r="X43" s="15">
        <v>95</v>
      </c>
      <c r="Y43" s="65">
        <f>VLOOKUP(X43,المرجع!$B$4:$C$12,2)</f>
        <v>5</v>
      </c>
      <c r="Z43" s="44" t="str">
        <f>VLOOKUP(Y43,المرجع!$D$4:$E$12,2)</f>
        <v xml:space="preserve">أ+ </v>
      </c>
      <c r="AA43" s="40">
        <f t="shared" si="4"/>
        <v>10</v>
      </c>
      <c r="AB43" s="53">
        <v>3</v>
      </c>
      <c r="AC43" s="15">
        <v>50</v>
      </c>
      <c r="AD43" s="65">
        <f>VLOOKUP(AC43,المرجع!$B$4:$C$12,2)</f>
        <v>2</v>
      </c>
      <c r="AE43" s="44" t="str">
        <f>VLOOKUP(AD43,المرجع!$D$4:$E$12,2)</f>
        <v>د</v>
      </c>
      <c r="AF43" s="40">
        <f t="shared" si="5"/>
        <v>6</v>
      </c>
      <c r="AG43" s="53">
        <v>2</v>
      </c>
      <c r="AH43" s="15">
        <v>61</v>
      </c>
      <c r="AI43" s="65">
        <f>VLOOKUP(AH43,المرجع!$B$4:$C$12,2)</f>
        <v>2</v>
      </c>
      <c r="AJ43" s="44" t="str">
        <f>VLOOKUP(AI43,المرجع!$D$4:$E$12,2)</f>
        <v>د</v>
      </c>
      <c r="AK43" s="40">
        <f t="shared" si="6"/>
        <v>4</v>
      </c>
      <c r="AL43" s="53">
        <v>2</v>
      </c>
      <c r="AM43" s="15">
        <v>87</v>
      </c>
      <c r="AN43" s="65">
        <f>VLOOKUP(AM43,المرجع!$B$4:$C$12,2)</f>
        <v>4.5</v>
      </c>
      <c r="AO43" s="44" t="str">
        <f>VLOOKUP(AN43,المرجع!$D$4:$E$12,2)</f>
        <v>ب+</v>
      </c>
      <c r="AP43" s="40">
        <f t="shared" si="7"/>
        <v>9</v>
      </c>
      <c r="AQ43" s="53">
        <v>3</v>
      </c>
      <c r="AR43" s="15">
        <v>92</v>
      </c>
      <c r="AS43" s="65">
        <f>VLOOKUP(AR43,المرجع!$B$4:$C$12,2)</f>
        <v>4.75</v>
      </c>
      <c r="AT43" s="44" t="str">
        <f>VLOOKUP(AS43,المرجع!$D$4:$E$12,2)</f>
        <v>أ</v>
      </c>
      <c r="AU43" s="40">
        <f t="shared" si="8"/>
        <v>14.25</v>
      </c>
      <c r="AV43" s="53">
        <v>2</v>
      </c>
      <c r="AW43" s="15">
        <v>80</v>
      </c>
      <c r="AX43" s="65">
        <f>VLOOKUP(AW43,المرجع!$B$4:$C$12,2)</f>
        <v>4</v>
      </c>
      <c r="AY43" s="44" t="str">
        <f>VLOOKUP(AX43,المرجع!$D$4:$E$12,2)</f>
        <v>ب</v>
      </c>
      <c r="AZ43" s="40">
        <f t="shared" si="9"/>
        <v>8</v>
      </c>
      <c r="BA43" s="53">
        <v>2</v>
      </c>
      <c r="BB43" s="15">
        <v>67</v>
      </c>
      <c r="BC43" s="65">
        <f>VLOOKUP(BB43,المرجع!$B$4:$C$12,2)</f>
        <v>2.5</v>
      </c>
      <c r="BD43" s="44" t="str">
        <f>VLOOKUP(BC43,المرجع!$D$4:$E$12,2)</f>
        <v>د+</v>
      </c>
      <c r="BE43" s="40">
        <f t="shared" si="10"/>
        <v>5</v>
      </c>
      <c r="BF43" s="56">
        <v>82</v>
      </c>
      <c r="BG43" s="58">
        <f t="shared" si="11"/>
        <v>24</v>
      </c>
      <c r="BH43" s="60">
        <v>3.56</v>
      </c>
      <c r="BI43" s="92">
        <v>3.4</v>
      </c>
      <c r="BJ43" s="59" t="s">
        <v>118</v>
      </c>
      <c r="BK43" s="108">
        <v>42</v>
      </c>
    </row>
    <row r="44" spans="1:63" ht="28.5" hidden="1">
      <c r="A44" s="107">
        <v>2023088</v>
      </c>
      <c r="B44" s="70" t="s">
        <v>73</v>
      </c>
      <c r="C44" s="53">
        <v>1</v>
      </c>
      <c r="D44" s="15">
        <v>89</v>
      </c>
      <c r="E44" s="65">
        <f>VLOOKUP(D44,المرجع!$B$4:$C$12,2)</f>
        <v>4.5</v>
      </c>
      <c r="F44" s="44" t="str">
        <f>VLOOKUP(E44,المرجع!$D$4:$E$12,2)</f>
        <v>ب+</v>
      </c>
      <c r="G44" s="40">
        <f t="shared" si="0"/>
        <v>4.5</v>
      </c>
      <c r="H44" s="53">
        <v>2</v>
      </c>
      <c r="I44" s="15">
        <v>83</v>
      </c>
      <c r="J44" s="65">
        <f>VLOOKUP(I44,المرجع!$B$4:$C$12,2)</f>
        <v>4</v>
      </c>
      <c r="K44" s="44" t="str">
        <f>VLOOKUP(J44,المرجع!$D$4:$E$12,2)</f>
        <v>ب</v>
      </c>
      <c r="L44" s="40">
        <f t="shared" si="1"/>
        <v>8</v>
      </c>
      <c r="M44" s="53">
        <v>3</v>
      </c>
      <c r="N44" s="15">
        <v>98</v>
      </c>
      <c r="O44" s="65">
        <f>VLOOKUP(N44,المرجع!$B$4:$C$12,2)</f>
        <v>5</v>
      </c>
      <c r="P44" s="44" t="str">
        <f>VLOOKUP(O44,المرجع!$D$4:$E$12,2)</f>
        <v xml:space="preserve">أ+ </v>
      </c>
      <c r="Q44" s="40">
        <f t="shared" si="2"/>
        <v>15</v>
      </c>
      <c r="R44" s="53">
        <v>2</v>
      </c>
      <c r="S44" s="15">
        <v>89</v>
      </c>
      <c r="T44" s="65">
        <f>VLOOKUP(S44,المرجع!$B$4:$C$12,2)</f>
        <v>4.5</v>
      </c>
      <c r="U44" s="44" t="str">
        <f>VLOOKUP(T44,المرجع!$D$4:$E$12,2)</f>
        <v>ب+</v>
      </c>
      <c r="V44" s="40">
        <f t="shared" si="3"/>
        <v>9</v>
      </c>
      <c r="W44" s="53">
        <v>2</v>
      </c>
      <c r="X44" s="15">
        <v>95</v>
      </c>
      <c r="Y44" s="65">
        <f>VLOOKUP(X44,المرجع!$B$4:$C$12,2)</f>
        <v>5</v>
      </c>
      <c r="Z44" s="44" t="str">
        <f>VLOOKUP(Y44,المرجع!$D$4:$E$12,2)</f>
        <v xml:space="preserve">أ+ </v>
      </c>
      <c r="AA44" s="40">
        <f t="shared" si="4"/>
        <v>10</v>
      </c>
      <c r="AB44" s="53">
        <v>3</v>
      </c>
      <c r="AC44" s="15">
        <v>50</v>
      </c>
      <c r="AD44" s="65">
        <f>VLOOKUP(AC44,المرجع!$B$4:$C$12,2)</f>
        <v>2</v>
      </c>
      <c r="AE44" s="44" t="str">
        <f>VLOOKUP(AD44,المرجع!$D$4:$E$12,2)</f>
        <v>د</v>
      </c>
      <c r="AF44" s="40">
        <f t="shared" si="5"/>
        <v>6</v>
      </c>
      <c r="AG44" s="53">
        <v>2</v>
      </c>
      <c r="AH44" s="15">
        <v>68</v>
      </c>
      <c r="AI44" s="65">
        <f>VLOOKUP(AH44,المرجع!$B$4:$C$12,2)</f>
        <v>2.5</v>
      </c>
      <c r="AJ44" s="44" t="str">
        <f>VLOOKUP(AI44,المرجع!$D$4:$E$12,2)</f>
        <v>د+</v>
      </c>
      <c r="AK44" s="40">
        <f t="shared" si="6"/>
        <v>5</v>
      </c>
      <c r="AL44" s="53">
        <v>2</v>
      </c>
      <c r="AM44" s="15">
        <v>75</v>
      </c>
      <c r="AN44" s="65">
        <f>VLOOKUP(AM44,المرجع!$B$4:$C$12,2)</f>
        <v>3.5</v>
      </c>
      <c r="AO44" s="44" t="str">
        <f>VLOOKUP(AN44,المرجع!$D$4:$E$12,2)</f>
        <v>ج+</v>
      </c>
      <c r="AP44" s="40">
        <f t="shared" si="7"/>
        <v>7</v>
      </c>
      <c r="AQ44" s="53">
        <v>3</v>
      </c>
      <c r="AR44" s="15">
        <v>92</v>
      </c>
      <c r="AS44" s="65">
        <f>VLOOKUP(AR44,المرجع!$B$4:$C$12,2)</f>
        <v>4.75</v>
      </c>
      <c r="AT44" s="44" t="str">
        <f>VLOOKUP(AS44,المرجع!$D$4:$E$12,2)</f>
        <v>أ</v>
      </c>
      <c r="AU44" s="40">
        <f t="shared" si="8"/>
        <v>14.25</v>
      </c>
      <c r="AV44" s="53">
        <v>2</v>
      </c>
      <c r="AW44" s="15">
        <v>64</v>
      </c>
      <c r="AX44" s="65">
        <f>VLOOKUP(AW44,المرجع!$B$4:$C$12,2)</f>
        <v>2</v>
      </c>
      <c r="AY44" s="44" t="str">
        <f>VLOOKUP(AX44,المرجع!$D$4:$E$12,2)</f>
        <v>د</v>
      </c>
      <c r="AZ44" s="40">
        <f t="shared" si="9"/>
        <v>4</v>
      </c>
      <c r="BA44" s="53">
        <v>2</v>
      </c>
      <c r="BB44" s="15">
        <v>58</v>
      </c>
      <c r="BC44" s="65">
        <f>VLOOKUP(BB44,المرجع!$B$4:$C$12,2)</f>
        <v>2</v>
      </c>
      <c r="BD44" s="44" t="str">
        <f>VLOOKUP(BC44,المرجع!$D$4:$E$12,2)</f>
        <v>د</v>
      </c>
      <c r="BE44" s="40">
        <f t="shared" si="10"/>
        <v>4</v>
      </c>
      <c r="BF44" s="56">
        <v>75.25</v>
      </c>
      <c r="BG44" s="58">
        <f t="shared" si="11"/>
        <v>24</v>
      </c>
      <c r="BH44" s="60">
        <v>3.2717391304347827</v>
      </c>
      <c r="BI44" s="92">
        <v>3.31</v>
      </c>
      <c r="BJ44" s="59" t="s">
        <v>118</v>
      </c>
      <c r="BK44" s="108">
        <v>56</v>
      </c>
    </row>
    <row r="45" spans="1:63" ht="28.5" hidden="1">
      <c r="A45" s="107">
        <v>2023017</v>
      </c>
      <c r="B45" s="70" t="s">
        <v>23</v>
      </c>
      <c r="C45" s="53">
        <v>1</v>
      </c>
      <c r="D45" s="15">
        <v>0</v>
      </c>
      <c r="E45" s="65">
        <f>VLOOKUP(D45,المرجع!$B$4:$C$12,2)</f>
        <v>0</v>
      </c>
      <c r="F45" s="44" t="str">
        <f>VLOOKUP(E45,المرجع!$D$4:$E$12,2)</f>
        <v>ه</v>
      </c>
      <c r="G45" s="40">
        <f t="shared" si="0"/>
        <v>0</v>
      </c>
      <c r="H45" s="53">
        <v>2</v>
      </c>
      <c r="I45" s="15">
        <v>87</v>
      </c>
      <c r="J45" s="65">
        <f>VLOOKUP(I45,المرجع!$B$4:$C$12,2)</f>
        <v>4.5</v>
      </c>
      <c r="K45" s="44" t="str">
        <f>VLOOKUP(J45,المرجع!$D$4:$E$12,2)</f>
        <v>ب+</v>
      </c>
      <c r="L45" s="40">
        <f t="shared" si="1"/>
        <v>9</v>
      </c>
      <c r="M45" s="53">
        <v>3</v>
      </c>
      <c r="N45" s="15">
        <v>85</v>
      </c>
      <c r="O45" s="65">
        <f>VLOOKUP(N45,المرجع!$B$4:$C$12,2)</f>
        <v>4.5</v>
      </c>
      <c r="P45" s="44" t="str">
        <f>VLOOKUP(O45,المرجع!$D$4:$E$12,2)</f>
        <v>ب+</v>
      </c>
      <c r="Q45" s="40">
        <f t="shared" si="2"/>
        <v>13.5</v>
      </c>
      <c r="R45" s="53">
        <v>2</v>
      </c>
      <c r="S45" s="15">
        <v>86</v>
      </c>
      <c r="T45" s="65">
        <f>VLOOKUP(S45,المرجع!$B$4:$C$12,2)</f>
        <v>4.5</v>
      </c>
      <c r="U45" s="44" t="str">
        <f>VLOOKUP(T45,المرجع!$D$4:$E$12,2)</f>
        <v>ب+</v>
      </c>
      <c r="V45" s="40">
        <f t="shared" si="3"/>
        <v>9</v>
      </c>
      <c r="W45" s="53">
        <v>2</v>
      </c>
      <c r="X45" s="15">
        <v>97</v>
      </c>
      <c r="Y45" s="65">
        <f>VLOOKUP(X45,المرجع!$B$4:$C$12,2)</f>
        <v>5</v>
      </c>
      <c r="Z45" s="44" t="str">
        <f>VLOOKUP(Y45,المرجع!$D$4:$E$12,2)</f>
        <v xml:space="preserve">أ+ </v>
      </c>
      <c r="AA45" s="40">
        <f t="shared" si="4"/>
        <v>10</v>
      </c>
      <c r="AB45" s="53">
        <v>3</v>
      </c>
      <c r="AC45" s="15">
        <v>76</v>
      </c>
      <c r="AD45" s="65">
        <f>VLOOKUP(AC45,المرجع!$B$4:$C$12,2)</f>
        <v>3.5</v>
      </c>
      <c r="AE45" s="44" t="str">
        <f>VLOOKUP(AD45,المرجع!$D$4:$E$12,2)</f>
        <v>ج+</v>
      </c>
      <c r="AF45" s="40">
        <f t="shared" si="5"/>
        <v>10.5</v>
      </c>
      <c r="AG45" s="53">
        <v>2</v>
      </c>
      <c r="AH45" s="15">
        <v>82</v>
      </c>
      <c r="AI45" s="65">
        <f>VLOOKUP(AH45,المرجع!$B$4:$C$12,2)</f>
        <v>4</v>
      </c>
      <c r="AJ45" s="44" t="str">
        <f>VLOOKUP(AI45,المرجع!$D$4:$E$12,2)</f>
        <v>ب</v>
      </c>
      <c r="AK45" s="40">
        <f t="shared" si="6"/>
        <v>8</v>
      </c>
      <c r="AL45" s="53">
        <v>2</v>
      </c>
      <c r="AM45" s="15">
        <v>92</v>
      </c>
      <c r="AN45" s="65">
        <f>VLOOKUP(AM45,المرجع!$B$4:$C$12,2)</f>
        <v>4.75</v>
      </c>
      <c r="AO45" s="44" t="str">
        <f>VLOOKUP(AN45,المرجع!$D$4:$E$12,2)</f>
        <v>أ</v>
      </c>
      <c r="AP45" s="40">
        <f t="shared" si="7"/>
        <v>9.5</v>
      </c>
      <c r="AQ45" s="53">
        <v>3</v>
      </c>
      <c r="AR45" s="15">
        <v>97</v>
      </c>
      <c r="AS45" s="65">
        <f>VLOOKUP(AR45,المرجع!$B$4:$C$12,2)</f>
        <v>5</v>
      </c>
      <c r="AT45" s="44" t="str">
        <f>VLOOKUP(AS45,المرجع!$D$4:$E$12,2)</f>
        <v xml:space="preserve">أ+ </v>
      </c>
      <c r="AU45" s="40">
        <f t="shared" si="8"/>
        <v>15</v>
      </c>
      <c r="AV45" s="53">
        <v>2</v>
      </c>
      <c r="AW45" s="15">
        <v>55</v>
      </c>
      <c r="AX45" s="65">
        <f>VLOOKUP(AW45,المرجع!$B$4:$C$12,2)</f>
        <v>2</v>
      </c>
      <c r="AY45" s="44" t="str">
        <f>VLOOKUP(AX45,المرجع!$D$4:$E$12,2)</f>
        <v>د</v>
      </c>
      <c r="AZ45" s="40">
        <f t="shared" si="9"/>
        <v>4</v>
      </c>
      <c r="BA45" s="53">
        <v>2</v>
      </c>
      <c r="BB45" s="15">
        <v>77</v>
      </c>
      <c r="BC45" s="65">
        <f>VLOOKUP(BB45,المرجع!$B$4:$C$12,2)</f>
        <v>3.5</v>
      </c>
      <c r="BD45" s="44" t="str">
        <f>VLOOKUP(BC45,المرجع!$D$4:$E$12,2)</f>
        <v>ج+</v>
      </c>
      <c r="BE45" s="40">
        <f t="shared" si="10"/>
        <v>7</v>
      </c>
      <c r="BF45" s="56">
        <v>91.5</v>
      </c>
      <c r="BG45" s="58">
        <f t="shared" si="11"/>
        <v>24</v>
      </c>
      <c r="BH45" s="60">
        <v>3.97</v>
      </c>
      <c r="BI45" s="92">
        <v>3.53</v>
      </c>
      <c r="BJ45" s="59" t="s">
        <v>120</v>
      </c>
      <c r="BK45" s="108">
        <v>30</v>
      </c>
    </row>
    <row r="46" spans="1:63" ht="28.5" hidden="1">
      <c r="A46" s="107">
        <v>2023079</v>
      </c>
      <c r="B46" s="70" t="s">
        <v>66</v>
      </c>
      <c r="C46" s="53">
        <v>1</v>
      </c>
      <c r="D46" s="15">
        <v>2</v>
      </c>
      <c r="E46" s="65">
        <f>VLOOKUP(D46,المرجع!$B$4:$C$12,2)</f>
        <v>0</v>
      </c>
      <c r="F46" s="44" t="str">
        <f>VLOOKUP(E46,المرجع!$D$4:$E$12,2)</f>
        <v>ه</v>
      </c>
      <c r="G46" s="40">
        <f t="shared" si="0"/>
        <v>0</v>
      </c>
      <c r="H46" s="53">
        <v>2</v>
      </c>
      <c r="I46" s="15">
        <v>86</v>
      </c>
      <c r="J46" s="65">
        <f>VLOOKUP(I46,المرجع!$B$4:$C$12,2)</f>
        <v>4.5</v>
      </c>
      <c r="K46" s="44" t="str">
        <f>VLOOKUP(J46,المرجع!$D$4:$E$12,2)</f>
        <v>ب+</v>
      </c>
      <c r="L46" s="40">
        <f t="shared" si="1"/>
        <v>9</v>
      </c>
      <c r="M46" s="53">
        <v>3</v>
      </c>
      <c r="N46" s="15">
        <v>100</v>
      </c>
      <c r="O46" s="65">
        <f>VLOOKUP(N46,المرجع!$B$4:$C$12,2)</f>
        <v>5</v>
      </c>
      <c r="P46" s="44" t="str">
        <f>VLOOKUP(O46,المرجع!$D$4:$E$12,2)</f>
        <v xml:space="preserve">أ+ </v>
      </c>
      <c r="Q46" s="40">
        <f t="shared" si="2"/>
        <v>15</v>
      </c>
      <c r="R46" s="53">
        <v>2</v>
      </c>
      <c r="S46" s="15">
        <v>90</v>
      </c>
      <c r="T46" s="65">
        <f>VLOOKUP(S46,المرجع!$B$4:$C$12,2)</f>
        <v>4.75</v>
      </c>
      <c r="U46" s="44" t="str">
        <f>VLOOKUP(T46,المرجع!$D$4:$E$12,2)</f>
        <v>أ</v>
      </c>
      <c r="V46" s="40">
        <f t="shared" si="3"/>
        <v>9.5</v>
      </c>
      <c r="W46" s="53">
        <v>2</v>
      </c>
      <c r="X46" s="15">
        <v>75</v>
      </c>
      <c r="Y46" s="65">
        <f>VLOOKUP(X46,المرجع!$B$4:$C$12,2)</f>
        <v>3.5</v>
      </c>
      <c r="Z46" s="44" t="str">
        <f>VLOOKUP(Y46,المرجع!$D$4:$E$12,2)</f>
        <v>ج+</v>
      </c>
      <c r="AA46" s="40">
        <f t="shared" si="4"/>
        <v>7</v>
      </c>
      <c r="AB46" s="53">
        <v>3</v>
      </c>
      <c r="AC46" s="15">
        <v>55</v>
      </c>
      <c r="AD46" s="65">
        <f>VLOOKUP(AC46,المرجع!$B$4:$C$12,2)</f>
        <v>2</v>
      </c>
      <c r="AE46" s="44" t="str">
        <f>VLOOKUP(AD46,المرجع!$D$4:$E$12,2)</f>
        <v>د</v>
      </c>
      <c r="AF46" s="40">
        <f t="shared" si="5"/>
        <v>6</v>
      </c>
      <c r="AG46" s="53">
        <v>2</v>
      </c>
      <c r="AH46" s="15">
        <v>97</v>
      </c>
      <c r="AI46" s="65">
        <f>VLOOKUP(AH46,المرجع!$B$4:$C$12,2)</f>
        <v>5</v>
      </c>
      <c r="AJ46" s="44" t="str">
        <f>VLOOKUP(AI46,المرجع!$D$4:$E$12,2)</f>
        <v xml:space="preserve">أ+ </v>
      </c>
      <c r="AK46" s="40">
        <f t="shared" si="6"/>
        <v>10</v>
      </c>
      <c r="AL46" s="53">
        <v>2</v>
      </c>
      <c r="AM46" s="15">
        <v>95</v>
      </c>
      <c r="AN46" s="65">
        <f>VLOOKUP(AM46,المرجع!$B$4:$C$12,2)</f>
        <v>5</v>
      </c>
      <c r="AO46" s="44" t="str">
        <f>VLOOKUP(AN46,المرجع!$D$4:$E$12,2)</f>
        <v xml:space="preserve">أ+ </v>
      </c>
      <c r="AP46" s="40">
        <f t="shared" si="7"/>
        <v>10</v>
      </c>
      <c r="AQ46" s="53">
        <v>3</v>
      </c>
      <c r="AR46" s="15">
        <v>88</v>
      </c>
      <c r="AS46" s="65">
        <f>VLOOKUP(AR46,المرجع!$B$4:$C$12,2)</f>
        <v>4.5</v>
      </c>
      <c r="AT46" s="44" t="str">
        <f>VLOOKUP(AS46,المرجع!$D$4:$E$12,2)</f>
        <v>ب+</v>
      </c>
      <c r="AU46" s="40">
        <f t="shared" si="8"/>
        <v>13.5</v>
      </c>
      <c r="AV46" s="53">
        <v>2</v>
      </c>
      <c r="AW46" s="15">
        <v>50</v>
      </c>
      <c r="AX46" s="65">
        <f>VLOOKUP(AW46,المرجع!$B$4:$C$12,2)</f>
        <v>2</v>
      </c>
      <c r="AY46" s="44" t="str">
        <f>VLOOKUP(AX46,المرجع!$D$4:$E$12,2)</f>
        <v>د</v>
      </c>
      <c r="AZ46" s="40">
        <f t="shared" si="9"/>
        <v>4</v>
      </c>
      <c r="BA46" s="53">
        <v>2</v>
      </c>
      <c r="BB46" s="15">
        <v>94</v>
      </c>
      <c r="BC46" s="65">
        <f>VLOOKUP(BB46,المرجع!$B$4:$C$12,2)</f>
        <v>4.75</v>
      </c>
      <c r="BD46" s="44" t="str">
        <f>VLOOKUP(BC46,المرجع!$D$4:$E$12,2)</f>
        <v>أ</v>
      </c>
      <c r="BE46" s="40">
        <f t="shared" si="10"/>
        <v>9.5</v>
      </c>
      <c r="BF46" s="56">
        <v>86.75</v>
      </c>
      <c r="BG46" s="58">
        <f t="shared" si="11"/>
        <v>24</v>
      </c>
      <c r="BH46" s="60">
        <v>3.77</v>
      </c>
      <c r="BI46" s="92">
        <v>3.38</v>
      </c>
      <c r="BJ46" s="59" t="s">
        <v>120</v>
      </c>
      <c r="BK46" s="108">
        <v>39</v>
      </c>
    </row>
    <row r="47" spans="1:63" ht="28.5" hidden="1">
      <c r="A47" s="107">
        <v>2023094</v>
      </c>
      <c r="B47" s="70" t="s">
        <v>74</v>
      </c>
      <c r="C47" s="53">
        <v>1</v>
      </c>
      <c r="D47" s="15">
        <v>52</v>
      </c>
      <c r="E47" s="65">
        <f>VLOOKUP(D47,المرجع!$B$4:$C$12,2)</f>
        <v>2</v>
      </c>
      <c r="F47" s="44" t="str">
        <f>VLOOKUP(E47,المرجع!$D$4:$E$12,2)</f>
        <v>د</v>
      </c>
      <c r="G47" s="40">
        <f t="shared" si="0"/>
        <v>2</v>
      </c>
      <c r="H47" s="53">
        <v>2</v>
      </c>
      <c r="I47" s="15">
        <v>84</v>
      </c>
      <c r="J47" s="65">
        <f>VLOOKUP(I47,المرجع!$B$4:$C$12,2)</f>
        <v>4</v>
      </c>
      <c r="K47" s="44" t="str">
        <f>VLOOKUP(J47,المرجع!$D$4:$E$12,2)</f>
        <v>ب</v>
      </c>
      <c r="L47" s="40">
        <f t="shared" si="1"/>
        <v>8</v>
      </c>
      <c r="M47" s="53">
        <v>3</v>
      </c>
      <c r="N47" s="15">
        <v>100</v>
      </c>
      <c r="O47" s="65">
        <f>VLOOKUP(N47,المرجع!$B$4:$C$12,2)</f>
        <v>5</v>
      </c>
      <c r="P47" s="44" t="str">
        <f>VLOOKUP(O47,المرجع!$D$4:$E$12,2)</f>
        <v xml:space="preserve">أ+ </v>
      </c>
      <c r="Q47" s="40">
        <f t="shared" si="2"/>
        <v>15</v>
      </c>
      <c r="R47" s="53">
        <v>2</v>
      </c>
      <c r="S47" s="15">
        <v>84</v>
      </c>
      <c r="T47" s="65">
        <f>VLOOKUP(S47,المرجع!$B$4:$C$12,2)</f>
        <v>4</v>
      </c>
      <c r="U47" s="44" t="str">
        <f>VLOOKUP(T47,المرجع!$D$4:$E$12,2)</f>
        <v>ب</v>
      </c>
      <c r="V47" s="40">
        <f t="shared" si="3"/>
        <v>8</v>
      </c>
      <c r="W47" s="53">
        <v>2</v>
      </c>
      <c r="X47" s="15">
        <v>95</v>
      </c>
      <c r="Y47" s="65">
        <f>VLOOKUP(X47,المرجع!$B$4:$C$12,2)</f>
        <v>5</v>
      </c>
      <c r="Z47" s="44" t="str">
        <f>VLOOKUP(Y47,المرجع!$D$4:$E$12,2)</f>
        <v xml:space="preserve">أ+ </v>
      </c>
      <c r="AA47" s="40">
        <f t="shared" si="4"/>
        <v>10</v>
      </c>
      <c r="AB47" s="53">
        <v>3</v>
      </c>
      <c r="AC47" s="15">
        <v>52</v>
      </c>
      <c r="AD47" s="65">
        <f>VLOOKUP(AC47,المرجع!$B$4:$C$12,2)</f>
        <v>2</v>
      </c>
      <c r="AE47" s="44" t="str">
        <f>VLOOKUP(AD47,المرجع!$D$4:$E$12,2)</f>
        <v>د</v>
      </c>
      <c r="AF47" s="40">
        <f t="shared" si="5"/>
        <v>6</v>
      </c>
      <c r="AG47" s="53">
        <v>2</v>
      </c>
      <c r="AH47" s="15">
        <v>96</v>
      </c>
      <c r="AI47" s="65">
        <f>VLOOKUP(AH47,المرجع!$B$4:$C$12,2)</f>
        <v>5</v>
      </c>
      <c r="AJ47" s="44" t="str">
        <f>VLOOKUP(AI47,المرجع!$D$4:$E$12,2)</f>
        <v xml:space="preserve">أ+ </v>
      </c>
      <c r="AK47" s="40">
        <f t="shared" si="6"/>
        <v>10</v>
      </c>
      <c r="AL47" s="53">
        <v>2</v>
      </c>
      <c r="AM47" s="15">
        <v>61</v>
      </c>
      <c r="AN47" s="65">
        <f>VLOOKUP(AM47,المرجع!$B$4:$C$12,2)</f>
        <v>2</v>
      </c>
      <c r="AO47" s="44" t="str">
        <f>VLOOKUP(AN47,المرجع!$D$4:$E$12,2)</f>
        <v>د</v>
      </c>
      <c r="AP47" s="40">
        <f t="shared" si="7"/>
        <v>4</v>
      </c>
      <c r="AQ47" s="53">
        <v>3</v>
      </c>
      <c r="AR47" s="15">
        <v>97</v>
      </c>
      <c r="AS47" s="65">
        <f>VLOOKUP(AR47,المرجع!$B$4:$C$12,2)</f>
        <v>5</v>
      </c>
      <c r="AT47" s="44" t="str">
        <f>VLOOKUP(AS47,المرجع!$D$4:$E$12,2)</f>
        <v xml:space="preserve">أ+ </v>
      </c>
      <c r="AU47" s="40">
        <f t="shared" si="8"/>
        <v>15</v>
      </c>
      <c r="AV47" s="53">
        <v>2</v>
      </c>
      <c r="AW47" s="15">
        <v>75</v>
      </c>
      <c r="AX47" s="65">
        <f>VLOOKUP(AW47,المرجع!$B$4:$C$12,2)</f>
        <v>3.5</v>
      </c>
      <c r="AY47" s="44" t="str">
        <f>VLOOKUP(AX47,المرجع!$D$4:$E$12,2)</f>
        <v>ج+</v>
      </c>
      <c r="AZ47" s="40">
        <f t="shared" si="9"/>
        <v>7</v>
      </c>
      <c r="BA47" s="53">
        <v>2</v>
      </c>
      <c r="BB47" s="15">
        <v>50</v>
      </c>
      <c r="BC47" s="65">
        <f>VLOOKUP(BB47,المرجع!$B$4:$C$12,2)</f>
        <v>2</v>
      </c>
      <c r="BD47" s="44" t="str">
        <f>VLOOKUP(BC47,المرجع!$D$4:$E$12,2)</f>
        <v>د</v>
      </c>
      <c r="BE47" s="40">
        <f t="shared" si="10"/>
        <v>4</v>
      </c>
      <c r="BF47" s="56">
        <v>79</v>
      </c>
      <c r="BG47" s="58">
        <f t="shared" si="11"/>
        <v>24</v>
      </c>
      <c r="BH47" s="60">
        <v>3.43</v>
      </c>
      <c r="BI47" s="92">
        <v>3.22</v>
      </c>
      <c r="BJ47" s="59" t="s">
        <v>118</v>
      </c>
      <c r="BK47" s="108">
        <v>47</v>
      </c>
    </row>
    <row r="48" spans="1:63" ht="28.5" hidden="1">
      <c r="A48" s="107">
        <v>2023130</v>
      </c>
      <c r="B48" s="70" t="s">
        <v>60</v>
      </c>
      <c r="C48" s="53">
        <v>1</v>
      </c>
      <c r="D48" s="15">
        <v>20</v>
      </c>
      <c r="E48" s="65">
        <f>VLOOKUP(D48,المرجع!$B$4:$C$12,2)</f>
        <v>0</v>
      </c>
      <c r="F48" s="44" t="str">
        <f>VLOOKUP(E48,المرجع!$D$4:$E$12,2)</f>
        <v>ه</v>
      </c>
      <c r="G48" s="40">
        <f t="shared" si="0"/>
        <v>0</v>
      </c>
      <c r="H48" s="53">
        <v>2</v>
      </c>
      <c r="I48" s="15">
        <v>97</v>
      </c>
      <c r="J48" s="65">
        <f>VLOOKUP(I48,المرجع!$B$4:$C$12,2)</f>
        <v>5</v>
      </c>
      <c r="K48" s="44" t="str">
        <f>VLOOKUP(J48,المرجع!$D$4:$E$12,2)</f>
        <v xml:space="preserve">أ+ </v>
      </c>
      <c r="L48" s="40">
        <f t="shared" si="1"/>
        <v>10</v>
      </c>
      <c r="M48" s="53">
        <v>3</v>
      </c>
      <c r="N48" s="15">
        <v>97</v>
      </c>
      <c r="O48" s="65">
        <f>VLOOKUP(N48,المرجع!$B$4:$C$12,2)</f>
        <v>5</v>
      </c>
      <c r="P48" s="44" t="str">
        <f>VLOOKUP(O48,المرجع!$D$4:$E$12,2)</f>
        <v xml:space="preserve">أ+ </v>
      </c>
      <c r="Q48" s="40">
        <f t="shared" si="2"/>
        <v>15</v>
      </c>
      <c r="R48" s="53">
        <v>2</v>
      </c>
      <c r="S48" s="15">
        <v>92</v>
      </c>
      <c r="T48" s="65">
        <f>VLOOKUP(S48,المرجع!$B$4:$C$12,2)</f>
        <v>4.75</v>
      </c>
      <c r="U48" s="44" t="str">
        <f>VLOOKUP(T48,المرجع!$D$4:$E$12,2)</f>
        <v>أ</v>
      </c>
      <c r="V48" s="40">
        <f t="shared" si="3"/>
        <v>9.5</v>
      </c>
      <c r="W48" s="53">
        <v>2</v>
      </c>
      <c r="X48" s="15">
        <v>94</v>
      </c>
      <c r="Y48" s="65">
        <f>VLOOKUP(X48,المرجع!$B$4:$C$12,2)</f>
        <v>4.75</v>
      </c>
      <c r="Z48" s="44" t="str">
        <f>VLOOKUP(Y48,المرجع!$D$4:$E$12,2)</f>
        <v>أ</v>
      </c>
      <c r="AA48" s="40">
        <f t="shared" si="4"/>
        <v>9.5</v>
      </c>
      <c r="AB48" s="53">
        <v>3</v>
      </c>
      <c r="AC48" s="15">
        <v>64</v>
      </c>
      <c r="AD48" s="65">
        <f>VLOOKUP(AC48,المرجع!$B$4:$C$12,2)</f>
        <v>2</v>
      </c>
      <c r="AE48" s="44" t="str">
        <f>VLOOKUP(AD48,المرجع!$D$4:$E$12,2)</f>
        <v>د</v>
      </c>
      <c r="AF48" s="40">
        <f t="shared" si="5"/>
        <v>6</v>
      </c>
      <c r="AG48" s="53">
        <v>2</v>
      </c>
      <c r="AH48" s="15">
        <v>94</v>
      </c>
      <c r="AI48" s="65">
        <f>VLOOKUP(AH48,المرجع!$B$4:$C$12,2)</f>
        <v>4.75</v>
      </c>
      <c r="AJ48" s="44" t="str">
        <f>VLOOKUP(AI48,المرجع!$D$4:$E$12,2)</f>
        <v>أ</v>
      </c>
      <c r="AK48" s="40">
        <f t="shared" si="6"/>
        <v>9.5</v>
      </c>
      <c r="AL48" s="53">
        <v>2</v>
      </c>
      <c r="AM48" s="15">
        <v>65</v>
      </c>
      <c r="AN48" s="65">
        <f>VLOOKUP(AM48,المرجع!$B$4:$C$12,2)</f>
        <v>2.5</v>
      </c>
      <c r="AO48" s="44" t="str">
        <f>VLOOKUP(AN48,المرجع!$D$4:$E$12,2)</f>
        <v>د+</v>
      </c>
      <c r="AP48" s="40">
        <f t="shared" si="7"/>
        <v>5</v>
      </c>
      <c r="AQ48" s="53">
        <v>3</v>
      </c>
      <c r="AR48" s="15">
        <v>92</v>
      </c>
      <c r="AS48" s="65">
        <f>VLOOKUP(AR48,المرجع!$B$4:$C$12,2)</f>
        <v>4.75</v>
      </c>
      <c r="AT48" s="44" t="str">
        <f>VLOOKUP(AS48,المرجع!$D$4:$E$12,2)</f>
        <v>أ</v>
      </c>
      <c r="AU48" s="40">
        <f t="shared" si="8"/>
        <v>14.25</v>
      </c>
      <c r="AV48" s="53">
        <v>2</v>
      </c>
      <c r="AW48" s="15">
        <v>55</v>
      </c>
      <c r="AX48" s="65">
        <f>VLOOKUP(AW48,المرجع!$B$4:$C$12,2)</f>
        <v>2</v>
      </c>
      <c r="AY48" s="44" t="str">
        <f>VLOOKUP(AX48,المرجع!$D$4:$E$12,2)</f>
        <v>د</v>
      </c>
      <c r="AZ48" s="40">
        <f t="shared" si="9"/>
        <v>4</v>
      </c>
      <c r="BA48" s="53">
        <v>2</v>
      </c>
      <c r="BB48" s="15">
        <v>52</v>
      </c>
      <c r="BC48" s="65">
        <f>VLOOKUP(BB48,المرجع!$B$4:$C$12,2)</f>
        <v>2</v>
      </c>
      <c r="BD48" s="44" t="str">
        <f>VLOOKUP(BC48,المرجع!$D$4:$E$12,2)</f>
        <v>د</v>
      </c>
      <c r="BE48" s="40">
        <f t="shared" si="10"/>
        <v>4</v>
      </c>
      <c r="BF48" s="56">
        <v>81.25</v>
      </c>
      <c r="BG48" s="58">
        <f t="shared" si="11"/>
        <v>24</v>
      </c>
      <c r="BH48" s="60">
        <v>3.53</v>
      </c>
      <c r="BI48" s="92">
        <v>3.21</v>
      </c>
      <c r="BJ48" s="59" t="s">
        <v>118</v>
      </c>
      <c r="BK48" s="108">
        <v>43</v>
      </c>
    </row>
    <row r="49" spans="1:63" ht="28.5" hidden="1">
      <c r="A49" s="107">
        <v>2023064</v>
      </c>
      <c r="B49" s="70" t="s">
        <v>77</v>
      </c>
      <c r="C49" s="53">
        <v>1</v>
      </c>
      <c r="D49" s="15">
        <v>82</v>
      </c>
      <c r="E49" s="65">
        <f>VLOOKUP(D49,المرجع!$B$4:$C$12,2)</f>
        <v>4</v>
      </c>
      <c r="F49" s="44" t="str">
        <f>VLOOKUP(E49,المرجع!$D$4:$E$12,2)</f>
        <v>ب</v>
      </c>
      <c r="G49" s="40">
        <f t="shared" si="0"/>
        <v>4</v>
      </c>
      <c r="H49" s="53">
        <v>2</v>
      </c>
      <c r="I49" s="15">
        <v>75</v>
      </c>
      <c r="J49" s="65">
        <f>VLOOKUP(I49,المرجع!$B$4:$C$12,2)</f>
        <v>3.5</v>
      </c>
      <c r="K49" s="44" t="str">
        <f>VLOOKUP(J49,المرجع!$D$4:$E$12,2)</f>
        <v>ج+</v>
      </c>
      <c r="L49" s="40">
        <f t="shared" si="1"/>
        <v>7</v>
      </c>
      <c r="M49" s="53">
        <v>3</v>
      </c>
      <c r="N49" s="15">
        <v>98</v>
      </c>
      <c r="O49" s="65">
        <f>VLOOKUP(N49,المرجع!$B$4:$C$12,2)</f>
        <v>5</v>
      </c>
      <c r="P49" s="44" t="str">
        <f>VLOOKUP(O49,المرجع!$D$4:$E$12,2)</f>
        <v xml:space="preserve">أ+ </v>
      </c>
      <c r="Q49" s="40">
        <f t="shared" si="2"/>
        <v>15</v>
      </c>
      <c r="R49" s="53">
        <v>2</v>
      </c>
      <c r="S49" s="15">
        <v>80</v>
      </c>
      <c r="T49" s="65">
        <f>VLOOKUP(S49,المرجع!$B$4:$C$12,2)</f>
        <v>4</v>
      </c>
      <c r="U49" s="44" t="str">
        <f>VLOOKUP(T49,المرجع!$D$4:$E$12,2)</f>
        <v>ب</v>
      </c>
      <c r="V49" s="40">
        <f t="shared" si="3"/>
        <v>8</v>
      </c>
      <c r="W49" s="53">
        <v>2</v>
      </c>
      <c r="X49" s="15">
        <v>90</v>
      </c>
      <c r="Y49" s="65">
        <f>VLOOKUP(X49,المرجع!$B$4:$C$12,2)</f>
        <v>4.75</v>
      </c>
      <c r="Z49" s="44" t="str">
        <f>VLOOKUP(Y49,المرجع!$D$4:$E$12,2)</f>
        <v>أ</v>
      </c>
      <c r="AA49" s="40">
        <f t="shared" si="4"/>
        <v>9.5</v>
      </c>
      <c r="AB49" s="53">
        <v>3</v>
      </c>
      <c r="AC49" s="15">
        <v>50</v>
      </c>
      <c r="AD49" s="65">
        <f>VLOOKUP(AC49,المرجع!$B$4:$C$12,2)</f>
        <v>2</v>
      </c>
      <c r="AE49" s="44" t="str">
        <f>VLOOKUP(AD49,المرجع!$D$4:$E$12,2)</f>
        <v>د</v>
      </c>
      <c r="AF49" s="40">
        <f t="shared" si="5"/>
        <v>6</v>
      </c>
      <c r="AG49" s="53">
        <v>2</v>
      </c>
      <c r="AH49" s="15">
        <v>65</v>
      </c>
      <c r="AI49" s="65">
        <f>VLOOKUP(AH49,المرجع!$B$4:$C$12,2)</f>
        <v>2.5</v>
      </c>
      <c r="AJ49" s="44" t="str">
        <f>VLOOKUP(AI49,المرجع!$D$4:$E$12,2)</f>
        <v>د+</v>
      </c>
      <c r="AK49" s="40">
        <f t="shared" si="6"/>
        <v>5</v>
      </c>
      <c r="AL49" s="53">
        <v>2</v>
      </c>
      <c r="AM49" s="15">
        <v>80</v>
      </c>
      <c r="AN49" s="65">
        <f>VLOOKUP(AM49,المرجع!$B$4:$C$12,2)</f>
        <v>4</v>
      </c>
      <c r="AO49" s="44" t="str">
        <f>VLOOKUP(AN49,المرجع!$D$4:$E$12,2)</f>
        <v>ب</v>
      </c>
      <c r="AP49" s="40">
        <f t="shared" si="7"/>
        <v>8</v>
      </c>
      <c r="AQ49" s="53">
        <v>3</v>
      </c>
      <c r="AR49" s="15">
        <v>85</v>
      </c>
      <c r="AS49" s="65">
        <f>VLOOKUP(AR49,المرجع!$B$4:$C$12,2)</f>
        <v>4.5</v>
      </c>
      <c r="AT49" s="44" t="str">
        <f>VLOOKUP(AS49,المرجع!$D$4:$E$12,2)</f>
        <v>ب+</v>
      </c>
      <c r="AU49" s="40">
        <f t="shared" si="8"/>
        <v>13.5</v>
      </c>
      <c r="AV49" s="53">
        <v>2</v>
      </c>
      <c r="AW49" s="15">
        <v>63</v>
      </c>
      <c r="AX49" s="65">
        <f>VLOOKUP(AW49,المرجع!$B$4:$C$12,2)</f>
        <v>2</v>
      </c>
      <c r="AY49" s="44" t="str">
        <f>VLOOKUP(AX49,المرجع!$D$4:$E$12,2)</f>
        <v>د</v>
      </c>
      <c r="AZ49" s="40">
        <f t="shared" si="9"/>
        <v>4</v>
      </c>
      <c r="BA49" s="53">
        <v>2</v>
      </c>
      <c r="BB49" s="15">
        <v>50</v>
      </c>
      <c r="BC49" s="65">
        <f>VLOOKUP(BB49,المرجع!$B$4:$C$12,2)</f>
        <v>2</v>
      </c>
      <c r="BD49" s="44" t="str">
        <f>VLOOKUP(BC49,المرجع!$D$4:$E$12,2)</f>
        <v>د</v>
      </c>
      <c r="BE49" s="40">
        <f t="shared" si="10"/>
        <v>4</v>
      </c>
      <c r="BF49" s="56">
        <v>77.75</v>
      </c>
      <c r="BG49" s="58">
        <f t="shared" si="11"/>
        <v>24</v>
      </c>
      <c r="BH49" s="60">
        <v>3.38</v>
      </c>
      <c r="BI49" s="92">
        <v>3.22</v>
      </c>
      <c r="BJ49" s="59" t="s">
        <v>118</v>
      </c>
      <c r="BK49" s="108">
        <v>49</v>
      </c>
    </row>
    <row r="50" spans="1:63" ht="28.5" hidden="1">
      <c r="A50" s="107">
        <v>2023096</v>
      </c>
      <c r="B50" s="70" t="s">
        <v>64</v>
      </c>
      <c r="C50" s="53">
        <v>1</v>
      </c>
      <c r="D50" s="15">
        <v>94</v>
      </c>
      <c r="E50" s="65">
        <f>VLOOKUP(D50,المرجع!$B$4:$C$12,2)</f>
        <v>4.75</v>
      </c>
      <c r="F50" s="44" t="str">
        <f>VLOOKUP(E50,المرجع!$D$4:$E$12,2)</f>
        <v>أ</v>
      </c>
      <c r="G50" s="40">
        <f t="shared" si="0"/>
        <v>4.75</v>
      </c>
      <c r="H50" s="53">
        <v>2</v>
      </c>
      <c r="I50" s="15">
        <v>84</v>
      </c>
      <c r="J50" s="65">
        <f>VLOOKUP(I50,المرجع!$B$4:$C$12,2)</f>
        <v>4</v>
      </c>
      <c r="K50" s="44" t="str">
        <f>VLOOKUP(J50,المرجع!$D$4:$E$12,2)</f>
        <v>ب</v>
      </c>
      <c r="L50" s="40">
        <f t="shared" si="1"/>
        <v>8</v>
      </c>
      <c r="M50" s="53">
        <v>3</v>
      </c>
      <c r="N50" s="15">
        <v>71</v>
      </c>
      <c r="O50" s="65">
        <f>VLOOKUP(N50,المرجع!$B$4:$C$12,2)</f>
        <v>3</v>
      </c>
      <c r="P50" s="44" t="str">
        <f>VLOOKUP(O50,المرجع!$D$4:$E$12,2)</f>
        <v>ج</v>
      </c>
      <c r="Q50" s="40">
        <f t="shared" si="2"/>
        <v>9</v>
      </c>
      <c r="R50" s="53">
        <v>2</v>
      </c>
      <c r="S50" s="15">
        <v>89</v>
      </c>
      <c r="T50" s="65">
        <f>VLOOKUP(S50,المرجع!$B$4:$C$12,2)</f>
        <v>4.5</v>
      </c>
      <c r="U50" s="44" t="str">
        <f>VLOOKUP(T50,المرجع!$D$4:$E$12,2)</f>
        <v>ب+</v>
      </c>
      <c r="V50" s="40">
        <f t="shared" si="3"/>
        <v>9</v>
      </c>
      <c r="W50" s="53">
        <v>2</v>
      </c>
      <c r="X50" s="15">
        <v>94</v>
      </c>
      <c r="Y50" s="65">
        <f>VLOOKUP(X50,المرجع!$B$4:$C$12,2)</f>
        <v>4.75</v>
      </c>
      <c r="Z50" s="44" t="str">
        <f>VLOOKUP(Y50,المرجع!$D$4:$E$12,2)</f>
        <v>أ</v>
      </c>
      <c r="AA50" s="40">
        <f t="shared" si="4"/>
        <v>9.5</v>
      </c>
      <c r="AB50" s="53">
        <v>3</v>
      </c>
      <c r="AC50" s="15">
        <v>30</v>
      </c>
      <c r="AD50" s="65">
        <f>VLOOKUP(AC50,المرجع!$B$4:$C$12,2)</f>
        <v>0</v>
      </c>
      <c r="AE50" s="44" t="str">
        <f>VLOOKUP(AD50,المرجع!$D$4:$E$12,2)</f>
        <v>ه</v>
      </c>
      <c r="AF50" s="40">
        <f t="shared" si="5"/>
        <v>0</v>
      </c>
      <c r="AG50" s="53">
        <v>2</v>
      </c>
      <c r="AH50" s="15">
        <v>81</v>
      </c>
      <c r="AI50" s="65">
        <f>VLOOKUP(AH50,المرجع!$B$4:$C$12,2)</f>
        <v>4</v>
      </c>
      <c r="AJ50" s="44" t="str">
        <f>VLOOKUP(AI50,المرجع!$D$4:$E$12,2)</f>
        <v>ب</v>
      </c>
      <c r="AK50" s="40">
        <f t="shared" si="6"/>
        <v>8</v>
      </c>
      <c r="AL50" s="53">
        <v>2</v>
      </c>
      <c r="AM50" s="15">
        <v>84</v>
      </c>
      <c r="AN50" s="65">
        <f>VLOOKUP(AM50,المرجع!$B$4:$C$12,2)</f>
        <v>4</v>
      </c>
      <c r="AO50" s="44" t="str">
        <f>VLOOKUP(AN50,المرجع!$D$4:$E$12,2)</f>
        <v>ب</v>
      </c>
      <c r="AP50" s="40">
        <f t="shared" si="7"/>
        <v>8</v>
      </c>
      <c r="AQ50" s="53">
        <v>3</v>
      </c>
      <c r="AR50" s="15">
        <v>87</v>
      </c>
      <c r="AS50" s="65">
        <f>VLOOKUP(AR50,المرجع!$B$4:$C$12,2)</f>
        <v>4.5</v>
      </c>
      <c r="AT50" s="44" t="str">
        <f>VLOOKUP(AS50,المرجع!$D$4:$E$12,2)</f>
        <v>ب+</v>
      </c>
      <c r="AU50" s="40">
        <f t="shared" si="8"/>
        <v>13.5</v>
      </c>
      <c r="AV50" s="53">
        <v>2</v>
      </c>
      <c r="AW50" s="15">
        <v>50</v>
      </c>
      <c r="AX50" s="65">
        <f>VLOOKUP(AW50,المرجع!$B$4:$C$12,2)</f>
        <v>2</v>
      </c>
      <c r="AY50" s="44" t="str">
        <f>VLOOKUP(AX50,المرجع!$D$4:$E$12,2)</f>
        <v>د</v>
      </c>
      <c r="AZ50" s="40">
        <f t="shared" si="9"/>
        <v>4</v>
      </c>
      <c r="BA50" s="53">
        <v>2</v>
      </c>
      <c r="BB50" s="15">
        <v>52</v>
      </c>
      <c r="BC50" s="65">
        <f>VLOOKUP(BB50,المرجع!$B$4:$C$12,2)</f>
        <v>2</v>
      </c>
      <c r="BD50" s="44" t="str">
        <f>VLOOKUP(BC50,المرجع!$D$4:$E$12,2)</f>
        <v>د</v>
      </c>
      <c r="BE50" s="40">
        <f t="shared" si="10"/>
        <v>4</v>
      </c>
      <c r="BF50" s="56">
        <v>78</v>
      </c>
      <c r="BG50" s="58">
        <f t="shared" si="11"/>
        <v>24</v>
      </c>
      <c r="BH50" s="60">
        <v>3.39</v>
      </c>
      <c r="BI50" s="92">
        <v>3.2</v>
      </c>
      <c r="BJ50" s="59" t="s">
        <v>118</v>
      </c>
      <c r="BK50" s="108">
        <v>48</v>
      </c>
    </row>
    <row r="51" spans="1:63" ht="28.5" hidden="1">
      <c r="A51" s="107">
        <v>2023067</v>
      </c>
      <c r="B51" s="70" t="s">
        <v>71</v>
      </c>
      <c r="C51" s="53">
        <v>1</v>
      </c>
      <c r="D51" s="15">
        <v>36</v>
      </c>
      <c r="E51" s="65">
        <f>VLOOKUP(D51,المرجع!$B$4:$C$12,2)</f>
        <v>0</v>
      </c>
      <c r="F51" s="44" t="str">
        <f>VLOOKUP(E51,المرجع!$D$4:$E$12,2)</f>
        <v>ه</v>
      </c>
      <c r="G51" s="40">
        <f t="shared" si="0"/>
        <v>0</v>
      </c>
      <c r="H51" s="53">
        <v>2</v>
      </c>
      <c r="I51" s="15">
        <v>94</v>
      </c>
      <c r="J51" s="65">
        <f>VLOOKUP(I51,المرجع!$B$4:$C$12,2)</f>
        <v>4.75</v>
      </c>
      <c r="K51" s="44" t="str">
        <f>VLOOKUP(J51,المرجع!$D$4:$E$12,2)</f>
        <v>أ</v>
      </c>
      <c r="L51" s="40">
        <f t="shared" si="1"/>
        <v>9.5</v>
      </c>
      <c r="M51" s="53">
        <v>3</v>
      </c>
      <c r="N51" s="15">
        <v>65</v>
      </c>
      <c r="O51" s="65">
        <f>VLOOKUP(N51,المرجع!$B$4:$C$12,2)</f>
        <v>2.5</v>
      </c>
      <c r="P51" s="44" t="str">
        <f>VLOOKUP(O51,المرجع!$D$4:$E$12,2)</f>
        <v>د+</v>
      </c>
      <c r="Q51" s="40">
        <f t="shared" si="2"/>
        <v>7.5</v>
      </c>
      <c r="R51" s="53">
        <v>2</v>
      </c>
      <c r="S51" s="15">
        <v>87</v>
      </c>
      <c r="T51" s="65">
        <f>VLOOKUP(S51,المرجع!$B$4:$C$12,2)</f>
        <v>4.5</v>
      </c>
      <c r="U51" s="44" t="str">
        <f>VLOOKUP(T51,المرجع!$D$4:$E$12,2)</f>
        <v>ب+</v>
      </c>
      <c r="V51" s="40">
        <f t="shared" si="3"/>
        <v>9</v>
      </c>
      <c r="W51" s="53">
        <v>2</v>
      </c>
      <c r="X51" s="15">
        <v>99</v>
      </c>
      <c r="Y51" s="65">
        <f>VLOOKUP(X51,المرجع!$B$4:$C$12,2)</f>
        <v>5</v>
      </c>
      <c r="Z51" s="44" t="str">
        <f>VLOOKUP(Y51,المرجع!$D$4:$E$12,2)</f>
        <v xml:space="preserve">أ+ </v>
      </c>
      <c r="AA51" s="40">
        <f t="shared" si="4"/>
        <v>10</v>
      </c>
      <c r="AB51" s="53">
        <v>3</v>
      </c>
      <c r="AC51" s="15">
        <v>54</v>
      </c>
      <c r="AD51" s="65">
        <f>VLOOKUP(AC51,المرجع!$B$4:$C$12,2)</f>
        <v>2</v>
      </c>
      <c r="AE51" s="44" t="str">
        <f>VLOOKUP(AD51,المرجع!$D$4:$E$12,2)</f>
        <v>د</v>
      </c>
      <c r="AF51" s="40">
        <f t="shared" si="5"/>
        <v>6</v>
      </c>
      <c r="AG51" s="53">
        <v>2</v>
      </c>
      <c r="AH51" s="15">
        <v>89</v>
      </c>
      <c r="AI51" s="65">
        <f>VLOOKUP(AH51,المرجع!$B$4:$C$12,2)</f>
        <v>4.5</v>
      </c>
      <c r="AJ51" s="44" t="str">
        <f>VLOOKUP(AI51,المرجع!$D$4:$E$12,2)</f>
        <v>ب+</v>
      </c>
      <c r="AK51" s="40">
        <f t="shared" si="6"/>
        <v>9</v>
      </c>
      <c r="AL51" s="53">
        <v>2</v>
      </c>
      <c r="AM51" s="15">
        <v>70</v>
      </c>
      <c r="AN51" s="65">
        <f>VLOOKUP(AM51,المرجع!$B$4:$C$12,2)</f>
        <v>3</v>
      </c>
      <c r="AO51" s="44" t="str">
        <f>VLOOKUP(AN51,المرجع!$D$4:$E$12,2)</f>
        <v>ج</v>
      </c>
      <c r="AP51" s="40">
        <f t="shared" si="7"/>
        <v>6</v>
      </c>
      <c r="AQ51" s="53">
        <v>3</v>
      </c>
      <c r="AR51" s="15">
        <v>92</v>
      </c>
      <c r="AS51" s="65">
        <f>VLOOKUP(AR51,المرجع!$B$4:$C$12,2)</f>
        <v>4.75</v>
      </c>
      <c r="AT51" s="44" t="str">
        <f>VLOOKUP(AS51,المرجع!$D$4:$E$12,2)</f>
        <v>أ</v>
      </c>
      <c r="AU51" s="40">
        <f t="shared" si="8"/>
        <v>14.25</v>
      </c>
      <c r="AV51" s="53">
        <v>2</v>
      </c>
      <c r="AW51" s="15">
        <v>60</v>
      </c>
      <c r="AX51" s="65">
        <f>VLOOKUP(AW51,المرجع!$B$4:$C$12,2)</f>
        <v>2</v>
      </c>
      <c r="AY51" s="44" t="str">
        <f>VLOOKUP(AX51,المرجع!$D$4:$E$12,2)</f>
        <v>د</v>
      </c>
      <c r="AZ51" s="40">
        <f t="shared" si="9"/>
        <v>4</v>
      </c>
      <c r="BA51" s="53">
        <v>2</v>
      </c>
      <c r="BB51" s="15">
        <v>62</v>
      </c>
      <c r="BC51" s="65">
        <f>VLOOKUP(BB51,المرجع!$B$4:$C$12,2)</f>
        <v>2</v>
      </c>
      <c r="BD51" s="44" t="str">
        <f>VLOOKUP(BC51,المرجع!$D$4:$E$12,2)</f>
        <v>د</v>
      </c>
      <c r="BE51" s="40">
        <f t="shared" si="10"/>
        <v>4</v>
      </c>
      <c r="BF51" s="56">
        <v>81.25</v>
      </c>
      <c r="BG51" s="58">
        <f t="shared" si="11"/>
        <v>24</v>
      </c>
      <c r="BH51" s="60">
        <v>3.53</v>
      </c>
      <c r="BI51" s="92">
        <v>3.18</v>
      </c>
      <c r="BJ51" s="59" t="s">
        <v>118</v>
      </c>
      <c r="BK51" s="108">
        <v>43</v>
      </c>
    </row>
    <row r="52" spans="1:63" ht="28.5" hidden="1">
      <c r="A52" s="107">
        <v>2023099</v>
      </c>
      <c r="B52" s="70" t="s">
        <v>69</v>
      </c>
      <c r="C52" s="53">
        <v>1</v>
      </c>
      <c r="D52" s="15">
        <v>37</v>
      </c>
      <c r="E52" s="65">
        <f>VLOOKUP(D52,المرجع!$B$4:$C$12,2)</f>
        <v>0</v>
      </c>
      <c r="F52" s="44" t="str">
        <f>VLOOKUP(E52,المرجع!$D$4:$E$12,2)</f>
        <v>ه</v>
      </c>
      <c r="G52" s="40">
        <f t="shared" si="0"/>
        <v>0</v>
      </c>
      <c r="H52" s="53">
        <v>2</v>
      </c>
      <c r="I52" s="15">
        <v>87</v>
      </c>
      <c r="J52" s="65">
        <f>VLOOKUP(I52,المرجع!$B$4:$C$12,2)</f>
        <v>4.5</v>
      </c>
      <c r="K52" s="44" t="str">
        <f>VLOOKUP(J52,المرجع!$D$4:$E$12,2)</f>
        <v>ب+</v>
      </c>
      <c r="L52" s="40">
        <f t="shared" si="1"/>
        <v>9</v>
      </c>
      <c r="M52" s="53">
        <v>3</v>
      </c>
      <c r="N52" s="15">
        <v>98</v>
      </c>
      <c r="O52" s="65">
        <f>VLOOKUP(N52,المرجع!$B$4:$C$12,2)</f>
        <v>5</v>
      </c>
      <c r="P52" s="44" t="str">
        <f>VLOOKUP(O52,المرجع!$D$4:$E$12,2)</f>
        <v xml:space="preserve">أ+ </v>
      </c>
      <c r="Q52" s="40">
        <f t="shared" si="2"/>
        <v>15</v>
      </c>
      <c r="R52" s="53">
        <v>2</v>
      </c>
      <c r="S52" s="15">
        <v>70</v>
      </c>
      <c r="T52" s="65">
        <f>VLOOKUP(S52,المرجع!$B$4:$C$12,2)</f>
        <v>3</v>
      </c>
      <c r="U52" s="44" t="str">
        <f>VLOOKUP(T52,المرجع!$D$4:$E$12,2)</f>
        <v>ج</v>
      </c>
      <c r="V52" s="40">
        <f t="shared" si="3"/>
        <v>6</v>
      </c>
      <c r="W52" s="53">
        <v>2</v>
      </c>
      <c r="X52" s="15">
        <v>99</v>
      </c>
      <c r="Y52" s="65">
        <f>VLOOKUP(X52,المرجع!$B$4:$C$12,2)</f>
        <v>5</v>
      </c>
      <c r="Z52" s="44" t="str">
        <f>VLOOKUP(Y52,المرجع!$D$4:$E$12,2)</f>
        <v xml:space="preserve">أ+ </v>
      </c>
      <c r="AA52" s="40">
        <f t="shared" si="4"/>
        <v>10</v>
      </c>
      <c r="AB52" s="53">
        <v>3</v>
      </c>
      <c r="AC52" s="15">
        <v>51</v>
      </c>
      <c r="AD52" s="65">
        <f>VLOOKUP(AC52,المرجع!$B$4:$C$12,2)</f>
        <v>2</v>
      </c>
      <c r="AE52" s="44" t="str">
        <f>VLOOKUP(AD52,المرجع!$D$4:$E$12,2)</f>
        <v>د</v>
      </c>
      <c r="AF52" s="40">
        <f t="shared" si="5"/>
        <v>6</v>
      </c>
      <c r="AG52" s="53">
        <v>2</v>
      </c>
      <c r="AH52" s="15">
        <v>97</v>
      </c>
      <c r="AI52" s="65">
        <f>VLOOKUP(AH52,المرجع!$B$4:$C$12,2)</f>
        <v>5</v>
      </c>
      <c r="AJ52" s="44" t="str">
        <f>VLOOKUP(AI52,المرجع!$D$4:$E$12,2)</f>
        <v xml:space="preserve">أ+ </v>
      </c>
      <c r="AK52" s="40">
        <f t="shared" si="6"/>
        <v>10</v>
      </c>
      <c r="AL52" s="53">
        <v>2</v>
      </c>
      <c r="AM52" s="15">
        <v>85</v>
      </c>
      <c r="AN52" s="65">
        <f>VLOOKUP(AM52,المرجع!$B$4:$C$12,2)</f>
        <v>4.5</v>
      </c>
      <c r="AO52" s="44" t="str">
        <f>VLOOKUP(AN52,المرجع!$D$4:$E$12,2)</f>
        <v>ب+</v>
      </c>
      <c r="AP52" s="40">
        <f t="shared" si="7"/>
        <v>9</v>
      </c>
      <c r="AQ52" s="53">
        <v>3</v>
      </c>
      <c r="AR52" s="15">
        <v>97</v>
      </c>
      <c r="AS52" s="65">
        <f>VLOOKUP(AR52,المرجع!$B$4:$C$12,2)</f>
        <v>5</v>
      </c>
      <c r="AT52" s="44" t="str">
        <f>VLOOKUP(AS52,المرجع!$D$4:$E$12,2)</f>
        <v xml:space="preserve">أ+ </v>
      </c>
      <c r="AU52" s="40">
        <f t="shared" si="8"/>
        <v>15</v>
      </c>
      <c r="AV52" s="53">
        <v>2</v>
      </c>
      <c r="AW52" s="15">
        <v>50</v>
      </c>
      <c r="AX52" s="65">
        <f>VLOOKUP(AW52,المرجع!$B$4:$C$12,2)</f>
        <v>2</v>
      </c>
      <c r="AY52" s="44" t="str">
        <f>VLOOKUP(AX52,المرجع!$D$4:$E$12,2)</f>
        <v>د</v>
      </c>
      <c r="AZ52" s="40">
        <f t="shared" si="9"/>
        <v>4</v>
      </c>
      <c r="BA52" s="53">
        <v>2</v>
      </c>
      <c r="BB52" s="15">
        <v>50</v>
      </c>
      <c r="BC52" s="65">
        <f>VLOOKUP(BB52,المرجع!$B$4:$C$12,2)</f>
        <v>2</v>
      </c>
      <c r="BD52" s="44" t="str">
        <f>VLOOKUP(BC52,المرجع!$D$4:$E$12,2)</f>
        <v>د</v>
      </c>
      <c r="BE52" s="40">
        <f t="shared" si="10"/>
        <v>4</v>
      </c>
      <c r="BF52" s="56">
        <v>77</v>
      </c>
      <c r="BG52" s="58">
        <f t="shared" si="11"/>
        <v>24</v>
      </c>
      <c r="BH52" s="60">
        <v>3.34</v>
      </c>
      <c r="BI52" s="92">
        <v>3.12</v>
      </c>
      <c r="BJ52" s="59" t="s">
        <v>118</v>
      </c>
      <c r="BK52" s="108">
        <v>52</v>
      </c>
    </row>
    <row r="53" spans="1:63" ht="28.5" hidden="1">
      <c r="A53" s="107">
        <v>2023052</v>
      </c>
      <c r="B53" s="70" t="s">
        <v>28</v>
      </c>
      <c r="C53" s="53">
        <v>1</v>
      </c>
      <c r="D53" s="15">
        <v>50</v>
      </c>
      <c r="E53" s="65">
        <f>VLOOKUP(D53,المرجع!$B$4:$C$12,2)</f>
        <v>2</v>
      </c>
      <c r="F53" s="44" t="str">
        <f>VLOOKUP(E53,المرجع!$D$4:$E$12,2)</f>
        <v>د</v>
      </c>
      <c r="G53" s="40">
        <f t="shared" si="0"/>
        <v>2</v>
      </c>
      <c r="H53" s="53">
        <v>2</v>
      </c>
      <c r="I53" s="15">
        <v>70</v>
      </c>
      <c r="J53" s="65">
        <f>VLOOKUP(I53,المرجع!$B$4:$C$12,2)</f>
        <v>3</v>
      </c>
      <c r="K53" s="44" t="str">
        <f>VLOOKUP(J53,المرجع!$D$4:$E$12,2)</f>
        <v>ج</v>
      </c>
      <c r="L53" s="40">
        <f t="shared" si="1"/>
        <v>6</v>
      </c>
      <c r="M53" s="53">
        <v>3</v>
      </c>
      <c r="N53" s="15">
        <v>100</v>
      </c>
      <c r="O53" s="65">
        <f>VLOOKUP(N53,المرجع!$B$4:$C$12,2)</f>
        <v>5</v>
      </c>
      <c r="P53" s="44" t="str">
        <f>VLOOKUP(O53,المرجع!$D$4:$E$12,2)</f>
        <v xml:space="preserve">أ+ </v>
      </c>
      <c r="Q53" s="40">
        <f t="shared" si="2"/>
        <v>15</v>
      </c>
      <c r="R53" s="53">
        <v>2</v>
      </c>
      <c r="S53" s="15">
        <v>91</v>
      </c>
      <c r="T53" s="65">
        <f>VLOOKUP(S53,المرجع!$B$4:$C$12,2)</f>
        <v>4.75</v>
      </c>
      <c r="U53" s="44" t="str">
        <f>VLOOKUP(T53,المرجع!$D$4:$E$12,2)</f>
        <v>أ</v>
      </c>
      <c r="V53" s="40">
        <f t="shared" si="3"/>
        <v>9.5</v>
      </c>
      <c r="W53" s="53">
        <v>2</v>
      </c>
      <c r="X53" s="15">
        <v>93</v>
      </c>
      <c r="Y53" s="65">
        <f>VLOOKUP(X53,المرجع!$B$4:$C$12,2)</f>
        <v>4.75</v>
      </c>
      <c r="Z53" s="44" t="str">
        <f>VLOOKUP(Y53,المرجع!$D$4:$E$12,2)</f>
        <v>أ</v>
      </c>
      <c r="AA53" s="40">
        <f t="shared" si="4"/>
        <v>9.5</v>
      </c>
      <c r="AB53" s="53">
        <v>3</v>
      </c>
      <c r="AC53" s="15">
        <v>50</v>
      </c>
      <c r="AD53" s="65">
        <f>VLOOKUP(AC53,المرجع!$B$4:$C$12,2)</f>
        <v>2</v>
      </c>
      <c r="AE53" s="44" t="str">
        <f>VLOOKUP(AD53,المرجع!$D$4:$E$12,2)</f>
        <v>د</v>
      </c>
      <c r="AF53" s="40">
        <f t="shared" si="5"/>
        <v>6</v>
      </c>
      <c r="AG53" s="53">
        <v>2</v>
      </c>
      <c r="AH53" s="15">
        <v>95</v>
      </c>
      <c r="AI53" s="65">
        <f>VLOOKUP(AH53,المرجع!$B$4:$C$12,2)</f>
        <v>5</v>
      </c>
      <c r="AJ53" s="44" t="str">
        <f>VLOOKUP(AI53,المرجع!$D$4:$E$12,2)</f>
        <v xml:space="preserve">أ+ </v>
      </c>
      <c r="AK53" s="40">
        <f t="shared" si="6"/>
        <v>10</v>
      </c>
      <c r="AL53" s="53">
        <v>2</v>
      </c>
      <c r="AM53" s="15">
        <v>81</v>
      </c>
      <c r="AN53" s="65">
        <f>VLOOKUP(AM53,المرجع!$B$4:$C$12,2)</f>
        <v>4</v>
      </c>
      <c r="AO53" s="44" t="str">
        <f>VLOOKUP(AN53,المرجع!$D$4:$E$12,2)</f>
        <v>ب</v>
      </c>
      <c r="AP53" s="40">
        <f t="shared" si="7"/>
        <v>8</v>
      </c>
      <c r="AQ53" s="53">
        <v>3</v>
      </c>
      <c r="AR53" s="15">
        <v>87</v>
      </c>
      <c r="AS53" s="65">
        <f>VLOOKUP(AR53,المرجع!$B$4:$C$12,2)</f>
        <v>4.5</v>
      </c>
      <c r="AT53" s="44" t="str">
        <f>VLOOKUP(AS53,المرجع!$D$4:$E$12,2)</f>
        <v>ب+</v>
      </c>
      <c r="AU53" s="40">
        <f t="shared" si="8"/>
        <v>13.5</v>
      </c>
      <c r="AV53" s="53">
        <v>2</v>
      </c>
      <c r="AW53" s="15">
        <v>55</v>
      </c>
      <c r="AX53" s="65">
        <f>VLOOKUP(AW53,المرجع!$B$4:$C$12,2)</f>
        <v>2</v>
      </c>
      <c r="AY53" s="44" t="str">
        <f>VLOOKUP(AX53,المرجع!$D$4:$E$12,2)</f>
        <v>د</v>
      </c>
      <c r="AZ53" s="40">
        <f t="shared" si="9"/>
        <v>4</v>
      </c>
      <c r="BA53" s="53">
        <v>2</v>
      </c>
      <c r="BB53" s="15">
        <v>58</v>
      </c>
      <c r="BC53" s="65">
        <f>VLOOKUP(BB53,المرجع!$B$4:$C$12,2)</f>
        <v>2</v>
      </c>
      <c r="BD53" s="44" t="str">
        <f>VLOOKUP(BC53,المرجع!$D$4:$E$12,2)</f>
        <v>د</v>
      </c>
      <c r="BE53" s="40">
        <f t="shared" si="10"/>
        <v>4</v>
      </c>
      <c r="BF53" s="56">
        <v>76</v>
      </c>
      <c r="BG53" s="58">
        <f t="shared" si="11"/>
        <v>24</v>
      </c>
      <c r="BH53" s="60">
        <v>3.3</v>
      </c>
      <c r="BI53" s="92">
        <v>3.1173913043478261</v>
      </c>
      <c r="BJ53" s="59" t="s">
        <v>118</v>
      </c>
      <c r="BK53" s="108">
        <v>54</v>
      </c>
    </row>
    <row r="54" spans="1:63" ht="28.5" hidden="1">
      <c r="A54" s="107">
        <v>2023103</v>
      </c>
      <c r="B54" s="70" t="s">
        <v>75</v>
      </c>
      <c r="C54" s="53">
        <v>1</v>
      </c>
      <c r="D54" s="15">
        <v>20</v>
      </c>
      <c r="E54" s="65">
        <f>VLOOKUP(D54,المرجع!$B$4:$C$12,2)</f>
        <v>0</v>
      </c>
      <c r="F54" s="44" t="str">
        <f>VLOOKUP(E54,المرجع!$D$4:$E$12,2)</f>
        <v>ه</v>
      </c>
      <c r="G54" s="40">
        <f t="shared" si="0"/>
        <v>0</v>
      </c>
      <c r="H54" s="53">
        <v>2</v>
      </c>
      <c r="I54" s="15">
        <v>77</v>
      </c>
      <c r="J54" s="65">
        <f>VLOOKUP(I54,المرجع!$B$4:$C$12,2)</f>
        <v>3.5</v>
      </c>
      <c r="K54" s="44" t="str">
        <f>VLOOKUP(J54,المرجع!$D$4:$E$12,2)</f>
        <v>ج+</v>
      </c>
      <c r="L54" s="40">
        <f t="shared" si="1"/>
        <v>7</v>
      </c>
      <c r="M54" s="53">
        <v>3</v>
      </c>
      <c r="N54" s="15">
        <v>70</v>
      </c>
      <c r="O54" s="65">
        <f>VLOOKUP(N54,المرجع!$B$4:$C$12,2)</f>
        <v>3</v>
      </c>
      <c r="P54" s="44" t="str">
        <f>VLOOKUP(O54,المرجع!$D$4:$E$12,2)</f>
        <v>ج</v>
      </c>
      <c r="Q54" s="40">
        <f t="shared" si="2"/>
        <v>9</v>
      </c>
      <c r="R54" s="53">
        <v>2</v>
      </c>
      <c r="S54" s="15">
        <v>89</v>
      </c>
      <c r="T54" s="65">
        <f>VLOOKUP(S54,المرجع!$B$4:$C$12,2)</f>
        <v>4.5</v>
      </c>
      <c r="U54" s="44" t="str">
        <f>VLOOKUP(T54,المرجع!$D$4:$E$12,2)</f>
        <v>ب+</v>
      </c>
      <c r="V54" s="40">
        <f t="shared" si="3"/>
        <v>9</v>
      </c>
      <c r="W54" s="53">
        <v>2</v>
      </c>
      <c r="X54" s="15">
        <v>98</v>
      </c>
      <c r="Y54" s="65">
        <f>VLOOKUP(X54,المرجع!$B$4:$C$12,2)</f>
        <v>5</v>
      </c>
      <c r="Z54" s="44" t="str">
        <f>VLOOKUP(Y54,المرجع!$D$4:$E$12,2)</f>
        <v xml:space="preserve">أ+ </v>
      </c>
      <c r="AA54" s="40">
        <f t="shared" si="4"/>
        <v>10</v>
      </c>
      <c r="AB54" s="53">
        <v>3</v>
      </c>
      <c r="AC54" s="15">
        <v>39</v>
      </c>
      <c r="AD54" s="65">
        <f>VLOOKUP(AC54,المرجع!$B$4:$C$12,2)</f>
        <v>0</v>
      </c>
      <c r="AE54" s="44" t="str">
        <f>VLOOKUP(AD54,المرجع!$D$4:$E$12,2)</f>
        <v>ه</v>
      </c>
      <c r="AF54" s="40">
        <f t="shared" si="5"/>
        <v>0</v>
      </c>
      <c r="AG54" s="53">
        <v>2</v>
      </c>
      <c r="AH54" s="15">
        <v>91</v>
      </c>
      <c r="AI54" s="65">
        <f>VLOOKUP(AH54,المرجع!$B$4:$C$12,2)</f>
        <v>4.75</v>
      </c>
      <c r="AJ54" s="44" t="str">
        <f>VLOOKUP(AI54,المرجع!$D$4:$E$12,2)</f>
        <v>أ</v>
      </c>
      <c r="AK54" s="40">
        <f t="shared" si="6"/>
        <v>9.5</v>
      </c>
      <c r="AL54" s="53">
        <v>2</v>
      </c>
      <c r="AM54" s="15">
        <v>85</v>
      </c>
      <c r="AN54" s="65">
        <f>VLOOKUP(AM54,المرجع!$B$4:$C$12,2)</f>
        <v>4.5</v>
      </c>
      <c r="AO54" s="44" t="str">
        <f>VLOOKUP(AN54,المرجع!$D$4:$E$12,2)</f>
        <v>ب+</v>
      </c>
      <c r="AP54" s="40">
        <f t="shared" si="7"/>
        <v>9</v>
      </c>
      <c r="AQ54" s="53">
        <v>3</v>
      </c>
      <c r="AR54" s="15">
        <v>89</v>
      </c>
      <c r="AS54" s="65">
        <f>VLOOKUP(AR54,المرجع!$B$4:$C$12,2)</f>
        <v>4.5</v>
      </c>
      <c r="AT54" s="44" t="str">
        <f>VLOOKUP(AS54,المرجع!$D$4:$E$12,2)</f>
        <v>ب+</v>
      </c>
      <c r="AU54" s="40">
        <f t="shared" si="8"/>
        <v>13.5</v>
      </c>
      <c r="AV54" s="53">
        <v>2</v>
      </c>
      <c r="AW54" s="15">
        <v>50</v>
      </c>
      <c r="AX54" s="65">
        <f>VLOOKUP(AW54,المرجع!$B$4:$C$12,2)</f>
        <v>2</v>
      </c>
      <c r="AY54" s="44" t="str">
        <f>VLOOKUP(AX54,المرجع!$D$4:$E$12,2)</f>
        <v>د</v>
      </c>
      <c r="AZ54" s="40">
        <f t="shared" si="9"/>
        <v>4</v>
      </c>
      <c r="BA54" s="53">
        <v>2</v>
      </c>
      <c r="BB54" s="15">
        <v>90</v>
      </c>
      <c r="BC54" s="65">
        <f>VLOOKUP(BB54,المرجع!$B$4:$C$12,2)</f>
        <v>4.75</v>
      </c>
      <c r="BD54" s="44" t="str">
        <f>VLOOKUP(BC54,المرجع!$D$4:$E$12,2)</f>
        <v>أ</v>
      </c>
      <c r="BE54" s="40">
        <f t="shared" si="10"/>
        <v>9.5</v>
      </c>
      <c r="BF54" s="56">
        <v>81</v>
      </c>
      <c r="BG54" s="58">
        <f t="shared" si="11"/>
        <v>24</v>
      </c>
      <c r="BH54" s="60">
        <v>3.52</v>
      </c>
      <c r="BI54" s="92">
        <v>3.09</v>
      </c>
      <c r="BJ54" s="59" t="s">
        <v>118</v>
      </c>
      <c r="BK54" s="108">
        <v>45</v>
      </c>
    </row>
    <row r="55" spans="1:63" ht="28.5" hidden="1">
      <c r="A55" s="107">
        <v>2023003</v>
      </c>
      <c r="B55" s="70" t="s">
        <v>24</v>
      </c>
      <c r="C55" s="53">
        <v>1</v>
      </c>
      <c r="D55" s="15">
        <v>89</v>
      </c>
      <c r="E55" s="65">
        <f>VLOOKUP(D55,المرجع!$B$4:$C$12,2)</f>
        <v>4.5</v>
      </c>
      <c r="F55" s="44" t="str">
        <f>VLOOKUP(E55,المرجع!$D$4:$E$12,2)</f>
        <v>ب+</v>
      </c>
      <c r="G55" s="40">
        <f t="shared" si="0"/>
        <v>4.5</v>
      </c>
      <c r="H55" s="53">
        <v>2</v>
      </c>
      <c r="I55" s="15">
        <v>75</v>
      </c>
      <c r="J55" s="65">
        <f>VLOOKUP(I55,المرجع!$B$4:$C$12,2)</f>
        <v>3.5</v>
      </c>
      <c r="K55" s="44" t="str">
        <f>VLOOKUP(J55,المرجع!$D$4:$E$12,2)</f>
        <v>ج+</v>
      </c>
      <c r="L55" s="40">
        <f t="shared" si="1"/>
        <v>7</v>
      </c>
      <c r="M55" s="53">
        <v>3</v>
      </c>
      <c r="N55" s="15">
        <v>84</v>
      </c>
      <c r="O55" s="65">
        <f>VLOOKUP(N55,المرجع!$B$4:$C$12,2)</f>
        <v>4</v>
      </c>
      <c r="P55" s="44" t="str">
        <f>VLOOKUP(O55,المرجع!$D$4:$E$12,2)</f>
        <v>ب</v>
      </c>
      <c r="Q55" s="40">
        <f t="shared" si="2"/>
        <v>12</v>
      </c>
      <c r="R55" s="53">
        <v>2</v>
      </c>
      <c r="S55" s="15">
        <v>88</v>
      </c>
      <c r="T55" s="65">
        <f>VLOOKUP(S55,المرجع!$B$4:$C$12,2)</f>
        <v>4.5</v>
      </c>
      <c r="U55" s="44" t="str">
        <f>VLOOKUP(T55,المرجع!$D$4:$E$12,2)</f>
        <v>ب+</v>
      </c>
      <c r="V55" s="40">
        <f t="shared" si="3"/>
        <v>9</v>
      </c>
      <c r="W55" s="53">
        <v>2</v>
      </c>
      <c r="X55" s="15">
        <v>95</v>
      </c>
      <c r="Y55" s="65">
        <f>VLOOKUP(X55,المرجع!$B$4:$C$12,2)</f>
        <v>5</v>
      </c>
      <c r="Z55" s="44" t="str">
        <f>VLOOKUP(Y55,المرجع!$D$4:$E$12,2)</f>
        <v xml:space="preserve">أ+ </v>
      </c>
      <c r="AA55" s="40">
        <f t="shared" si="4"/>
        <v>10</v>
      </c>
      <c r="AB55" s="53">
        <v>3</v>
      </c>
      <c r="AC55" s="15">
        <v>50</v>
      </c>
      <c r="AD55" s="65">
        <f>VLOOKUP(AC55,المرجع!$B$4:$C$12,2)</f>
        <v>2</v>
      </c>
      <c r="AE55" s="44" t="str">
        <f>VLOOKUP(AD55,المرجع!$D$4:$E$12,2)</f>
        <v>د</v>
      </c>
      <c r="AF55" s="40">
        <f t="shared" si="5"/>
        <v>6</v>
      </c>
      <c r="AG55" s="53">
        <v>2</v>
      </c>
      <c r="AH55" s="15">
        <v>50</v>
      </c>
      <c r="AI55" s="65">
        <f>VLOOKUP(AH55,المرجع!$B$4:$C$12,2)</f>
        <v>2</v>
      </c>
      <c r="AJ55" s="44" t="str">
        <f>VLOOKUP(AI55,المرجع!$D$4:$E$12,2)</f>
        <v>د</v>
      </c>
      <c r="AK55" s="40">
        <f t="shared" si="6"/>
        <v>4</v>
      </c>
      <c r="AL55" s="53">
        <v>2</v>
      </c>
      <c r="AM55" s="15">
        <v>95</v>
      </c>
      <c r="AN55" s="65">
        <f>VLOOKUP(AM55,المرجع!$B$4:$C$12,2)</f>
        <v>5</v>
      </c>
      <c r="AO55" s="44" t="str">
        <f>VLOOKUP(AN55,المرجع!$D$4:$E$12,2)</f>
        <v xml:space="preserve">أ+ </v>
      </c>
      <c r="AP55" s="40">
        <f t="shared" si="7"/>
        <v>10</v>
      </c>
      <c r="AQ55" s="53">
        <v>3</v>
      </c>
      <c r="AR55" s="15">
        <v>63</v>
      </c>
      <c r="AS55" s="65">
        <f>VLOOKUP(AR55,المرجع!$B$4:$C$12,2)</f>
        <v>2</v>
      </c>
      <c r="AT55" s="44" t="str">
        <f>VLOOKUP(AS55,المرجع!$D$4:$E$12,2)</f>
        <v>د</v>
      </c>
      <c r="AU55" s="40">
        <f t="shared" si="8"/>
        <v>6</v>
      </c>
      <c r="AV55" s="53">
        <v>2</v>
      </c>
      <c r="AW55" s="15">
        <v>68</v>
      </c>
      <c r="AX55" s="65">
        <f>VLOOKUP(AW55,المرجع!$B$4:$C$12,2)</f>
        <v>2.5</v>
      </c>
      <c r="AY55" s="44" t="str">
        <f>VLOOKUP(AX55,المرجع!$D$4:$E$12,2)</f>
        <v>د+</v>
      </c>
      <c r="AZ55" s="40">
        <f t="shared" si="9"/>
        <v>5</v>
      </c>
      <c r="BA55" s="53">
        <v>2</v>
      </c>
      <c r="BB55" s="15">
        <v>89</v>
      </c>
      <c r="BC55" s="65">
        <f>VLOOKUP(BB55,المرجع!$B$4:$C$12,2)</f>
        <v>4.5</v>
      </c>
      <c r="BD55" s="44" t="str">
        <f>VLOOKUP(BC55,المرجع!$D$4:$E$12,2)</f>
        <v>ب+</v>
      </c>
      <c r="BE55" s="40">
        <f t="shared" si="10"/>
        <v>9</v>
      </c>
      <c r="BF55" s="56">
        <v>70</v>
      </c>
      <c r="BG55" s="58">
        <f t="shared" si="11"/>
        <v>24</v>
      </c>
      <c r="BH55" s="60">
        <v>3.04</v>
      </c>
      <c r="BI55" s="92">
        <v>2.96</v>
      </c>
      <c r="BJ55" s="59" t="s">
        <v>116</v>
      </c>
      <c r="BK55" s="108">
        <v>59</v>
      </c>
    </row>
    <row r="56" spans="1:63" ht="28.5" hidden="1">
      <c r="A56" s="107">
        <v>2023024</v>
      </c>
      <c r="B56" s="70" t="s">
        <v>30</v>
      </c>
      <c r="C56" s="53">
        <v>1</v>
      </c>
      <c r="D56" s="15">
        <v>20</v>
      </c>
      <c r="E56" s="65">
        <f>VLOOKUP(D56,المرجع!$B$4:$C$12,2)</f>
        <v>0</v>
      </c>
      <c r="F56" s="44" t="str">
        <f>VLOOKUP(E56,المرجع!$D$4:$E$12,2)</f>
        <v>ه</v>
      </c>
      <c r="G56" s="40">
        <f t="shared" si="0"/>
        <v>0</v>
      </c>
      <c r="H56" s="53">
        <v>2</v>
      </c>
      <c r="I56" s="15">
        <v>83</v>
      </c>
      <c r="J56" s="65">
        <f>VLOOKUP(I56,المرجع!$B$4:$C$12,2)</f>
        <v>4</v>
      </c>
      <c r="K56" s="44" t="str">
        <f>VLOOKUP(J56,المرجع!$D$4:$E$12,2)</f>
        <v>ب</v>
      </c>
      <c r="L56" s="40">
        <f t="shared" si="1"/>
        <v>8</v>
      </c>
      <c r="M56" s="53">
        <v>3</v>
      </c>
      <c r="N56" s="15">
        <v>95</v>
      </c>
      <c r="O56" s="65">
        <f>VLOOKUP(N56,المرجع!$B$4:$C$12,2)</f>
        <v>5</v>
      </c>
      <c r="P56" s="44" t="str">
        <f>VLOOKUP(O56,المرجع!$D$4:$E$12,2)</f>
        <v xml:space="preserve">أ+ </v>
      </c>
      <c r="Q56" s="40">
        <f t="shared" si="2"/>
        <v>15</v>
      </c>
      <c r="R56" s="53">
        <v>2</v>
      </c>
      <c r="S56" s="15">
        <v>89</v>
      </c>
      <c r="T56" s="65">
        <f>VLOOKUP(S56,المرجع!$B$4:$C$12,2)</f>
        <v>4.5</v>
      </c>
      <c r="U56" s="44" t="str">
        <f>VLOOKUP(T56,المرجع!$D$4:$E$12,2)</f>
        <v>ب+</v>
      </c>
      <c r="V56" s="40">
        <f t="shared" si="3"/>
        <v>9</v>
      </c>
      <c r="W56" s="53">
        <v>2</v>
      </c>
      <c r="X56" s="15">
        <v>98</v>
      </c>
      <c r="Y56" s="65">
        <f>VLOOKUP(X56,المرجع!$B$4:$C$12,2)</f>
        <v>5</v>
      </c>
      <c r="Z56" s="44" t="str">
        <f>VLOOKUP(Y56,المرجع!$D$4:$E$12,2)</f>
        <v xml:space="preserve">أ+ </v>
      </c>
      <c r="AA56" s="40">
        <f t="shared" si="4"/>
        <v>10</v>
      </c>
      <c r="AB56" s="53">
        <v>3</v>
      </c>
      <c r="AC56" s="15">
        <v>50</v>
      </c>
      <c r="AD56" s="65">
        <f>VLOOKUP(AC56,المرجع!$B$4:$C$12,2)</f>
        <v>2</v>
      </c>
      <c r="AE56" s="44" t="str">
        <f>VLOOKUP(AD56,المرجع!$D$4:$E$12,2)</f>
        <v>د</v>
      </c>
      <c r="AF56" s="40">
        <f t="shared" si="5"/>
        <v>6</v>
      </c>
      <c r="AG56" s="53">
        <v>2</v>
      </c>
      <c r="AH56" s="15">
        <v>70</v>
      </c>
      <c r="AI56" s="65">
        <f>VLOOKUP(AH56,المرجع!$B$4:$C$12,2)</f>
        <v>3</v>
      </c>
      <c r="AJ56" s="44" t="str">
        <f>VLOOKUP(AI56,المرجع!$D$4:$E$12,2)</f>
        <v>ج</v>
      </c>
      <c r="AK56" s="40">
        <f t="shared" si="6"/>
        <v>6</v>
      </c>
      <c r="AL56" s="53">
        <v>2</v>
      </c>
      <c r="AM56" s="15">
        <v>95</v>
      </c>
      <c r="AN56" s="65">
        <f>VLOOKUP(AM56,المرجع!$B$4:$C$12,2)</f>
        <v>5</v>
      </c>
      <c r="AO56" s="44" t="str">
        <f>VLOOKUP(AN56,المرجع!$D$4:$E$12,2)</f>
        <v xml:space="preserve">أ+ </v>
      </c>
      <c r="AP56" s="40">
        <f t="shared" si="7"/>
        <v>10</v>
      </c>
      <c r="AQ56" s="53">
        <v>3</v>
      </c>
      <c r="AR56" s="15">
        <v>96</v>
      </c>
      <c r="AS56" s="65">
        <f>VLOOKUP(AR56,المرجع!$B$4:$C$12,2)</f>
        <v>5</v>
      </c>
      <c r="AT56" s="44" t="str">
        <f>VLOOKUP(AS56,المرجع!$D$4:$E$12,2)</f>
        <v xml:space="preserve">أ+ </v>
      </c>
      <c r="AU56" s="40">
        <f t="shared" si="8"/>
        <v>15</v>
      </c>
      <c r="AV56" s="53">
        <v>2</v>
      </c>
      <c r="AW56" s="15">
        <v>30</v>
      </c>
      <c r="AX56" s="65">
        <f>VLOOKUP(AW56,المرجع!$B$4:$C$12,2)</f>
        <v>0</v>
      </c>
      <c r="AY56" s="44" t="str">
        <f>VLOOKUP(AX56,المرجع!$D$4:$E$12,2)</f>
        <v>ه</v>
      </c>
      <c r="AZ56" s="40">
        <f t="shared" si="9"/>
        <v>0</v>
      </c>
      <c r="BA56" s="53">
        <v>2</v>
      </c>
      <c r="BB56" s="15">
        <v>63</v>
      </c>
      <c r="BC56" s="65">
        <f>VLOOKUP(BB56,المرجع!$B$4:$C$12,2)</f>
        <v>2</v>
      </c>
      <c r="BD56" s="44" t="str">
        <f>VLOOKUP(BC56,المرجع!$D$4:$E$12,2)</f>
        <v>د</v>
      </c>
      <c r="BE56" s="40">
        <f t="shared" si="10"/>
        <v>4</v>
      </c>
      <c r="BF56" s="56">
        <v>77.5</v>
      </c>
      <c r="BG56" s="58">
        <f t="shared" si="11"/>
        <v>24</v>
      </c>
      <c r="BH56" s="60">
        <v>3.36</v>
      </c>
      <c r="BI56" s="92">
        <v>3.06</v>
      </c>
      <c r="BJ56" s="59" t="s">
        <v>118</v>
      </c>
      <c r="BK56" s="108">
        <v>51</v>
      </c>
    </row>
    <row r="57" spans="1:63" ht="28.5" hidden="1">
      <c r="A57" s="107">
        <v>2023032</v>
      </c>
      <c r="B57" s="70" t="s">
        <v>26</v>
      </c>
      <c r="C57" s="53">
        <v>1</v>
      </c>
      <c r="D57" s="15">
        <v>37</v>
      </c>
      <c r="E57" s="65">
        <f>VLOOKUP(D57,المرجع!$B$4:$C$12,2)</f>
        <v>0</v>
      </c>
      <c r="F57" s="44" t="str">
        <f>VLOOKUP(E57,المرجع!$D$4:$E$12,2)</f>
        <v>ه</v>
      </c>
      <c r="G57" s="40">
        <f t="shared" si="0"/>
        <v>0</v>
      </c>
      <c r="H57" s="53">
        <v>2</v>
      </c>
      <c r="I57" s="15">
        <v>87</v>
      </c>
      <c r="J57" s="65">
        <f>VLOOKUP(I57,المرجع!$B$4:$C$12,2)</f>
        <v>4.5</v>
      </c>
      <c r="K57" s="44" t="str">
        <f>VLOOKUP(J57,المرجع!$D$4:$E$12,2)</f>
        <v>ب+</v>
      </c>
      <c r="L57" s="40">
        <f t="shared" si="1"/>
        <v>9</v>
      </c>
      <c r="M57" s="53">
        <v>3</v>
      </c>
      <c r="N57" s="15">
        <v>80</v>
      </c>
      <c r="O57" s="65">
        <f>VLOOKUP(N57,المرجع!$B$4:$C$12,2)</f>
        <v>4</v>
      </c>
      <c r="P57" s="44" t="str">
        <f>VLOOKUP(O57,المرجع!$D$4:$E$12,2)</f>
        <v>ب</v>
      </c>
      <c r="Q57" s="40">
        <f t="shared" si="2"/>
        <v>12</v>
      </c>
      <c r="R57" s="53">
        <v>2</v>
      </c>
      <c r="S57" s="15">
        <v>92</v>
      </c>
      <c r="T57" s="65">
        <f>VLOOKUP(S57,المرجع!$B$4:$C$12,2)</f>
        <v>4.75</v>
      </c>
      <c r="U57" s="44" t="str">
        <f>VLOOKUP(T57,المرجع!$D$4:$E$12,2)</f>
        <v>أ</v>
      </c>
      <c r="V57" s="40">
        <f t="shared" si="3"/>
        <v>9.5</v>
      </c>
      <c r="W57" s="53">
        <v>2</v>
      </c>
      <c r="X57" s="15">
        <v>97</v>
      </c>
      <c r="Y57" s="65">
        <f>VLOOKUP(X57,المرجع!$B$4:$C$12,2)</f>
        <v>5</v>
      </c>
      <c r="Z57" s="44" t="str">
        <f>VLOOKUP(Y57,المرجع!$D$4:$E$12,2)</f>
        <v xml:space="preserve">أ+ </v>
      </c>
      <c r="AA57" s="40">
        <f t="shared" si="4"/>
        <v>10</v>
      </c>
      <c r="AB57" s="53">
        <v>3</v>
      </c>
      <c r="AC57" s="15">
        <v>50</v>
      </c>
      <c r="AD57" s="65">
        <f>VLOOKUP(AC57,المرجع!$B$4:$C$12,2)</f>
        <v>2</v>
      </c>
      <c r="AE57" s="44" t="str">
        <f>VLOOKUP(AD57,المرجع!$D$4:$E$12,2)</f>
        <v>د</v>
      </c>
      <c r="AF57" s="40">
        <f t="shared" si="5"/>
        <v>6</v>
      </c>
      <c r="AG57" s="53">
        <v>2</v>
      </c>
      <c r="AH57" s="15">
        <v>78</v>
      </c>
      <c r="AI57" s="65">
        <f>VLOOKUP(AH57,المرجع!$B$4:$C$12,2)</f>
        <v>3.5</v>
      </c>
      <c r="AJ57" s="44" t="str">
        <f>VLOOKUP(AI57,المرجع!$D$4:$E$12,2)</f>
        <v>ج+</v>
      </c>
      <c r="AK57" s="40">
        <f t="shared" si="6"/>
        <v>7</v>
      </c>
      <c r="AL57" s="53">
        <v>2</v>
      </c>
      <c r="AM57" s="15">
        <v>64</v>
      </c>
      <c r="AN57" s="65">
        <f>VLOOKUP(AM57,المرجع!$B$4:$C$12,2)</f>
        <v>2</v>
      </c>
      <c r="AO57" s="44" t="str">
        <f>VLOOKUP(AN57,المرجع!$D$4:$E$12,2)</f>
        <v>د</v>
      </c>
      <c r="AP57" s="40">
        <f t="shared" si="7"/>
        <v>4</v>
      </c>
      <c r="AQ57" s="53">
        <v>3</v>
      </c>
      <c r="AR57" s="15">
        <v>88</v>
      </c>
      <c r="AS57" s="65">
        <f>VLOOKUP(AR57,المرجع!$B$4:$C$12,2)</f>
        <v>4.5</v>
      </c>
      <c r="AT57" s="44" t="str">
        <f>VLOOKUP(AS57,المرجع!$D$4:$E$12,2)</f>
        <v>ب+</v>
      </c>
      <c r="AU57" s="40">
        <f t="shared" si="8"/>
        <v>13.5</v>
      </c>
      <c r="AV57" s="53">
        <v>2</v>
      </c>
      <c r="AW57" s="15">
        <v>50</v>
      </c>
      <c r="AX57" s="65">
        <f>VLOOKUP(AW57,المرجع!$B$4:$C$12,2)</f>
        <v>2</v>
      </c>
      <c r="AY57" s="44" t="str">
        <f>VLOOKUP(AX57,المرجع!$D$4:$E$12,2)</f>
        <v>د</v>
      </c>
      <c r="AZ57" s="40">
        <f t="shared" si="9"/>
        <v>4</v>
      </c>
      <c r="BA57" s="53">
        <v>2</v>
      </c>
      <c r="BB57" s="15">
        <v>86</v>
      </c>
      <c r="BC57" s="65">
        <f>VLOOKUP(BB57,المرجع!$B$4:$C$12,2)</f>
        <v>4.5</v>
      </c>
      <c r="BD57" s="44" t="str">
        <f>VLOOKUP(BC57,المرجع!$D$4:$E$12,2)</f>
        <v>ب+</v>
      </c>
      <c r="BE57" s="40">
        <f t="shared" si="10"/>
        <v>9</v>
      </c>
      <c r="BF57" s="56">
        <v>75.75</v>
      </c>
      <c r="BG57" s="58">
        <f t="shared" si="11"/>
        <v>24</v>
      </c>
      <c r="BH57" s="60">
        <v>3.29</v>
      </c>
      <c r="BI57" s="92">
        <v>3.06</v>
      </c>
      <c r="BJ57" s="59" t="s">
        <v>118</v>
      </c>
      <c r="BK57" s="108">
        <v>55</v>
      </c>
    </row>
    <row r="58" spans="1:63" ht="28.5" hidden="1">
      <c r="A58" s="107">
        <v>2023095</v>
      </c>
      <c r="B58" s="70" t="s">
        <v>81</v>
      </c>
      <c r="C58" s="53">
        <v>1</v>
      </c>
      <c r="D58" s="15">
        <v>15</v>
      </c>
      <c r="E58" s="65">
        <f>VLOOKUP(D58,المرجع!$B$4:$C$12,2)</f>
        <v>0</v>
      </c>
      <c r="F58" s="44" t="str">
        <f>VLOOKUP(E58,المرجع!$D$4:$E$12,2)</f>
        <v>ه</v>
      </c>
      <c r="G58" s="40">
        <f t="shared" si="0"/>
        <v>0</v>
      </c>
      <c r="H58" s="53">
        <v>2</v>
      </c>
      <c r="I58" s="15">
        <v>90</v>
      </c>
      <c r="J58" s="65">
        <f>VLOOKUP(I58,المرجع!$B$4:$C$12,2)</f>
        <v>4.75</v>
      </c>
      <c r="K58" s="44" t="str">
        <f>VLOOKUP(J58,المرجع!$D$4:$E$12,2)</f>
        <v>أ</v>
      </c>
      <c r="L58" s="40">
        <f t="shared" si="1"/>
        <v>9.5</v>
      </c>
      <c r="M58" s="53">
        <v>3</v>
      </c>
      <c r="N58" s="15">
        <v>100</v>
      </c>
      <c r="O58" s="65">
        <f>VLOOKUP(N58,المرجع!$B$4:$C$12,2)</f>
        <v>5</v>
      </c>
      <c r="P58" s="44" t="str">
        <f>VLOOKUP(O58,المرجع!$D$4:$E$12,2)</f>
        <v xml:space="preserve">أ+ </v>
      </c>
      <c r="Q58" s="40">
        <f t="shared" si="2"/>
        <v>15</v>
      </c>
      <c r="R58" s="53">
        <v>2</v>
      </c>
      <c r="S58" s="15">
        <v>80</v>
      </c>
      <c r="T58" s="65">
        <f>VLOOKUP(S58,المرجع!$B$4:$C$12,2)</f>
        <v>4</v>
      </c>
      <c r="U58" s="44" t="str">
        <f>VLOOKUP(T58,المرجع!$D$4:$E$12,2)</f>
        <v>ب</v>
      </c>
      <c r="V58" s="40">
        <f t="shared" si="3"/>
        <v>8</v>
      </c>
      <c r="W58" s="53">
        <v>2</v>
      </c>
      <c r="X58" s="15">
        <v>99</v>
      </c>
      <c r="Y58" s="65">
        <f>VLOOKUP(X58,المرجع!$B$4:$C$12,2)</f>
        <v>5</v>
      </c>
      <c r="Z58" s="44" t="str">
        <f>VLOOKUP(Y58,المرجع!$D$4:$E$12,2)</f>
        <v xml:space="preserve">أ+ </v>
      </c>
      <c r="AA58" s="40">
        <f t="shared" si="4"/>
        <v>10</v>
      </c>
      <c r="AB58" s="53">
        <v>3</v>
      </c>
      <c r="AC58" s="15">
        <v>50</v>
      </c>
      <c r="AD58" s="65">
        <f>VLOOKUP(AC58,المرجع!$B$4:$C$12,2)</f>
        <v>2</v>
      </c>
      <c r="AE58" s="44" t="str">
        <f>VLOOKUP(AD58,المرجع!$D$4:$E$12,2)</f>
        <v>د</v>
      </c>
      <c r="AF58" s="40">
        <f t="shared" si="5"/>
        <v>6</v>
      </c>
      <c r="AG58" s="53">
        <v>2</v>
      </c>
      <c r="AH58" s="15">
        <v>88</v>
      </c>
      <c r="AI58" s="65">
        <f>VLOOKUP(AH58,المرجع!$B$4:$C$12,2)</f>
        <v>4.5</v>
      </c>
      <c r="AJ58" s="44" t="str">
        <f>VLOOKUP(AI58,المرجع!$D$4:$E$12,2)</f>
        <v>ب+</v>
      </c>
      <c r="AK58" s="40">
        <f t="shared" si="6"/>
        <v>9</v>
      </c>
      <c r="AL58" s="53">
        <v>2</v>
      </c>
      <c r="AM58" s="15">
        <v>50</v>
      </c>
      <c r="AN58" s="65">
        <f>VLOOKUP(AM58,المرجع!$B$4:$C$12,2)</f>
        <v>2</v>
      </c>
      <c r="AO58" s="44" t="str">
        <f>VLOOKUP(AN58,المرجع!$D$4:$E$12,2)</f>
        <v>د</v>
      </c>
      <c r="AP58" s="40">
        <f t="shared" si="7"/>
        <v>4</v>
      </c>
      <c r="AQ58" s="53">
        <v>3</v>
      </c>
      <c r="AR58" s="15">
        <v>90</v>
      </c>
      <c r="AS58" s="65">
        <f>VLOOKUP(AR58,المرجع!$B$4:$C$12,2)</f>
        <v>4.75</v>
      </c>
      <c r="AT58" s="44" t="str">
        <f>VLOOKUP(AS58,المرجع!$D$4:$E$12,2)</f>
        <v>أ</v>
      </c>
      <c r="AU58" s="40">
        <f t="shared" si="8"/>
        <v>14.25</v>
      </c>
      <c r="AV58" s="53">
        <v>2</v>
      </c>
      <c r="AW58" s="15">
        <v>50</v>
      </c>
      <c r="AX58" s="65">
        <f>VLOOKUP(AW58,المرجع!$B$4:$C$12,2)</f>
        <v>2</v>
      </c>
      <c r="AY58" s="44" t="str">
        <f>VLOOKUP(AX58,المرجع!$D$4:$E$12,2)</f>
        <v>د</v>
      </c>
      <c r="AZ58" s="40">
        <f t="shared" si="9"/>
        <v>4</v>
      </c>
      <c r="BA58" s="53">
        <v>2</v>
      </c>
      <c r="BB58" s="15">
        <v>63</v>
      </c>
      <c r="BC58" s="65">
        <f>VLOOKUP(BB58,المرجع!$B$4:$C$12,2)</f>
        <v>2</v>
      </c>
      <c r="BD58" s="44" t="str">
        <f>VLOOKUP(BC58,المرجع!$D$4:$E$12,2)</f>
        <v>د</v>
      </c>
      <c r="BE58" s="40">
        <f t="shared" si="10"/>
        <v>4</v>
      </c>
      <c r="BF58" s="56">
        <v>77.75</v>
      </c>
      <c r="BG58" s="58">
        <f t="shared" si="11"/>
        <v>24</v>
      </c>
      <c r="BH58" s="60">
        <v>3.38</v>
      </c>
      <c r="BI58" s="92">
        <v>3.03</v>
      </c>
      <c r="BJ58" s="59" t="s">
        <v>118</v>
      </c>
      <c r="BK58" s="108">
        <v>49</v>
      </c>
    </row>
    <row r="59" spans="1:63" ht="28.5" hidden="1">
      <c r="A59" s="107">
        <v>2023068</v>
      </c>
      <c r="B59" s="70" t="s">
        <v>63</v>
      </c>
      <c r="C59" s="53">
        <v>1</v>
      </c>
      <c r="D59" s="15">
        <v>16</v>
      </c>
      <c r="E59" s="65">
        <f>VLOOKUP(D59,المرجع!$B$4:$C$12,2)</f>
        <v>0</v>
      </c>
      <c r="F59" s="44" t="str">
        <f>VLOOKUP(E59,المرجع!$D$4:$E$12,2)</f>
        <v>ه</v>
      </c>
      <c r="G59" s="40">
        <f t="shared" si="0"/>
        <v>0</v>
      </c>
      <c r="H59" s="53">
        <v>2</v>
      </c>
      <c r="I59" s="15">
        <v>90</v>
      </c>
      <c r="J59" s="65">
        <f>VLOOKUP(I59,المرجع!$B$4:$C$12,2)</f>
        <v>4.75</v>
      </c>
      <c r="K59" s="44" t="str">
        <f>VLOOKUP(J59,المرجع!$D$4:$E$12,2)</f>
        <v>أ</v>
      </c>
      <c r="L59" s="40">
        <f t="shared" si="1"/>
        <v>9.5</v>
      </c>
      <c r="M59" s="53">
        <v>3</v>
      </c>
      <c r="N59" s="15">
        <v>95</v>
      </c>
      <c r="O59" s="65">
        <f>VLOOKUP(N59,المرجع!$B$4:$C$12,2)</f>
        <v>5</v>
      </c>
      <c r="P59" s="44" t="str">
        <f>VLOOKUP(O59,المرجع!$D$4:$E$12,2)</f>
        <v xml:space="preserve">أ+ </v>
      </c>
      <c r="Q59" s="40">
        <f t="shared" si="2"/>
        <v>15</v>
      </c>
      <c r="R59" s="53">
        <v>2</v>
      </c>
      <c r="S59" s="15">
        <v>86</v>
      </c>
      <c r="T59" s="65">
        <f>VLOOKUP(S59,المرجع!$B$4:$C$12,2)</f>
        <v>4.5</v>
      </c>
      <c r="U59" s="44" t="str">
        <f>VLOOKUP(T59,المرجع!$D$4:$E$12,2)</f>
        <v>ب+</v>
      </c>
      <c r="V59" s="40">
        <f t="shared" si="3"/>
        <v>9</v>
      </c>
      <c r="W59" s="53">
        <v>2</v>
      </c>
      <c r="X59" s="15">
        <v>94</v>
      </c>
      <c r="Y59" s="65">
        <f>VLOOKUP(X59,المرجع!$B$4:$C$12,2)</f>
        <v>4.75</v>
      </c>
      <c r="Z59" s="44" t="str">
        <f>VLOOKUP(Y59,المرجع!$D$4:$E$12,2)</f>
        <v>أ</v>
      </c>
      <c r="AA59" s="40">
        <f t="shared" si="4"/>
        <v>9.5</v>
      </c>
      <c r="AB59" s="53">
        <v>3</v>
      </c>
      <c r="AC59" s="15">
        <v>24</v>
      </c>
      <c r="AD59" s="65">
        <f>VLOOKUP(AC59,المرجع!$B$4:$C$12,2)</f>
        <v>0</v>
      </c>
      <c r="AE59" s="44" t="str">
        <f>VLOOKUP(AD59,المرجع!$D$4:$E$12,2)</f>
        <v>ه</v>
      </c>
      <c r="AF59" s="40">
        <f t="shared" si="5"/>
        <v>0</v>
      </c>
      <c r="AG59" s="53">
        <v>2</v>
      </c>
      <c r="AH59" s="15">
        <v>94</v>
      </c>
      <c r="AI59" s="65">
        <f>VLOOKUP(AH59,المرجع!$B$4:$C$12,2)</f>
        <v>4.75</v>
      </c>
      <c r="AJ59" s="44" t="str">
        <f>VLOOKUP(AI59,المرجع!$D$4:$E$12,2)</f>
        <v>أ</v>
      </c>
      <c r="AK59" s="40">
        <f t="shared" si="6"/>
        <v>9.5</v>
      </c>
      <c r="AL59" s="53">
        <v>2</v>
      </c>
      <c r="AM59" s="15">
        <v>83</v>
      </c>
      <c r="AN59" s="65">
        <f>VLOOKUP(AM59,المرجع!$B$4:$C$12,2)</f>
        <v>4</v>
      </c>
      <c r="AO59" s="44" t="str">
        <f>VLOOKUP(AN59,المرجع!$D$4:$E$12,2)</f>
        <v>ب</v>
      </c>
      <c r="AP59" s="40">
        <f t="shared" si="7"/>
        <v>8</v>
      </c>
      <c r="AQ59" s="53">
        <v>3</v>
      </c>
      <c r="AR59" s="15">
        <v>90</v>
      </c>
      <c r="AS59" s="65">
        <f>VLOOKUP(AR59,المرجع!$B$4:$C$12,2)</f>
        <v>4.75</v>
      </c>
      <c r="AT59" s="44" t="str">
        <f>VLOOKUP(AS59,المرجع!$D$4:$E$12,2)</f>
        <v>أ</v>
      </c>
      <c r="AU59" s="40">
        <f t="shared" si="8"/>
        <v>14.25</v>
      </c>
      <c r="AV59" s="53">
        <v>2</v>
      </c>
      <c r="AW59" s="15">
        <v>50</v>
      </c>
      <c r="AX59" s="65">
        <f>VLOOKUP(AW59,المرجع!$B$4:$C$12,2)</f>
        <v>2</v>
      </c>
      <c r="AY59" s="44" t="str">
        <f>VLOOKUP(AX59,المرجع!$D$4:$E$12,2)</f>
        <v>د</v>
      </c>
      <c r="AZ59" s="40">
        <f t="shared" si="9"/>
        <v>4</v>
      </c>
      <c r="BA59" s="53">
        <v>2</v>
      </c>
      <c r="BB59" s="15">
        <v>50</v>
      </c>
      <c r="BC59" s="65">
        <f>VLOOKUP(BB59,المرجع!$B$4:$C$12,2)</f>
        <v>2</v>
      </c>
      <c r="BD59" s="44" t="str">
        <f>VLOOKUP(BC59,المرجع!$D$4:$E$12,2)</f>
        <v>د</v>
      </c>
      <c r="BE59" s="40">
        <f t="shared" si="10"/>
        <v>4</v>
      </c>
      <c r="BF59" s="56">
        <v>77</v>
      </c>
      <c r="BG59" s="58">
        <f t="shared" si="11"/>
        <v>24</v>
      </c>
      <c r="BH59" s="60">
        <v>3.34</v>
      </c>
      <c r="BI59" s="92">
        <v>2.94</v>
      </c>
      <c r="BJ59" s="59" t="s">
        <v>118</v>
      </c>
      <c r="BK59" s="108">
        <v>52</v>
      </c>
    </row>
    <row r="60" spans="1:63" ht="28.5" hidden="1">
      <c r="A60" s="107">
        <v>2023037</v>
      </c>
      <c r="B60" s="70" t="s">
        <v>34</v>
      </c>
      <c r="C60" s="53">
        <v>1</v>
      </c>
      <c r="D60" s="15">
        <v>32</v>
      </c>
      <c r="E60" s="65">
        <f>VLOOKUP(D60,المرجع!$B$4:$C$12,2)</f>
        <v>0</v>
      </c>
      <c r="F60" s="44" t="str">
        <f>VLOOKUP(E60,المرجع!$D$4:$E$12,2)</f>
        <v>ه</v>
      </c>
      <c r="G60" s="40">
        <f t="shared" si="0"/>
        <v>0</v>
      </c>
      <c r="H60" s="53">
        <v>2</v>
      </c>
      <c r="I60" s="15">
        <v>92</v>
      </c>
      <c r="J60" s="65">
        <f>VLOOKUP(I60,المرجع!$B$4:$C$12,2)</f>
        <v>4.75</v>
      </c>
      <c r="K60" s="44" t="str">
        <f>VLOOKUP(J60,المرجع!$D$4:$E$12,2)</f>
        <v>أ</v>
      </c>
      <c r="L60" s="40">
        <f t="shared" si="1"/>
        <v>9.5</v>
      </c>
      <c r="M60" s="53">
        <v>3</v>
      </c>
      <c r="N60" s="15">
        <v>95</v>
      </c>
      <c r="O60" s="65">
        <f>VLOOKUP(N60,المرجع!$B$4:$C$12,2)</f>
        <v>5</v>
      </c>
      <c r="P60" s="44" t="str">
        <f>VLOOKUP(O60,المرجع!$D$4:$E$12,2)</f>
        <v xml:space="preserve">أ+ </v>
      </c>
      <c r="Q60" s="40">
        <f t="shared" si="2"/>
        <v>15</v>
      </c>
      <c r="R60" s="53">
        <v>2</v>
      </c>
      <c r="S60" s="15">
        <v>88</v>
      </c>
      <c r="T60" s="65">
        <f>VLOOKUP(S60,المرجع!$B$4:$C$12,2)</f>
        <v>4.5</v>
      </c>
      <c r="U60" s="44" t="str">
        <f>VLOOKUP(T60,المرجع!$D$4:$E$12,2)</f>
        <v>ب+</v>
      </c>
      <c r="V60" s="40">
        <f t="shared" si="3"/>
        <v>9</v>
      </c>
      <c r="W60" s="53">
        <v>2</v>
      </c>
      <c r="X60" s="15">
        <v>82</v>
      </c>
      <c r="Y60" s="65">
        <f>VLOOKUP(X60,المرجع!$B$4:$C$12,2)</f>
        <v>4</v>
      </c>
      <c r="Z60" s="44" t="str">
        <f>VLOOKUP(Y60,المرجع!$D$4:$E$12,2)</f>
        <v>ب</v>
      </c>
      <c r="AA60" s="40">
        <f t="shared" si="4"/>
        <v>8</v>
      </c>
      <c r="AB60" s="53">
        <v>3</v>
      </c>
      <c r="AC60" s="15">
        <v>50</v>
      </c>
      <c r="AD60" s="65">
        <f>VLOOKUP(AC60,المرجع!$B$4:$C$12,2)</f>
        <v>2</v>
      </c>
      <c r="AE60" s="44" t="str">
        <f>VLOOKUP(AD60,المرجع!$D$4:$E$12,2)</f>
        <v>د</v>
      </c>
      <c r="AF60" s="40">
        <f t="shared" si="5"/>
        <v>6</v>
      </c>
      <c r="AG60" s="53">
        <v>2</v>
      </c>
      <c r="AH60" s="15">
        <v>67</v>
      </c>
      <c r="AI60" s="65">
        <f>VLOOKUP(AH60,المرجع!$B$4:$C$12,2)</f>
        <v>2.5</v>
      </c>
      <c r="AJ60" s="44" t="str">
        <f>VLOOKUP(AI60,المرجع!$D$4:$E$12,2)</f>
        <v>د+</v>
      </c>
      <c r="AK60" s="40">
        <f t="shared" si="6"/>
        <v>5</v>
      </c>
      <c r="AL60" s="53">
        <v>2</v>
      </c>
      <c r="AM60" s="15">
        <v>82</v>
      </c>
      <c r="AN60" s="65">
        <f>VLOOKUP(AM60,المرجع!$B$4:$C$12,2)</f>
        <v>4</v>
      </c>
      <c r="AO60" s="44" t="str">
        <f>VLOOKUP(AN60,المرجع!$D$4:$E$12,2)</f>
        <v>ب</v>
      </c>
      <c r="AP60" s="40">
        <f t="shared" si="7"/>
        <v>8</v>
      </c>
      <c r="AQ60" s="53">
        <v>3</v>
      </c>
      <c r="AR60" s="15">
        <v>91</v>
      </c>
      <c r="AS60" s="65">
        <f>VLOOKUP(AR60,المرجع!$B$4:$C$12,2)</f>
        <v>4.75</v>
      </c>
      <c r="AT60" s="44" t="str">
        <f>VLOOKUP(AS60,المرجع!$D$4:$E$12,2)</f>
        <v>أ</v>
      </c>
      <c r="AU60" s="40">
        <f t="shared" si="8"/>
        <v>14.25</v>
      </c>
      <c r="AV60" s="53">
        <v>2</v>
      </c>
      <c r="AW60" s="15">
        <v>50</v>
      </c>
      <c r="AX60" s="65">
        <f>VLOOKUP(AW60,المرجع!$B$4:$C$12,2)</f>
        <v>2</v>
      </c>
      <c r="AY60" s="44" t="str">
        <f>VLOOKUP(AX60,المرجع!$D$4:$E$12,2)</f>
        <v>د</v>
      </c>
      <c r="AZ60" s="40">
        <f t="shared" si="9"/>
        <v>4</v>
      </c>
      <c r="BA60" s="53">
        <v>2</v>
      </c>
      <c r="BB60" s="15">
        <v>51</v>
      </c>
      <c r="BC60" s="65">
        <f>VLOOKUP(BB60,المرجع!$B$4:$C$12,2)</f>
        <v>2</v>
      </c>
      <c r="BD60" s="44" t="str">
        <f>VLOOKUP(BC60,المرجع!$D$4:$E$12,2)</f>
        <v>د</v>
      </c>
      <c r="BE60" s="40">
        <f t="shared" si="10"/>
        <v>4</v>
      </c>
      <c r="BF60" s="56">
        <v>70.25</v>
      </c>
      <c r="BG60" s="58">
        <f t="shared" si="11"/>
        <v>24</v>
      </c>
      <c r="BH60" s="60">
        <v>3.05</v>
      </c>
      <c r="BI60" s="92">
        <v>2.96</v>
      </c>
      <c r="BJ60" s="59" t="s">
        <v>116</v>
      </c>
      <c r="BK60" s="108">
        <v>57</v>
      </c>
    </row>
    <row r="61" spans="1:63" ht="28.5" hidden="1">
      <c r="A61" s="107">
        <v>2023048</v>
      </c>
      <c r="B61" s="70" t="s">
        <v>35</v>
      </c>
      <c r="C61" s="53">
        <v>1</v>
      </c>
      <c r="D61" s="15">
        <v>37</v>
      </c>
      <c r="E61" s="65">
        <f>VLOOKUP(D61,المرجع!$B$4:$C$12,2)</f>
        <v>0</v>
      </c>
      <c r="F61" s="44" t="str">
        <f>VLOOKUP(E61,المرجع!$D$4:$E$12,2)</f>
        <v>ه</v>
      </c>
      <c r="G61" s="40">
        <f t="shared" si="0"/>
        <v>0</v>
      </c>
      <c r="H61" s="53">
        <v>2</v>
      </c>
      <c r="I61" s="15">
        <v>77</v>
      </c>
      <c r="J61" s="65">
        <f>VLOOKUP(I61,المرجع!$B$4:$C$12,2)</f>
        <v>3.5</v>
      </c>
      <c r="K61" s="44" t="str">
        <f>VLOOKUP(J61,المرجع!$D$4:$E$12,2)</f>
        <v>ج+</v>
      </c>
      <c r="L61" s="40">
        <f t="shared" si="1"/>
        <v>7</v>
      </c>
      <c r="M61" s="53">
        <v>3</v>
      </c>
      <c r="N61" s="15">
        <v>98</v>
      </c>
      <c r="O61" s="65">
        <f>VLOOKUP(N61,المرجع!$B$4:$C$12,2)</f>
        <v>5</v>
      </c>
      <c r="P61" s="44" t="str">
        <f>VLOOKUP(O61,المرجع!$D$4:$E$12,2)</f>
        <v xml:space="preserve">أ+ </v>
      </c>
      <c r="Q61" s="40">
        <f t="shared" si="2"/>
        <v>15</v>
      </c>
      <c r="R61" s="53">
        <v>2</v>
      </c>
      <c r="S61" s="15">
        <v>86</v>
      </c>
      <c r="T61" s="65">
        <f>VLOOKUP(S61,المرجع!$B$4:$C$12,2)</f>
        <v>4.5</v>
      </c>
      <c r="U61" s="44" t="str">
        <f>VLOOKUP(T61,المرجع!$D$4:$E$12,2)</f>
        <v>ب+</v>
      </c>
      <c r="V61" s="40">
        <f t="shared" si="3"/>
        <v>9</v>
      </c>
      <c r="W61" s="53">
        <v>2</v>
      </c>
      <c r="X61" s="15">
        <v>85</v>
      </c>
      <c r="Y61" s="65">
        <f>VLOOKUP(X61,المرجع!$B$4:$C$12,2)</f>
        <v>4.5</v>
      </c>
      <c r="Z61" s="44" t="str">
        <f>VLOOKUP(Y61,المرجع!$D$4:$E$12,2)</f>
        <v>ب+</v>
      </c>
      <c r="AA61" s="40">
        <f t="shared" si="4"/>
        <v>9</v>
      </c>
      <c r="AB61" s="53">
        <v>3</v>
      </c>
      <c r="AC61" s="15">
        <v>10</v>
      </c>
      <c r="AD61" s="65">
        <f>VLOOKUP(AC61,المرجع!$B$4:$C$12,2)</f>
        <v>0</v>
      </c>
      <c r="AE61" s="44" t="str">
        <f>VLOOKUP(AD61,المرجع!$D$4:$E$12,2)</f>
        <v>ه</v>
      </c>
      <c r="AF61" s="40">
        <f t="shared" si="5"/>
        <v>0</v>
      </c>
      <c r="AG61" s="53">
        <v>2</v>
      </c>
      <c r="AH61" s="15">
        <v>75</v>
      </c>
      <c r="AI61" s="65">
        <f>VLOOKUP(AH61,المرجع!$B$4:$C$12,2)</f>
        <v>3.5</v>
      </c>
      <c r="AJ61" s="44" t="str">
        <f>VLOOKUP(AI61,المرجع!$D$4:$E$12,2)</f>
        <v>ج+</v>
      </c>
      <c r="AK61" s="40">
        <f t="shared" si="6"/>
        <v>7</v>
      </c>
      <c r="AL61" s="53">
        <v>2</v>
      </c>
      <c r="AM61" s="15">
        <v>78</v>
      </c>
      <c r="AN61" s="65">
        <f>VLOOKUP(AM61,المرجع!$B$4:$C$12,2)</f>
        <v>3.5</v>
      </c>
      <c r="AO61" s="44" t="str">
        <f>VLOOKUP(AN61,المرجع!$D$4:$E$12,2)</f>
        <v>ج+</v>
      </c>
      <c r="AP61" s="40">
        <f t="shared" si="7"/>
        <v>7</v>
      </c>
      <c r="AQ61" s="53">
        <v>3</v>
      </c>
      <c r="AR61" s="15">
        <v>93</v>
      </c>
      <c r="AS61" s="65">
        <f>VLOOKUP(AR61,المرجع!$B$4:$C$12,2)</f>
        <v>4.75</v>
      </c>
      <c r="AT61" s="44" t="str">
        <f>VLOOKUP(AS61,المرجع!$D$4:$E$12,2)</f>
        <v>أ</v>
      </c>
      <c r="AU61" s="40">
        <f t="shared" si="8"/>
        <v>14.25</v>
      </c>
      <c r="AV61" s="53">
        <v>2</v>
      </c>
      <c r="AW61" s="15">
        <v>50</v>
      </c>
      <c r="AX61" s="65">
        <f>VLOOKUP(AW61,المرجع!$B$4:$C$12,2)</f>
        <v>2</v>
      </c>
      <c r="AY61" s="44" t="str">
        <f>VLOOKUP(AX61,المرجع!$D$4:$E$12,2)</f>
        <v>د</v>
      </c>
      <c r="AZ61" s="40">
        <f t="shared" si="9"/>
        <v>4</v>
      </c>
      <c r="BA61" s="53">
        <v>2</v>
      </c>
      <c r="BB61" s="15">
        <v>58</v>
      </c>
      <c r="BC61" s="65">
        <f>VLOOKUP(BB61,المرجع!$B$4:$C$12,2)</f>
        <v>2</v>
      </c>
      <c r="BD61" s="44" t="str">
        <f>VLOOKUP(BC61,المرجع!$D$4:$E$12,2)</f>
        <v>د</v>
      </c>
      <c r="BE61" s="40">
        <f t="shared" si="10"/>
        <v>4</v>
      </c>
      <c r="BF61" s="56">
        <v>70.25</v>
      </c>
      <c r="BG61" s="58">
        <f t="shared" si="11"/>
        <v>24</v>
      </c>
      <c r="BH61" s="60">
        <v>3.05</v>
      </c>
      <c r="BI61" s="92">
        <v>2.9</v>
      </c>
      <c r="BJ61" s="59" t="s">
        <v>116</v>
      </c>
      <c r="BK61" s="108">
        <v>57</v>
      </c>
    </row>
    <row r="62" spans="1:63" ht="28.5" hidden="1">
      <c r="A62" s="107">
        <v>2023093</v>
      </c>
      <c r="B62" s="70" t="s">
        <v>78</v>
      </c>
      <c r="C62" s="53">
        <v>1</v>
      </c>
      <c r="D62" s="15">
        <v>89</v>
      </c>
      <c r="E62" s="65">
        <f>VLOOKUP(D62,المرجع!$B$4:$C$12,2)</f>
        <v>4.5</v>
      </c>
      <c r="F62" s="44" t="str">
        <f>VLOOKUP(E62,المرجع!$D$4:$E$12,2)</f>
        <v>ب+</v>
      </c>
      <c r="G62" s="40">
        <f t="shared" si="0"/>
        <v>4.5</v>
      </c>
      <c r="H62" s="53">
        <v>2</v>
      </c>
      <c r="I62" s="15">
        <v>76</v>
      </c>
      <c r="J62" s="65">
        <f>VLOOKUP(I62,المرجع!$B$4:$C$12,2)</f>
        <v>3.5</v>
      </c>
      <c r="K62" s="44" t="str">
        <f>VLOOKUP(J62,المرجع!$D$4:$E$12,2)</f>
        <v>ج+</v>
      </c>
      <c r="L62" s="40">
        <f t="shared" si="1"/>
        <v>7</v>
      </c>
      <c r="M62" s="53">
        <v>3</v>
      </c>
      <c r="N62" s="15">
        <v>95</v>
      </c>
      <c r="O62" s="65">
        <f>VLOOKUP(N62,المرجع!$B$4:$C$12,2)</f>
        <v>5</v>
      </c>
      <c r="P62" s="44" t="str">
        <f>VLOOKUP(O62,المرجع!$D$4:$E$12,2)</f>
        <v xml:space="preserve">أ+ </v>
      </c>
      <c r="Q62" s="40">
        <f t="shared" si="2"/>
        <v>15</v>
      </c>
      <c r="R62" s="53">
        <v>2</v>
      </c>
      <c r="S62" s="15">
        <v>84</v>
      </c>
      <c r="T62" s="65">
        <f>VLOOKUP(S62,المرجع!$B$4:$C$12,2)</f>
        <v>4</v>
      </c>
      <c r="U62" s="44" t="str">
        <f>VLOOKUP(T62,المرجع!$D$4:$E$12,2)</f>
        <v>ب</v>
      </c>
      <c r="V62" s="40">
        <f t="shared" si="3"/>
        <v>8</v>
      </c>
      <c r="W62" s="53">
        <v>2</v>
      </c>
      <c r="X62" s="15">
        <v>64</v>
      </c>
      <c r="Y62" s="65">
        <f>VLOOKUP(X62,المرجع!$B$4:$C$12,2)</f>
        <v>2</v>
      </c>
      <c r="Z62" s="44" t="str">
        <f>VLOOKUP(Y62,المرجع!$D$4:$E$12,2)</f>
        <v>د</v>
      </c>
      <c r="AA62" s="40">
        <f t="shared" si="4"/>
        <v>4</v>
      </c>
      <c r="AB62" s="53">
        <v>3</v>
      </c>
      <c r="AC62" s="15">
        <v>17</v>
      </c>
      <c r="AD62" s="65">
        <f>VLOOKUP(AC62,المرجع!$B$4:$C$12,2)</f>
        <v>0</v>
      </c>
      <c r="AE62" s="44" t="str">
        <f>VLOOKUP(AD62,المرجع!$D$4:$E$12,2)</f>
        <v>ه</v>
      </c>
      <c r="AF62" s="40">
        <f t="shared" si="5"/>
        <v>0</v>
      </c>
      <c r="AG62" s="53">
        <v>2</v>
      </c>
      <c r="AH62" s="15">
        <v>70</v>
      </c>
      <c r="AI62" s="65">
        <f>VLOOKUP(AH62,المرجع!$B$4:$C$12,2)</f>
        <v>3</v>
      </c>
      <c r="AJ62" s="44" t="str">
        <f>VLOOKUP(AI62,المرجع!$D$4:$E$12,2)</f>
        <v>ج</v>
      </c>
      <c r="AK62" s="40">
        <f t="shared" si="6"/>
        <v>6</v>
      </c>
      <c r="AL62" s="53">
        <v>2</v>
      </c>
      <c r="AM62" s="15">
        <v>68</v>
      </c>
      <c r="AN62" s="65">
        <f>VLOOKUP(AM62,المرجع!$B$4:$C$12,2)</f>
        <v>2.5</v>
      </c>
      <c r="AO62" s="44" t="str">
        <f>VLOOKUP(AN62,المرجع!$D$4:$E$12,2)</f>
        <v>د+</v>
      </c>
      <c r="AP62" s="40">
        <f t="shared" si="7"/>
        <v>5</v>
      </c>
      <c r="AQ62" s="53">
        <v>3</v>
      </c>
      <c r="AR62" s="15">
        <v>80</v>
      </c>
      <c r="AS62" s="65">
        <f>VLOOKUP(AR62,المرجع!$B$4:$C$12,2)</f>
        <v>4</v>
      </c>
      <c r="AT62" s="44" t="str">
        <f>VLOOKUP(AS62,المرجع!$D$4:$E$12,2)</f>
        <v>ب</v>
      </c>
      <c r="AU62" s="40">
        <f t="shared" si="8"/>
        <v>12</v>
      </c>
      <c r="AV62" s="53">
        <v>2</v>
      </c>
      <c r="AW62" s="15">
        <v>50</v>
      </c>
      <c r="AX62" s="65">
        <f>VLOOKUP(AW62,المرجع!$B$4:$C$12,2)</f>
        <v>2</v>
      </c>
      <c r="AY62" s="44" t="str">
        <f>VLOOKUP(AX62,المرجع!$D$4:$E$12,2)</f>
        <v>د</v>
      </c>
      <c r="AZ62" s="40">
        <f t="shared" si="9"/>
        <v>4</v>
      </c>
      <c r="BA62" s="53">
        <v>2</v>
      </c>
      <c r="BB62" s="15">
        <v>50</v>
      </c>
      <c r="BC62" s="65">
        <f>VLOOKUP(BB62,المرجع!$B$4:$C$12,2)</f>
        <v>2</v>
      </c>
      <c r="BD62" s="44" t="str">
        <f>VLOOKUP(BC62,المرجع!$D$4:$E$12,2)</f>
        <v>د</v>
      </c>
      <c r="BE62" s="40">
        <f t="shared" si="10"/>
        <v>4</v>
      </c>
      <c r="BF62" s="56">
        <v>60.5</v>
      </c>
      <c r="BG62" s="58">
        <f t="shared" si="11"/>
        <v>24</v>
      </c>
      <c r="BH62" s="60">
        <v>2.63</v>
      </c>
      <c r="BI62" s="92">
        <v>2.82</v>
      </c>
      <c r="BJ62" s="59" t="s">
        <v>116</v>
      </c>
      <c r="BK62" s="108">
        <v>62</v>
      </c>
    </row>
    <row r="63" spans="1:63" ht="28.5" hidden="1">
      <c r="A63" s="107">
        <v>2023108</v>
      </c>
      <c r="B63" s="70" t="s">
        <v>68</v>
      </c>
      <c r="C63" s="53">
        <v>1</v>
      </c>
      <c r="D63" s="15">
        <v>75</v>
      </c>
      <c r="E63" s="65">
        <f>VLOOKUP(D63,المرجع!$B$4:$C$12,2)</f>
        <v>3.5</v>
      </c>
      <c r="F63" s="44" t="str">
        <f>VLOOKUP(E63,المرجع!$D$4:$E$12,2)</f>
        <v>ج+</v>
      </c>
      <c r="G63" s="40">
        <f t="shared" si="0"/>
        <v>3.5</v>
      </c>
      <c r="H63" s="53">
        <v>2</v>
      </c>
      <c r="I63" s="15">
        <v>50</v>
      </c>
      <c r="J63" s="65">
        <f>VLOOKUP(I63,المرجع!$B$4:$C$12,2)</f>
        <v>2</v>
      </c>
      <c r="K63" s="44" t="str">
        <f>VLOOKUP(J63,المرجع!$D$4:$E$12,2)</f>
        <v>د</v>
      </c>
      <c r="L63" s="40">
        <f t="shared" si="1"/>
        <v>4</v>
      </c>
      <c r="M63" s="53">
        <v>3</v>
      </c>
      <c r="N63" s="15">
        <v>30</v>
      </c>
      <c r="O63" s="65">
        <f>VLOOKUP(N63,المرجع!$B$4:$C$12,2)</f>
        <v>0</v>
      </c>
      <c r="P63" s="44" t="str">
        <f>VLOOKUP(O63,المرجع!$D$4:$E$12,2)</f>
        <v>ه</v>
      </c>
      <c r="Q63" s="40">
        <f t="shared" si="2"/>
        <v>0</v>
      </c>
      <c r="R63" s="53">
        <v>2</v>
      </c>
      <c r="S63" s="15">
        <v>86</v>
      </c>
      <c r="T63" s="65">
        <f>VLOOKUP(S63,المرجع!$B$4:$C$12,2)</f>
        <v>4.5</v>
      </c>
      <c r="U63" s="44" t="str">
        <f>VLOOKUP(T63,المرجع!$D$4:$E$12,2)</f>
        <v>ب+</v>
      </c>
      <c r="V63" s="40">
        <f t="shared" si="3"/>
        <v>9</v>
      </c>
      <c r="W63" s="53">
        <v>2</v>
      </c>
      <c r="X63" s="15">
        <v>93</v>
      </c>
      <c r="Y63" s="65">
        <f>VLOOKUP(X63,المرجع!$B$4:$C$12,2)</f>
        <v>4.75</v>
      </c>
      <c r="Z63" s="44" t="str">
        <f>VLOOKUP(Y63,المرجع!$D$4:$E$12,2)</f>
        <v>أ</v>
      </c>
      <c r="AA63" s="40">
        <f t="shared" si="4"/>
        <v>9.5</v>
      </c>
      <c r="AB63" s="53">
        <v>3</v>
      </c>
      <c r="AC63" s="15">
        <v>38</v>
      </c>
      <c r="AD63" s="65">
        <f>VLOOKUP(AC63,المرجع!$B$4:$C$12,2)</f>
        <v>0</v>
      </c>
      <c r="AE63" s="44" t="str">
        <f>VLOOKUP(AD63,المرجع!$D$4:$E$12,2)</f>
        <v>ه</v>
      </c>
      <c r="AF63" s="40">
        <f t="shared" si="5"/>
        <v>0</v>
      </c>
      <c r="AG63" s="53">
        <v>2</v>
      </c>
      <c r="AH63" s="15">
        <v>83</v>
      </c>
      <c r="AI63" s="65">
        <f>VLOOKUP(AH63,المرجع!$B$4:$C$12,2)</f>
        <v>4</v>
      </c>
      <c r="AJ63" s="44" t="str">
        <f>VLOOKUP(AI63,المرجع!$D$4:$E$12,2)</f>
        <v>ب</v>
      </c>
      <c r="AK63" s="40">
        <f t="shared" si="6"/>
        <v>8</v>
      </c>
      <c r="AL63" s="53">
        <v>2</v>
      </c>
      <c r="AM63" s="15">
        <v>50</v>
      </c>
      <c r="AN63" s="65">
        <f>VLOOKUP(AM63,المرجع!$B$4:$C$12,2)</f>
        <v>2</v>
      </c>
      <c r="AO63" s="44" t="str">
        <f>VLOOKUP(AN63,المرجع!$D$4:$E$12,2)</f>
        <v>د</v>
      </c>
      <c r="AP63" s="40">
        <f t="shared" si="7"/>
        <v>4</v>
      </c>
      <c r="AQ63" s="53">
        <v>3</v>
      </c>
      <c r="AR63" s="15">
        <v>85</v>
      </c>
      <c r="AS63" s="65">
        <f>VLOOKUP(AR63,المرجع!$B$4:$C$12,2)</f>
        <v>4.5</v>
      </c>
      <c r="AT63" s="44" t="str">
        <f>VLOOKUP(AS63,المرجع!$D$4:$E$12,2)</f>
        <v>ب+</v>
      </c>
      <c r="AU63" s="40">
        <f t="shared" si="8"/>
        <v>13.5</v>
      </c>
      <c r="AV63" s="53">
        <v>2</v>
      </c>
      <c r="AW63" s="15">
        <v>50</v>
      </c>
      <c r="AX63" s="65">
        <f>VLOOKUP(AW63,المرجع!$B$4:$C$12,2)</f>
        <v>2</v>
      </c>
      <c r="AY63" s="44" t="str">
        <f>VLOOKUP(AX63,المرجع!$D$4:$E$12,2)</f>
        <v>د</v>
      </c>
      <c r="AZ63" s="40">
        <f t="shared" si="9"/>
        <v>4</v>
      </c>
      <c r="BA63" s="53">
        <v>2</v>
      </c>
      <c r="BB63" s="15">
        <v>58</v>
      </c>
      <c r="BC63" s="65">
        <f>VLOOKUP(BB63,المرجع!$B$4:$C$12,2)</f>
        <v>2</v>
      </c>
      <c r="BD63" s="44" t="str">
        <f>VLOOKUP(BC63,المرجع!$D$4:$E$12,2)</f>
        <v>د</v>
      </c>
      <c r="BE63" s="40">
        <f t="shared" si="10"/>
        <v>4</v>
      </c>
      <c r="BF63" s="56">
        <v>68.75</v>
      </c>
      <c r="BG63" s="58">
        <f t="shared" si="11"/>
        <v>24</v>
      </c>
      <c r="BH63" s="60">
        <v>2.98</v>
      </c>
      <c r="BI63" s="92">
        <v>2.96</v>
      </c>
      <c r="BJ63" s="59" t="s">
        <v>116</v>
      </c>
      <c r="BK63" s="108">
        <v>60</v>
      </c>
    </row>
    <row r="64" spans="1:63" ht="28.5" hidden="1">
      <c r="A64" s="107">
        <v>2023106</v>
      </c>
      <c r="B64" s="70" t="s">
        <v>80</v>
      </c>
      <c r="C64" s="53">
        <v>1</v>
      </c>
      <c r="D64" s="15">
        <v>50</v>
      </c>
      <c r="E64" s="65">
        <f>VLOOKUP(D64,المرجع!$B$4:$C$12,2)</f>
        <v>2</v>
      </c>
      <c r="F64" s="44" t="str">
        <f>VLOOKUP(E64,المرجع!$D$4:$E$12,2)</f>
        <v>د</v>
      </c>
      <c r="G64" s="40">
        <f t="shared" si="0"/>
        <v>2</v>
      </c>
      <c r="H64" s="53">
        <v>2</v>
      </c>
      <c r="I64" s="15">
        <v>74</v>
      </c>
      <c r="J64" s="65">
        <f>VLOOKUP(I64,المرجع!$B$4:$C$12,2)</f>
        <v>3</v>
      </c>
      <c r="K64" s="44" t="str">
        <f>VLOOKUP(J64,المرجع!$D$4:$E$12,2)</f>
        <v>ج</v>
      </c>
      <c r="L64" s="40">
        <f t="shared" si="1"/>
        <v>6</v>
      </c>
      <c r="M64" s="53">
        <v>3</v>
      </c>
      <c r="N64" s="15">
        <v>76</v>
      </c>
      <c r="O64" s="65">
        <f>VLOOKUP(N64,المرجع!$B$4:$C$12,2)</f>
        <v>3.5</v>
      </c>
      <c r="P64" s="44" t="str">
        <f>VLOOKUP(O64,المرجع!$D$4:$E$12,2)</f>
        <v>ج+</v>
      </c>
      <c r="Q64" s="40">
        <f t="shared" si="2"/>
        <v>10.5</v>
      </c>
      <c r="R64" s="53">
        <v>2</v>
      </c>
      <c r="S64" s="15">
        <v>85</v>
      </c>
      <c r="T64" s="65">
        <f>VLOOKUP(S64,المرجع!$B$4:$C$12,2)</f>
        <v>4.5</v>
      </c>
      <c r="U64" s="44" t="str">
        <f>VLOOKUP(T64,المرجع!$D$4:$E$12,2)</f>
        <v>ب+</v>
      </c>
      <c r="V64" s="40">
        <f t="shared" si="3"/>
        <v>9</v>
      </c>
      <c r="W64" s="53">
        <v>2</v>
      </c>
      <c r="X64" s="15">
        <v>94</v>
      </c>
      <c r="Y64" s="65">
        <f>VLOOKUP(X64,المرجع!$B$4:$C$12,2)</f>
        <v>4.75</v>
      </c>
      <c r="Z64" s="44" t="str">
        <f>VLOOKUP(Y64,المرجع!$D$4:$E$12,2)</f>
        <v>أ</v>
      </c>
      <c r="AA64" s="40">
        <f t="shared" si="4"/>
        <v>9.5</v>
      </c>
      <c r="AB64" s="53">
        <v>3</v>
      </c>
      <c r="AC64" s="15">
        <v>15</v>
      </c>
      <c r="AD64" s="65">
        <f>VLOOKUP(AC64,المرجع!$B$4:$C$12,2)</f>
        <v>0</v>
      </c>
      <c r="AE64" s="44" t="str">
        <f>VLOOKUP(AD64,المرجع!$D$4:$E$12,2)</f>
        <v>ه</v>
      </c>
      <c r="AF64" s="40">
        <f t="shared" si="5"/>
        <v>0</v>
      </c>
      <c r="AG64" s="53">
        <v>2</v>
      </c>
      <c r="AH64" s="15">
        <v>64</v>
      </c>
      <c r="AI64" s="65">
        <f>VLOOKUP(AH64,المرجع!$B$4:$C$12,2)</f>
        <v>2</v>
      </c>
      <c r="AJ64" s="44" t="str">
        <f>VLOOKUP(AI64,المرجع!$D$4:$E$12,2)</f>
        <v>د</v>
      </c>
      <c r="AK64" s="40">
        <f t="shared" si="6"/>
        <v>4</v>
      </c>
      <c r="AL64" s="53">
        <v>2</v>
      </c>
      <c r="AM64" s="15">
        <v>50</v>
      </c>
      <c r="AN64" s="65">
        <f>VLOOKUP(AM64,المرجع!$B$4:$C$12,2)</f>
        <v>2</v>
      </c>
      <c r="AO64" s="44" t="str">
        <f>VLOOKUP(AN64,المرجع!$D$4:$E$12,2)</f>
        <v>د</v>
      </c>
      <c r="AP64" s="40">
        <f t="shared" si="7"/>
        <v>4</v>
      </c>
      <c r="AQ64" s="53">
        <v>3</v>
      </c>
      <c r="AR64" s="15">
        <v>87</v>
      </c>
      <c r="AS64" s="65">
        <f>VLOOKUP(AR64,المرجع!$B$4:$C$12,2)</f>
        <v>4.5</v>
      </c>
      <c r="AT64" s="44" t="str">
        <f>VLOOKUP(AS64,المرجع!$D$4:$E$12,2)</f>
        <v>ب+</v>
      </c>
      <c r="AU64" s="40">
        <f t="shared" si="8"/>
        <v>13.5</v>
      </c>
      <c r="AV64" s="53">
        <v>2</v>
      </c>
      <c r="AW64" s="15">
        <v>51</v>
      </c>
      <c r="AX64" s="65">
        <f>VLOOKUP(AW64,المرجع!$B$4:$C$12,2)</f>
        <v>2</v>
      </c>
      <c r="AY64" s="44" t="str">
        <f>VLOOKUP(AX64,المرجع!$D$4:$E$12,2)</f>
        <v>د</v>
      </c>
      <c r="AZ64" s="40">
        <f t="shared" si="9"/>
        <v>4</v>
      </c>
      <c r="BA64" s="53">
        <v>2</v>
      </c>
      <c r="BB64" s="15">
        <v>61</v>
      </c>
      <c r="BC64" s="65">
        <f>VLOOKUP(BB64,المرجع!$B$4:$C$12,2)</f>
        <v>2</v>
      </c>
      <c r="BD64" s="44" t="str">
        <f>VLOOKUP(BC64,المرجع!$D$4:$E$12,2)</f>
        <v>د</v>
      </c>
      <c r="BE64" s="40">
        <f t="shared" si="10"/>
        <v>4</v>
      </c>
      <c r="BF64" s="56">
        <v>61.25</v>
      </c>
      <c r="BG64" s="58">
        <f t="shared" si="11"/>
        <v>24</v>
      </c>
      <c r="BH64" s="60">
        <v>2.66</v>
      </c>
      <c r="BI64" s="92">
        <v>2.78</v>
      </c>
      <c r="BJ64" s="59" t="s">
        <v>116</v>
      </c>
      <c r="BK64" s="108">
        <v>61</v>
      </c>
    </row>
    <row r="65" spans="1:63" ht="28.5" hidden="1">
      <c r="A65" s="107">
        <v>2023076</v>
      </c>
      <c r="B65" s="70" t="s">
        <v>82</v>
      </c>
      <c r="C65" s="53">
        <v>1</v>
      </c>
      <c r="D65" s="15">
        <v>24</v>
      </c>
      <c r="E65" s="65">
        <f>VLOOKUP(D65,المرجع!$B$4:$C$12,2)</f>
        <v>0</v>
      </c>
      <c r="F65" s="44" t="str">
        <f>VLOOKUP(E65,المرجع!$D$4:$E$12,2)</f>
        <v>ه</v>
      </c>
      <c r="G65" s="40">
        <f t="shared" si="0"/>
        <v>0</v>
      </c>
      <c r="H65" s="53">
        <v>2</v>
      </c>
      <c r="I65" s="15">
        <v>81</v>
      </c>
      <c r="J65" s="65">
        <f>VLOOKUP(I65,المرجع!$B$4:$C$12,2)</f>
        <v>4</v>
      </c>
      <c r="K65" s="44" t="str">
        <f>VLOOKUP(J65,المرجع!$D$4:$E$12,2)</f>
        <v>ب</v>
      </c>
      <c r="L65" s="40">
        <f t="shared" si="1"/>
        <v>8</v>
      </c>
      <c r="M65" s="53">
        <v>3</v>
      </c>
      <c r="N65" s="15">
        <v>75</v>
      </c>
      <c r="O65" s="65">
        <f>VLOOKUP(N65,المرجع!$B$4:$C$12,2)</f>
        <v>3.5</v>
      </c>
      <c r="P65" s="44" t="str">
        <f>VLOOKUP(O65,المرجع!$D$4:$E$12,2)</f>
        <v>ج+</v>
      </c>
      <c r="Q65" s="40">
        <f t="shared" si="2"/>
        <v>10.5</v>
      </c>
      <c r="R65" s="53">
        <v>2</v>
      </c>
      <c r="S65" s="15">
        <v>67</v>
      </c>
      <c r="T65" s="65">
        <f>VLOOKUP(S65,المرجع!$B$4:$C$12,2)</f>
        <v>2.5</v>
      </c>
      <c r="U65" s="44" t="str">
        <f>VLOOKUP(T65,المرجع!$D$4:$E$12,2)</f>
        <v>د+</v>
      </c>
      <c r="V65" s="40">
        <f t="shared" si="3"/>
        <v>5</v>
      </c>
      <c r="W65" s="53">
        <v>2</v>
      </c>
      <c r="X65" s="15">
        <v>50</v>
      </c>
      <c r="Y65" s="65">
        <f>VLOOKUP(X65,المرجع!$B$4:$C$12,2)</f>
        <v>2</v>
      </c>
      <c r="Z65" s="44" t="str">
        <f>VLOOKUP(Y65,المرجع!$D$4:$E$12,2)</f>
        <v>د</v>
      </c>
      <c r="AA65" s="40">
        <f t="shared" si="4"/>
        <v>4</v>
      </c>
      <c r="AB65" s="53">
        <v>3</v>
      </c>
      <c r="AC65" s="15">
        <v>13</v>
      </c>
      <c r="AD65" s="65">
        <f>VLOOKUP(AC65,المرجع!$B$4:$C$12,2)</f>
        <v>0</v>
      </c>
      <c r="AE65" s="44" t="str">
        <f>VLOOKUP(AD65,المرجع!$D$4:$E$12,2)</f>
        <v>ه</v>
      </c>
      <c r="AF65" s="40">
        <f t="shared" si="5"/>
        <v>0</v>
      </c>
      <c r="AG65" s="53">
        <v>2</v>
      </c>
      <c r="AH65" s="15">
        <v>65</v>
      </c>
      <c r="AI65" s="65">
        <f>VLOOKUP(AH65,المرجع!$B$4:$C$12,2)</f>
        <v>2.5</v>
      </c>
      <c r="AJ65" s="44" t="str">
        <f>VLOOKUP(AI65,المرجع!$D$4:$E$12,2)</f>
        <v>د+</v>
      </c>
      <c r="AK65" s="40">
        <f t="shared" si="6"/>
        <v>5</v>
      </c>
      <c r="AL65" s="53">
        <v>2</v>
      </c>
      <c r="AM65" s="15">
        <v>50</v>
      </c>
      <c r="AN65" s="65">
        <f>VLOOKUP(AM65,المرجع!$B$4:$C$12,2)</f>
        <v>2</v>
      </c>
      <c r="AO65" s="44" t="str">
        <f>VLOOKUP(AN65,المرجع!$D$4:$E$12,2)</f>
        <v>د</v>
      </c>
      <c r="AP65" s="40">
        <f t="shared" si="7"/>
        <v>4</v>
      </c>
      <c r="AQ65" s="53">
        <v>3</v>
      </c>
      <c r="AR65" s="15">
        <v>90</v>
      </c>
      <c r="AS65" s="65">
        <f>VLOOKUP(AR65,المرجع!$B$4:$C$12,2)</f>
        <v>4.75</v>
      </c>
      <c r="AT65" s="44" t="str">
        <f>VLOOKUP(AS65,المرجع!$D$4:$E$12,2)</f>
        <v>أ</v>
      </c>
      <c r="AU65" s="40">
        <f t="shared" si="8"/>
        <v>14.25</v>
      </c>
      <c r="AV65" s="53">
        <v>2</v>
      </c>
      <c r="AW65" s="15">
        <v>50</v>
      </c>
      <c r="AX65" s="65">
        <f>VLOOKUP(AW65,المرجع!$B$4:$C$12,2)</f>
        <v>2</v>
      </c>
      <c r="AY65" s="44" t="str">
        <f>VLOOKUP(AX65,المرجع!$D$4:$E$12,2)</f>
        <v>د</v>
      </c>
      <c r="AZ65" s="40">
        <f t="shared" si="9"/>
        <v>4</v>
      </c>
      <c r="BA65" s="53">
        <v>2</v>
      </c>
      <c r="BB65" s="15">
        <v>66</v>
      </c>
      <c r="BC65" s="65">
        <f>VLOOKUP(BB65,المرجع!$B$4:$C$12,2)</f>
        <v>2.5</v>
      </c>
      <c r="BD65" s="44" t="str">
        <f>VLOOKUP(BC65,المرجع!$D$4:$E$12,2)</f>
        <v>د+</v>
      </c>
      <c r="BE65" s="40">
        <f t="shared" si="10"/>
        <v>5</v>
      </c>
      <c r="BF65" s="56">
        <v>49.75</v>
      </c>
      <c r="BG65" s="58">
        <f t="shared" si="11"/>
        <v>24</v>
      </c>
      <c r="BH65" s="60">
        <v>2.16</v>
      </c>
      <c r="BI65" s="92">
        <v>2.4500000000000002</v>
      </c>
      <c r="BJ65" s="59" t="s">
        <v>114</v>
      </c>
      <c r="BK65" s="108">
        <v>63</v>
      </c>
    </row>
    <row r="66" spans="1:63" ht="28.5" hidden="1">
      <c r="A66" s="107">
        <v>2023062</v>
      </c>
      <c r="B66" s="70" t="s">
        <v>47</v>
      </c>
      <c r="C66" s="53">
        <v>1</v>
      </c>
      <c r="D66" s="15">
        <v>100</v>
      </c>
      <c r="E66" s="65">
        <f>VLOOKUP(D66,المرجع!$B$4:$C$12,2)</f>
        <v>5</v>
      </c>
      <c r="F66" s="44" t="str">
        <f>VLOOKUP(E66,المرجع!$D$4:$E$12,2)</f>
        <v xml:space="preserve">أ+ </v>
      </c>
      <c r="G66" s="40">
        <f t="shared" si="0"/>
        <v>5</v>
      </c>
      <c r="H66" s="53">
        <v>2</v>
      </c>
      <c r="I66" s="15">
        <v>30</v>
      </c>
      <c r="J66" s="65">
        <f>VLOOKUP(I66,المرجع!$B$4:$C$12,2)</f>
        <v>0</v>
      </c>
      <c r="K66" s="44" t="str">
        <f>VLOOKUP(J66,المرجع!$D$4:$E$12,2)</f>
        <v>ه</v>
      </c>
      <c r="L66" s="40">
        <f t="shared" si="1"/>
        <v>0</v>
      </c>
      <c r="M66" s="53">
        <v>3</v>
      </c>
      <c r="N66" s="15">
        <v>99</v>
      </c>
      <c r="O66" s="65">
        <f>VLOOKUP(N66,المرجع!$B$4:$C$12,2)</f>
        <v>5</v>
      </c>
      <c r="P66" s="44" t="str">
        <f>VLOOKUP(O66,المرجع!$D$4:$E$12,2)</f>
        <v xml:space="preserve">أ+ </v>
      </c>
      <c r="Q66" s="40">
        <f t="shared" si="2"/>
        <v>15</v>
      </c>
      <c r="R66" s="53">
        <v>2</v>
      </c>
      <c r="S66" s="15">
        <v>29</v>
      </c>
      <c r="T66" s="65">
        <f>VLOOKUP(S66,المرجع!$B$4:$C$12,2)</f>
        <v>0</v>
      </c>
      <c r="U66" s="44" t="str">
        <f>VLOOKUP(T66,المرجع!$D$4:$E$12,2)</f>
        <v>ه</v>
      </c>
      <c r="V66" s="40">
        <f t="shared" si="3"/>
        <v>0</v>
      </c>
      <c r="W66" s="53">
        <v>2</v>
      </c>
      <c r="X66" s="15">
        <v>100</v>
      </c>
      <c r="Y66" s="65">
        <f>VLOOKUP(X66,المرجع!$B$4:$C$12,2)</f>
        <v>5</v>
      </c>
      <c r="Z66" s="44" t="str">
        <f>VLOOKUP(Y66,المرجع!$D$4:$E$12,2)</f>
        <v xml:space="preserve">أ+ </v>
      </c>
      <c r="AA66" s="40">
        <f t="shared" si="4"/>
        <v>10</v>
      </c>
      <c r="AB66" s="53">
        <v>3</v>
      </c>
      <c r="AC66" s="15">
        <v>30</v>
      </c>
      <c r="AD66" s="65">
        <f>VLOOKUP(AC66,المرجع!$B$4:$C$12,2)</f>
        <v>0</v>
      </c>
      <c r="AE66" s="44" t="str">
        <f>VLOOKUP(AD66,المرجع!$D$4:$E$12,2)</f>
        <v>ه</v>
      </c>
      <c r="AF66" s="40">
        <f t="shared" si="5"/>
        <v>0</v>
      </c>
      <c r="AG66" s="53">
        <v>2</v>
      </c>
      <c r="AH66" s="15">
        <v>90</v>
      </c>
      <c r="AI66" s="65">
        <f>VLOOKUP(AH66,المرجع!$B$4:$C$12,2)</f>
        <v>4.75</v>
      </c>
      <c r="AJ66" s="44" t="str">
        <f>VLOOKUP(AI66,المرجع!$D$4:$E$12,2)</f>
        <v>أ</v>
      </c>
      <c r="AK66" s="40">
        <f t="shared" si="6"/>
        <v>9.5</v>
      </c>
      <c r="AL66" s="53">
        <v>2</v>
      </c>
      <c r="AM66" s="15">
        <v>100</v>
      </c>
      <c r="AN66" s="65">
        <f>VLOOKUP(AM66,المرجع!$B$4:$C$12,2)</f>
        <v>5</v>
      </c>
      <c r="AO66" s="44" t="str">
        <f>VLOOKUP(AN66,المرجع!$D$4:$E$12,2)</f>
        <v xml:space="preserve">أ+ </v>
      </c>
      <c r="AP66" s="40">
        <f t="shared" si="7"/>
        <v>10</v>
      </c>
      <c r="AQ66" s="53">
        <v>3</v>
      </c>
      <c r="AR66" s="15">
        <v>98</v>
      </c>
      <c r="AS66" s="65">
        <f>VLOOKUP(AR66,المرجع!$B$4:$C$12,2)</f>
        <v>5</v>
      </c>
      <c r="AT66" s="44" t="str">
        <f>VLOOKUP(AS66,المرجع!$D$4:$E$12,2)</f>
        <v xml:space="preserve">أ+ </v>
      </c>
      <c r="AU66" s="40">
        <f t="shared" si="8"/>
        <v>15</v>
      </c>
      <c r="AV66" s="53">
        <v>2</v>
      </c>
      <c r="AW66" s="15">
        <v>29</v>
      </c>
      <c r="AX66" s="65">
        <f>VLOOKUP(AW66,المرجع!$B$4:$C$12,2)</f>
        <v>0</v>
      </c>
      <c r="AY66" s="44" t="str">
        <f>VLOOKUP(AX66,المرجع!$D$4:$E$12,2)</f>
        <v>ه</v>
      </c>
      <c r="AZ66" s="40">
        <f t="shared" si="9"/>
        <v>0</v>
      </c>
      <c r="BA66" s="53">
        <v>2</v>
      </c>
      <c r="BB66" s="15">
        <v>75</v>
      </c>
      <c r="BC66" s="65">
        <f>VLOOKUP(BB66,المرجع!$B$4:$C$12,2)</f>
        <v>3.5</v>
      </c>
      <c r="BD66" s="44" t="str">
        <f>VLOOKUP(BC66,المرجع!$D$4:$E$12,2)</f>
        <v>ج+</v>
      </c>
      <c r="BE66" s="40">
        <f t="shared" si="10"/>
        <v>7</v>
      </c>
      <c r="BF66" s="56">
        <v>5</v>
      </c>
      <c r="BG66" s="58">
        <f t="shared" si="11"/>
        <v>24</v>
      </c>
      <c r="BH66" s="60">
        <v>0.21</v>
      </c>
      <c r="BI66" s="92">
        <v>2.04</v>
      </c>
      <c r="BJ66" s="59" t="s">
        <v>110</v>
      </c>
      <c r="BK66" s="108">
        <v>64</v>
      </c>
    </row>
    <row r="67" spans="1:63" ht="28.5" hidden="1">
      <c r="A67" s="107">
        <v>2023042</v>
      </c>
      <c r="B67" s="70" t="s">
        <v>13</v>
      </c>
      <c r="C67" s="53">
        <v>1</v>
      </c>
      <c r="D67" s="15">
        <v>24</v>
      </c>
      <c r="E67" s="65">
        <f>VLOOKUP(D67,المرجع!$B$4:$C$12,2)</f>
        <v>0</v>
      </c>
      <c r="F67" s="44" t="str">
        <f>VLOOKUP(E67,المرجع!$D$4:$E$12,2)</f>
        <v>ه</v>
      </c>
      <c r="G67" s="40">
        <f t="shared" si="0"/>
        <v>0</v>
      </c>
      <c r="H67" s="53">
        <v>2</v>
      </c>
      <c r="I67" s="15">
        <v>29</v>
      </c>
      <c r="J67" s="65">
        <f>VLOOKUP(I67,المرجع!$B$4:$C$12,2)</f>
        <v>0</v>
      </c>
      <c r="K67" s="44" t="str">
        <f>VLOOKUP(J67,المرجع!$D$4:$E$12,2)</f>
        <v>ه</v>
      </c>
      <c r="L67" s="40">
        <f t="shared" si="1"/>
        <v>0</v>
      </c>
      <c r="M67" s="53">
        <v>3</v>
      </c>
      <c r="N67" s="15">
        <v>27</v>
      </c>
      <c r="O67" s="65">
        <f>VLOOKUP(N67,المرجع!$B$4:$C$12,2)</f>
        <v>0</v>
      </c>
      <c r="P67" s="44" t="str">
        <f>VLOOKUP(O67,المرجع!$D$4:$E$12,2)</f>
        <v>ه</v>
      </c>
      <c r="Q67" s="40">
        <f t="shared" si="2"/>
        <v>0</v>
      </c>
      <c r="R67" s="53">
        <v>2</v>
      </c>
      <c r="S67" s="15">
        <v>29</v>
      </c>
      <c r="T67" s="65">
        <f>VLOOKUP(S67,المرجع!$B$4:$C$12,2)</f>
        <v>0</v>
      </c>
      <c r="U67" s="44" t="str">
        <f>VLOOKUP(T67,المرجع!$D$4:$E$12,2)</f>
        <v>ه</v>
      </c>
      <c r="V67" s="40">
        <f t="shared" si="3"/>
        <v>0</v>
      </c>
      <c r="W67" s="53">
        <v>2</v>
      </c>
      <c r="X67" s="15">
        <v>0</v>
      </c>
      <c r="Y67" s="65">
        <f>VLOOKUP(X67,المرجع!$B$4:$C$12,2)</f>
        <v>0</v>
      </c>
      <c r="Z67" s="44" t="str">
        <f>VLOOKUP(Y67,المرجع!$D$4:$E$12,2)</f>
        <v>ه</v>
      </c>
      <c r="AA67" s="40">
        <f t="shared" si="4"/>
        <v>0</v>
      </c>
      <c r="AB67" s="53">
        <v>3</v>
      </c>
      <c r="AC67" s="15">
        <v>27</v>
      </c>
      <c r="AD67" s="65">
        <f>VLOOKUP(AC67,المرجع!$B$4:$C$12,2)</f>
        <v>0</v>
      </c>
      <c r="AE67" s="44" t="str">
        <f>VLOOKUP(AD67,المرجع!$D$4:$E$12,2)</f>
        <v>ه</v>
      </c>
      <c r="AF67" s="40">
        <f t="shared" si="5"/>
        <v>0</v>
      </c>
      <c r="AG67" s="53">
        <v>2</v>
      </c>
      <c r="AH67" s="15">
        <v>27</v>
      </c>
      <c r="AI67" s="65">
        <f>VLOOKUP(AH67,المرجع!$B$4:$C$12,2)</f>
        <v>0</v>
      </c>
      <c r="AJ67" s="44" t="str">
        <f>VLOOKUP(AI67,المرجع!$D$4:$E$12,2)</f>
        <v>ه</v>
      </c>
      <c r="AK67" s="40">
        <f t="shared" si="6"/>
        <v>0</v>
      </c>
      <c r="AL67" s="53">
        <v>2</v>
      </c>
      <c r="AM67" s="15">
        <v>26</v>
      </c>
      <c r="AN67" s="65">
        <f>VLOOKUP(AM67,المرجع!$B$4:$C$12,2)</f>
        <v>0</v>
      </c>
      <c r="AO67" s="44" t="str">
        <f>VLOOKUP(AN67,المرجع!$D$4:$E$12,2)</f>
        <v>ه</v>
      </c>
      <c r="AP67" s="40">
        <f t="shared" si="7"/>
        <v>0</v>
      </c>
      <c r="AQ67" s="53">
        <v>3</v>
      </c>
      <c r="AR67" s="15">
        <v>30</v>
      </c>
      <c r="AS67" s="65">
        <f>VLOOKUP(AR67,المرجع!$B$4:$C$12,2)</f>
        <v>0</v>
      </c>
      <c r="AT67" s="44" t="str">
        <f>VLOOKUP(AS67,المرجع!$D$4:$E$12,2)</f>
        <v>ه</v>
      </c>
      <c r="AU67" s="40">
        <f t="shared" si="8"/>
        <v>0</v>
      </c>
      <c r="AV67" s="53">
        <v>2</v>
      </c>
      <c r="AW67" s="15">
        <v>25</v>
      </c>
      <c r="AX67" s="65">
        <f>VLOOKUP(AW67,المرجع!$B$4:$C$12,2)</f>
        <v>0</v>
      </c>
      <c r="AY67" s="44" t="str">
        <f>VLOOKUP(AX67,المرجع!$D$4:$E$12,2)</f>
        <v>ه</v>
      </c>
      <c r="AZ67" s="40">
        <f t="shared" si="9"/>
        <v>0</v>
      </c>
      <c r="BA67" s="53">
        <v>2</v>
      </c>
      <c r="BB67" s="15">
        <v>26</v>
      </c>
      <c r="BC67" s="65">
        <f>VLOOKUP(BB67,المرجع!$B$4:$C$12,2)</f>
        <v>0</v>
      </c>
      <c r="BD67" s="44" t="str">
        <f>VLOOKUP(BC67,المرجع!$D$4:$E$12,2)</f>
        <v>ه</v>
      </c>
      <c r="BE67" s="40">
        <f t="shared" si="10"/>
        <v>0</v>
      </c>
      <c r="BF67" s="56">
        <v>0</v>
      </c>
      <c r="BG67" s="58">
        <f t="shared" si="11"/>
        <v>24</v>
      </c>
      <c r="BH67" s="60">
        <v>0</v>
      </c>
      <c r="BI67" s="92">
        <v>1.94</v>
      </c>
      <c r="BJ67" s="59" t="s">
        <v>110</v>
      </c>
      <c r="BK67" s="108">
        <v>65</v>
      </c>
    </row>
    <row r="68" spans="1:63" ht="28.5" hidden="1">
      <c r="A68" s="118">
        <v>2023025</v>
      </c>
      <c r="B68" s="119" t="s">
        <v>94</v>
      </c>
      <c r="C68" s="120">
        <v>1</v>
      </c>
      <c r="D68" s="121">
        <v>0</v>
      </c>
      <c r="E68" s="122">
        <f>VLOOKUP(D68,المرجع!$B$4:$C$12,2)</f>
        <v>0</v>
      </c>
      <c r="F68" s="123" t="str">
        <f>VLOOKUP(E68,المرجع!$D$4:$E$12,2)</f>
        <v>ه</v>
      </c>
      <c r="G68" s="124">
        <f t="shared" ref="G68" si="12">E68*C68</f>
        <v>0</v>
      </c>
      <c r="H68" s="120">
        <v>2</v>
      </c>
      <c r="I68" s="121">
        <v>0</v>
      </c>
      <c r="J68" s="122">
        <f>VLOOKUP(I68,المرجع!$B$4:$C$12,2)</f>
        <v>0</v>
      </c>
      <c r="K68" s="123" t="str">
        <f>VLOOKUP(J68,المرجع!$D$4:$E$12,2)</f>
        <v>ه</v>
      </c>
      <c r="L68" s="124">
        <f t="shared" ref="L68" si="13">J68*H68</f>
        <v>0</v>
      </c>
      <c r="M68" s="120">
        <v>3</v>
      </c>
      <c r="N68" s="121">
        <f>3+65</f>
        <v>68</v>
      </c>
      <c r="O68" s="122">
        <f>VLOOKUP(N68,المرجع!$B$4:$C$12,2)</f>
        <v>2.5</v>
      </c>
      <c r="P68" s="123" t="str">
        <f>VLOOKUP(O68,المرجع!$D$4:$E$12,2)</f>
        <v>د+</v>
      </c>
      <c r="Q68" s="124">
        <f t="shared" ref="Q68" si="14">O68*M68</f>
        <v>7.5</v>
      </c>
      <c r="R68" s="120">
        <v>2</v>
      </c>
      <c r="S68" s="121">
        <v>30</v>
      </c>
      <c r="T68" s="122">
        <f>VLOOKUP(S68,المرجع!$B$4:$C$12,2)</f>
        <v>0</v>
      </c>
      <c r="U68" s="123" t="str">
        <f>VLOOKUP(T68,المرجع!$D$4:$E$12,2)</f>
        <v>ه</v>
      </c>
      <c r="V68" s="124">
        <f t="shared" ref="V68" si="15">T68*R68</f>
        <v>0</v>
      </c>
      <c r="W68" s="120">
        <v>2</v>
      </c>
      <c r="X68" s="121">
        <v>85</v>
      </c>
      <c r="Y68" s="122">
        <f>VLOOKUP(X68,المرجع!$B$4:$C$12,2)</f>
        <v>4.5</v>
      </c>
      <c r="Z68" s="123" t="str">
        <f>VLOOKUP(Y68,المرجع!$D$4:$E$12,2)</f>
        <v>ب+</v>
      </c>
      <c r="AA68" s="124">
        <f t="shared" ref="AA68" si="16">Y68*W68</f>
        <v>9</v>
      </c>
      <c r="AB68" s="120">
        <v>3</v>
      </c>
      <c r="AC68" s="121">
        <v>0</v>
      </c>
      <c r="AD68" s="122">
        <f>VLOOKUP(AC68,المرجع!$B$4:$C$12,2)</f>
        <v>0</v>
      </c>
      <c r="AE68" s="123" t="str">
        <f>VLOOKUP(AD68,المرجع!$D$4:$E$12,2)</f>
        <v>ه</v>
      </c>
      <c r="AF68" s="124">
        <f t="shared" ref="AF68" si="17">AD68*AB68</f>
        <v>0</v>
      </c>
      <c r="AG68" s="120">
        <v>2</v>
      </c>
      <c r="AH68" s="121">
        <v>85</v>
      </c>
      <c r="AI68" s="122">
        <f>VLOOKUP(AH68,المرجع!$B$4:$C$12,2)</f>
        <v>4.5</v>
      </c>
      <c r="AJ68" s="123" t="str">
        <f>VLOOKUP(AI68,المرجع!$D$4:$E$12,2)</f>
        <v>ب+</v>
      </c>
      <c r="AK68" s="124">
        <f t="shared" ref="AK68" si="18">AI68*AG68</f>
        <v>9</v>
      </c>
      <c r="AL68" s="120">
        <v>2</v>
      </c>
      <c r="AM68" s="121">
        <v>88</v>
      </c>
      <c r="AN68" s="122">
        <f>VLOOKUP(AM68,المرجع!$B$4:$C$12,2)</f>
        <v>4.5</v>
      </c>
      <c r="AO68" s="123" t="str">
        <f>VLOOKUP(AN68,المرجع!$D$4:$E$12,2)</f>
        <v>ب+</v>
      </c>
      <c r="AP68" s="124">
        <f t="shared" ref="AP68" si="19">AN68*AL68</f>
        <v>9</v>
      </c>
      <c r="AQ68" s="120">
        <v>3</v>
      </c>
      <c r="AR68" s="121">
        <v>85</v>
      </c>
      <c r="AS68" s="122">
        <f>VLOOKUP(AR68,المرجع!$B$4:$C$12,2)</f>
        <v>4.5</v>
      </c>
      <c r="AT68" s="123" t="str">
        <f>VLOOKUP(AS68,المرجع!$D$4:$E$12,2)</f>
        <v>ب+</v>
      </c>
      <c r="AU68" s="124">
        <f t="shared" ref="AU68" si="20">AS68*AQ68</f>
        <v>13.5</v>
      </c>
      <c r="AV68" s="120">
        <v>2</v>
      </c>
      <c r="AW68" s="121">
        <v>0</v>
      </c>
      <c r="AX68" s="122">
        <f>VLOOKUP(AW68,المرجع!$B$4:$C$12,2)</f>
        <v>0</v>
      </c>
      <c r="AY68" s="123" t="str">
        <f>VLOOKUP(AX68,المرجع!$D$4:$E$12,2)</f>
        <v>ه</v>
      </c>
      <c r="AZ68" s="124">
        <f t="shared" ref="AZ68" si="21">AX68*AV68</f>
        <v>0</v>
      </c>
      <c r="BA68" s="120">
        <v>2</v>
      </c>
      <c r="BB68" s="121">
        <v>80</v>
      </c>
      <c r="BC68" s="122">
        <f>VLOOKUP(BB68,المرجع!$B$4:$C$12,2)</f>
        <v>4</v>
      </c>
      <c r="BD68" s="123" t="str">
        <f>VLOOKUP(BC68,المرجع!$D$4:$E$12,2)</f>
        <v>ب</v>
      </c>
      <c r="BE68" s="124">
        <f t="shared" ref="BE68" si="22">BC68*BA68</f>
        <v>8</v>
      </c>
      <c r="BF68" s="125">
        <v>0</v>
      </c>
      <c r="BG68" s="126">
        <f t="shared" ref="BG68" si="23">BA68+AV68+AQ68+AL68+AG68+AB68+W68+R68+M68+H68+C68</f>
        <v>24</v>
      </c>
      <c r="BH68" s="127">
        <v>0</v>
      </c>
      <c r="BI68" s="128">
        <v>1.96</v>
      </c>
      <c r="BJ68" s="129" t="s">
        <v>110</v>
      </c>
      <c r="BK68" s="130">
        <v>65</v>
      </c>
    </row>
  </sheetData>
  <conditionalFormatting sqref="N3:N68">
    <cfRule type="cellIs" dxfId="2" priority="1" operator="lessThan">
      <formula>50</formula>
    </cfRule>
  </conditionalFormatting>
  <conditionalFormatting sqref="BJ2">
    <cfRule type="containsText" dxfId="1" priority="4" operator="containsText" text="راسب">
      <formula>NOT(ISERROR(SEARCH("راسب",BJ2)))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DB03-9587-4D9B-81DB-C1E4A3452B11}">
  <sheetPr>
    <tabColor rgb="FF0000CC"/>
  </sheetPr>
  <dimension ref="A5:H27"/>
  <sheetViews>
    <sheetView rightToLeft="1" tabSelected="1" view="pageLayout" zoomScaleNormal="100" workbookViewId="0">
      <selection activeCell="D6" sqref="D6:H6"/>
    </sheetView>
  </sheetViews>
  <sheetFormatPr defaultRowHeight="14.5"/>
  <cols>
    <col min="1" max="1" width="4.36328125" bestFit="1" customWidth="1"/>
    <col min="2" max="2" width="22.08984375" bestFit="1" customWidth="1"/>
    <col min="5" max="5" width="10" customWidth="1"/>
    <col min="8" max="8" width="10.54296875" customWidth="1"/>
  </cols>
  <sheetData>
    <row r="5" spans="1:8" ht="28.5">
      <c r="A5" s="140" t="s">
        <v>242</v>
      </c>
      <c r="B5" s="141"/>
      <c r="C5" s="142"/>
      <c r="D5" s="143">
        <v>2023067</v>
      </c>
      <c r="E5" s="144"/>
      <c r="F5" s="144"/>
      <c r="G5" s="144"/>
      <c r="H5" s="144"/>
    </row>
    <row r="6" spans="1:8" ht="34">
      <c r="A6" s="140" t="s">
        <v>243</v>
      </c>
      <c r="B6" s="141"/>
      <c r="C6" s="142"/>
      <c r="D6" s="145" t="str">
        <f>_xlfn.XLOOKUP($D$5,'المستوى الخامس'!A3:A68,'المستوى الخامس'!B3:B68)</f>
        <v>عبد الوهاب نيكيما</v>
      </c>
      <c r="E6" s="146"/>
      <c r="F6" s="146"/>
      <c r="G6" s="146"/>
      <c r="H6" s="146"/>
    </row>
    <row r="7" spans="1:8" ht="25.5">
      <c r="A7" s="140" t="s">
        <v>244</v>
      </c>
      <c r="B7" s="141"/>
      <c r="C7" s="142"/>
      <c r="D7" s="147" t="s">
        <v>199</v>
      </c>
      <c r="E7" s="148"/>
      <c r="F7" s="148"/>
      <c r="G7" s="148"/>
      <c r="H7" s="148"/>
    </row>
    <row r="8" spans="1:8" ht="26.4" customHeight="1" thickBot="1">
      <c r="A8" s="152" t="s">
        <v>245</v>
      </c>
      <c r="B8" s="153"/>
      <c r="C8" s="154"/>
      <c r="D8" s="155" t="s">
        <v>259</v>
      </c>
      <c r="E8" s="156"/>
      <c r="F8" s="156"/>
      <c r="G8" s="156"/>
      <c r="H8" s="156"/>
    </row>
    <row r="9" spans="1:8" ht="25.25" customHeight="1">
      <c r="A9" s="157" t="s">
        <v>191</v>
      </c>
      <c r="B9" s="160" t="s">
        <v>246</v>
      </c>
      <c r="C9" s="160"/>
      <c r="D9" s="160"/>
      <c r="E9" s="160"/>
      <c r="F9" s="160"/>
      <c r="G9" s="160"/>
      <c r="H9" s="161"/>
    </row>
    <row r="10" spans="1:8" ht="24" customHeight="1">
      <c r="A10" s="158"/>
      <c r="B10" s="162" t="s">
        <v>247</v>
      </c>
      <c r="C10" s="162"/>
      <c r="D10" s="163"/>
      <c r="E10" s="164" t="s">
        <v>248</v>
      </c>
      <c r="F10" s="166" t="s">
        <v>104</v>
      </c>
      <c r="G10" s="166"/>
      <c r="H10" s="167" t="s">
        <v>99</v>
      </c>
    </row>
    <row r="11" spans="1:8" ht="24.65" customHeight="1" thickBot="1">
      <c r="A11" s="159"/>
      <c r="B11" s="101" t="s">
        <v>249</v>
      </c>
      <c r="C11" s="102" t="s">
        <v>250</v>
      </c>
      <c r="D11" s="103" t="s">
        <v>251</v>
      </c>
      <c r="E11" s="165"/>
      <c r="F11" s="104" t="s">
        <v>252</v>
      </c>
      <c r="G11" s="105" t="s">
        <v>253</v>
      </c>
      <c r="H11" s="168"/>
    </row>
    <row r="12" spans="1:8" ht="25.25" customHeight="1">
      <c r="A12" s="106" t="str">
        <f>_xlfn.UNICHAR(ROW()-11+9311)</f>
        <v>①</v>
      </c>
      <c r="B12" s="88" t="s">
        <v>193</v>
      </c>
      <c r="C12" s="97" t="s">
        <v>260</v>
      </c>
      <c r="D12" s="98" cm="1">
        <f t="array" ref="D12">_xlfn.XLOOKUP($D$5,'المستوى الخامس'!A3:A68,الجدول1[الساعات (م ق)])</f>
        <v>1</v>
      </c>
      <c r="E12" s="99" cm="1">
        <f t="array" ref="E12">_xlfn.XLOOKUP($D$5,'المستوى الخامس'!A3:A68,الجدول1[[القرآن الكريم  ]])</f>
        <v>36</v>
      </c>
      <c r="F12" s="100" cm="1">
        <f t="array" ref="F12">_xlfn.XLOOKUP($D$5,'المستوى الخامس'!A3:A68,الجدول1[الوزن (م ق)])</f>
        <v>0</v>
      </c>
      <c r="G12" s="135" t="str" cm="1">
        <f t="array" ref="G12">_xlfn.XLOOKUP($D$5,'المستوى الخامس'!A3:A68,الجدول1[الرمز (م ق)])</f>
        <v>ه</v>
      </c>
      <c r="H12" s="136" cm="1">
        <f t="array" ref="H12">_xlfn.XLOOKUP($D$5,'المستوى الخامس'!A3:A68,الجدول1[النقاط (م ق)])</f>
        <v>0</v>
      </c>
    </row>
    <row r="13" spans="1:8" ht="25.25" customHeight="1">
      <c r="A13" s="106" t="str">
        <f t="shared" ref="A13:A22" si="0">_xlfn.UNICHAR(ROW()-11+9311)</f>
        <v>②</v>
      </c>
      <c r="B13" s="89" t="s">
        <v>262</v>
      </c>
      <c r="C13" s="97" t="s">
        <v>261</v>
      </c>
      <c r="D13" s="98" cm="1">
        <f t="array" ref="D13">_xlfn.XLOOKUP($D$5,'المستوى الخامس'!A3:A68,الجدول1[الساعات( م ت)])</f>
        <v>2</v>
      </c>
      <c r="E13" s="99" cm="1">
        <f t="array" ref="E13">_xlfn.XLOOKUP($D$5,'المستوى الخامس'!A3:A68,الجدول1[التوحيد 4  ( م ت)])</f>
        <v>94</v>
      </c>
      <c r="F13" s="100" cm="1">
        <f t="array" ref="F13">_xlfn.XLOOKUP($D$5,'المستوى الخامس'!A3:A68,الجدول1[الوزن ( م ت)])</f>
        <v>4.75</v>
      </c>
      <c r="G13" s="135" t="str" cm="1">
        <f t="array" ref="G13">_xlfn.XLOOKUP($D$5,'المستوى الخامس'!A3:A68,الجدول1[الرمز ( م ت)])</f>
        <v>أ</v>
      </c>
      <c r="H13" s="136" cm="1">
        <f t="array" ref="H13">_xlfn.XLOOKUP($D$5,'المستوى الخامس'!A3:A68,الجدول1[النقاط ( م ت)])</f>
        <v>9.5</v>
      </c>
    </row>
    <row r="14" spans="1:8" ht="25.25" customHeight="1">
      <c r="A14" s="106" t="str">
        <f t="shared" si="0"/>
        <v>③</v>
      </c>
      <c r="B14" s="89" t="s">
        <v>194</v>
      </c>
      <c r="C14" s="97" t="s">
        <v>263</v>
      </c>
      <c r="D14" s="98" cm="1">
        <f t="array" ref="D14">_xlfn.XLOOKUP($D$5,'المستوى الخامس'!A3:A68,الجدول1[الساعات م حت)])</f>
        <v>3</v>
      </c>
      <c r="E14" s="99" cm="1">
        <f t="array" ref="E14">_xlfn.XLOOKUP($D$5,'المستوى الخامس'!A3:A68,الجدول1[الحديث التحليلي])</f>
        <v>65</v>
      </c>
      <c r="F14" s="100" cm="1">
        <f t="array" ref="F14">_xlfn.XLOOKUP($D$5,'المستوى الخامس'!A3:A68,الجدول1[الوزن( م ح ت)])</f>
        <v>2.5</v>
      </c>
      <c r="G14" s="135" t="str" cm="1">
        <f t="array" ref="G14">_xlfn.XLOOKUP($D$5,'المستوى الخامس'!A3:A68,الجدول1[الرمز( م ح ت)])</f>
        <v>د+</v>
      </c>
      <c r="H14" s="136" cm="1">
        <f t="array" ref="H14">_xlfn.XLOOKUP($D$5,'المستوى الخامس'!A3:A68,الجدول1[النقاط( م ح ت)])</f>
        <v>7.5</v>
      </c>
    </row>
    <row r="15" spans="1:8" ht="25.25" customHeight="1">
      <c r="A15" s="106" t="str">
        <f t="shared" si="0"/>
        <v>④</v>
      </c>
      <c r="B15" s="89" t="s">
        <v>184</v>
      </c>
      <c r="C15" s="97" t="s">
        <v>270</v>
      </c>
      <c r="D15" s="98" cm="1">
        <f t="array" ref="D15">_xlfn.XLOOKUP($D$5,'المستوى الخامس'!A3:A68,الجدول1[الساعات (م ف)])</f>
        <v>2</v>
      </c>
      <c r="E15" s="99" cm="1">
        <f t="array" ref="E15">_xlfn.XLOOKUP($D$5,'المستوى الخامس'!A3:A68,الجدول1[الفقه 4])</f>
        <v>87</v>
      </c>
      <c r="F15" s="100" cm="1">
        <f t="array" ref="F15">_xlfn.XLOOKUP($D$5,'المستوى الخامس'!A3:A68,الجدول1[الوزن (م ف)])</f>
        <v>4.5</v>
      </c>
      <c r="G15" s="135" t="str" cm="1">
        <f t="array" ref="G15">_xlfn.XLOOKUP($D$5,'المستوى الخامس'!A3:A68,الجدول1[الرمز (م ف)])</f>
        <v>ب+</v>
      </c>
      <c r="H15" s="136" cm="1">
        <f t="array" ref="H15">_xlfn.XLOOKUP($D$5,'المستوى الخامس'!A3:A68,الجدول1[النقاط (م ف)])</f>
        <v>9</v>
      </c>
    </row>
    <row r="16" spans="1:8" ht="25.25" customHeight="1">
      <c r="A16" s="106" t="str">
        <f t="shared" si="0"/>
        <v>⑤</v>
      </c>
      <c r="B16" s="89" t="s">
        <v>195</v>
      </c>
      <c r="C16" s="97" t="s">
        <v>263</v>
      </c>
      <c r="D16" s="98" cm="1">
        <f t="array" ref="D16">_xlfn.XLOOKUP($D$5,'المستوى الخامس'!A3:A68,الجدول1[الساعات(م  ك س)])</f>
        <v>2</v>
      </c>
      <c r="E16" s="99" cm="1">
        <f t="array" ref="E16">_xlfn.XLOOKUP($D$5,'المستوى الخامس'!A3:A68,الجدول1[[كتب السنة3 ]])</f>
        <v>99</v>
      </c>
      <c r="F16" s="100" cm="1">
        <f t="array" ref="F16">_xlfn.XLOOKUP($D$5,'المستوى الخامس'!A3:A68,الجدول1[الوزن( م ك س)])</f>
        <v>5</v>
      </c>
      <c r="G16" s="135" t="str" cm="1">
        <f t="array" ref="G16">_xlfn.XLOOKUP($D$5,'المستوى الخامس'!A3:A68,الجدول1[الرمز(  م ك س)])</f>
        <v xml:space="preserve">أ+ </v>
      </c>
      <c r="H16" s="136" cm="1">
        <f t="array" ref="H16">_xlfn.XLOOKUP($D$5,'المستوى الخامس'!A3:A68,الجدول1[النقاط ( م ج ت)])</f>
        <v>6</v>
      </c>
    </row>
    <row r="17" spans="1:8" ht="25.25" customHeight="1">
      <c r="A17" s="106" t="str">
        <f t="shared" si="0"/>
        <v>⑥</v>
      </c>
      <c r="B17" s="89" t="s">
        <v>196</v>
      </c>
      <c r="C17" s="97" t="s">
        <v>264</v>
      </c>
      <c r="D17" s="98" cm="1">
        <f t="array" ref="D17">_xlfn.XLOOKUP($D$5,'المستوى الخامس'!A3:A68,الجدول1[الساعات ( م ج ت)])</f>
        <v>3</v>
      </c>
      <c r="E17" s="99" cm="1">
        <f t="array" ref="E17">_xlfn.XLOOKUP($D$5,'المستوى الخامس'!A3:A68,الجدول1[[       الجرح والتعجيل2]])</f>
        <v>54</v>
      </c>
      <c r="F17" s="100" cm="1">
        <f t="array" ref="F17">_xlfn.XLOOKUP($D$5,'المستوى الخامس'!A3:A68,الجدول1[الوزن (م  ج ت)])</f>
        <v>2</v>
      </c>
      <c r="G17" s="135" t="str" cm="1">
        <f t="array" ref="G17">_xlfn.XLOOKUP($D$5,'المستوى الخامس'!A3:A68,الجدول1[الرمز  ( م ج ت)])</f>
        <v>د</v>
      </c>
      <c r="H17" s="137" cm="1">
        <f t="array" ref="H17">_xlfn.XLOOKUP($D$5,'المستوى الخامس'!A3:A68,الجدول1[النقاط ( م ج ت)])</f>
        <v>6</v>
      </c>
    </row>
    <row r="18" spans="1:8" ht="25.25" customHeight="1">
      <c r="A18" s="106" t="str">
        <f t="shared" si="0"/>
        <v>⑦</v>
      </c>
      <c r="B18" s="89" t="s">
        <v>187</v>
      </c>
      <c r="C18" s="97" t="s">
        <v>265</v>
      </c>
      <c r="D18" s="98" cm="1">
        <f t="array" ref="D18">_xlfn.XLOOKUP($D$5,'المستوى الخامس'!A3:A68,الجدول1[الساعات (م س)])</f>
        <v>2</v>
      </c>
      <c r="E18" s="99" cm="1">
        <f t="array" ref="E18">_xlfn.XLOOKUP($D$5,'المستوى الخامس'!A3:A68,الجدول1[[السيرة النبوية ]])</f>
        <v>89</v>
      </c>
      <c r="F18" s="100" cm="1">
        <f t="array" ref="F18">_xlfn.XLOOKUP($D$5,'المستوى الخامس'!A3:A68,الجدول1[الوزن (م س)])</f>
        <v>4.5</v>
      </c>
      <c r="G18" s="135" t="str" cm="1">
        <f t="array" ref="G18">_xlfn.XLOOKUP($D$5,'المستوى الخامس'!A3:A68,الجدول1[الرمز (م س)])</f>
        <v>ب+</v>
      </c>
      <c r="H18" s="137" cm="1">
        <f t="array" ref="H18">_xlfn.XLOOKUP($D$5,'المستوى الخامس'!A3:A68,الجدول1[النقاط (م س)])</f>
        <v>9</v>
      </c>
    </row>
    <row r="19" spans="1:8" ht="25.25" customHeight="1">
      <c r="A19" s="106" t="str">
        <f t="shared" si="0"/>
        <v>⑧</v>
      </c>
      <c r="B19" s="89" t="s">
        <v>197</v>
      </c>
      <c r="C19" s="97" t="s">
        <v>266</v>
      </c>
      <c r="D19" s="98" cm="1">
        <f t="array" ref="D19">_xlfn.XLOOKUP($D$5,'المستوى الخامس'!A3:A68,الجدول1[الساعات (م د ح)])</f>
        <v>2</v>
      </c>
      <c r="E19" s="99" cm="1">
        <f t="array" ref="E19">_xlfn.XLOOKUP($D$5,'المستوى الخامس'!A3:A68,الجدول1[[الدعوة الحسبة ]])</f>
        <v>70</v>
      </c>
      <c r="F19" s="100" cm="1">
        <f t="array" ref="F19">_xlfn.XLOOKUP($D$5,'المستوى الخامس'!A3:A68,الجدول1[الوزن (م د ح)])</f>
        <v>3</v>
      </c>
      <c r="G19" s="135" t="str" cm="1">
        <f t="array" ref="G19">_xlfn.XLOOKUP($D$5,'المستوى الخامس'!A3:A68,الجدول1[الرمز(م د ح)])</f>
        <v>ج</v>
      </c>
      <c r="H19" s="137" cm="1">
        <f t="array" ref="H19">_xlfn.XLOOKUP($D$5,'المستوى الخامس'!A3:A68,الجدول1[النقاط(م د ح)])</f>
        <v>6</v>
      </c>
    </row>
    <row r="20" spans="1:8" ht="25.25" customHeight="1">
      <c r="A20" s="106" t="str">
        <f t="shared" si="0"/>
        <v>⑨</v>
      </c>
      <c r="B20" s="89" t="s">
        <v>189</v>
      </c>
      <c r="C20" s="97" t="s">
        <v>267</v>
      </c>
      <c r="D20" s="98" cm="1">
        <f t="array" ref="D20">_xlfn.XLOOKUP($D$5,'المستوى الخامس'!A3:A68,الجدول1[الساعات (م ح)])</f>
        <v>3</v>
      </c>
      <c r="E20" s="99" cm="1">
        <f t="array" ref="E20">_xlfn.XLOOKUP($D$5,'المستوى الخامس'!A3:A68,الجدول1[مصطلح الحديث 3])</f>
        <v>92</v>
      </c>
      <c r="F20" s="100" cm="1">
        <f t="array" ref="F20">_xlfn.XLOOKUP($D$5,'المستوى الخامس'!A3:A68,الجدول1[الوزن (م ح)])</f>
        <v>4.75</v>
      </c>
      <c r="G20" s="135" t="str" cm="1">
        <f t="array" ref="G20">_xlfn.XLOOKUP($D$5,'المستوى الخامس'!A3:A68,الجدول1[الرمز (م ح)])</f>
        <v>أ</v>
      </c>
      <c r="H20" s="137" cm="1">
        <f t="array" ref="H20">_xlfn.XLOOKUP($D$5,'المستوى الخامس'!A3:A68,الجدول1[النقاط (م ح)])</f>
        <v>14.25</v>
      </c>
    </row>
    <row r="21" spans="1:8" ht="25.25" customHeight="1">
      <c r="A21" s="106" t="str">
        <f t="shared" si="0"/>
        <v>⑩</v>
      </c>
      <c r="B21" s="89" t="s">
        <v>198</v>
      </c>
      <c r="C21" s="97" t="s">
        <v>268</v>
      </c>
      <c r="D21" s="98" cm="1">
        <f t="array" ref="D21">_xlfn.XLOOKUP($D$5,'المستوى الخامس'!A3:A68,الجدول1[الساعات (م ص)])</f>
        <v>2</v>
      </c>
      <c r="E21" s="99" cm="1">
        <f t="array" ref="E21">_xlfn.XLOOKUP($D$5,'المستوى الخامس'!A3:A68,الجدول1[[الصرف ]])</f>
        <v>60</v>
      </c>
      <c r="F21" s="100" cm="1">
        <f t="array" ref="F21">_xlfn.XLOOKUP($D$5,'المستوى الخامس'!A3:A68,الجدول1[الوزن  (م ص)])</f>
        <v>2</v>
      </c>
      <c r="G21" s="134" t="str" cm="1">
        <f t="array" ref="G21">_xlfn.XLOOKUP($D$5,'المستوى الخامس'!A3:A68,الجدول1[الرمز  (م ص)])</f>
        <v>د</v>
      </c>
      <c r="H21" s="137" cm="1">
        <f t="array" ref="H21">_xlfn.XLOOKUP($D$5,'المستوى الخامس'!A3:A68,الجدول1[النقاط (م ص)])</f>
        <v>4</v>
      </c>
    </row>
    <row r="22" spans="1:8" ht="23.4" customHeight="1" thickBot="1">
      <c r="A22" s="106" t="str">
        <f t="shared" si="0"/>
        <v>⑪</v>
      </c>
      <c r="B22" s="89" t="s">
        <v>138</v>
      </c>
      <c r="C22" s="97" t="s">
        <v>269</v>
      </c>
      <c r="D22" s="90" cm="1">
        <f t="array" ref="D22">_xlfn.XLOOKUP($D$5,'المستوى الخامس'!A3:A68,الجدول1[الساعات (م ENG)])</f>
        <v>2</v>
      </c>
      <c r="E22" s="99" cm="1">
        <f t="array" ref="E22">_xlfn.XLOOKUP($D$5,'المستوى الخامس'!A3:A68,الجدول1[English(3)])</f>
        <v>62</v>
      </c>
      <c r="F22" s="100" cm="1">
        <f t="array" ref="F22">_xlfn.XLOOKUP($D$5,'المستوى الخامس'!A3:A68,الجدول1[الوزن (م ENG)])</f>
        <v>2</v>
      </c>
      <c r="G22" s="134" t="str" cm="1">
        <f t="array" ref="G22">_xlfn.XLOOKUP($D$5,'المستوى الخامس'!A3:A68,الجدول1[الرمز (م ENG)])</f>
        <v>د</v>
      </c>
      <c r="H22" s="137" cm="1">
        <f t="array" ref="H22">_xlfn.XLOOKUP($D$5,'المستوى الخامس'!A3:A68,الجدول1[النقاط (م ENG)])</f>
        <v>4</v>
      </c>
    </row>
    <row r="23" spans="1:8" ht="25.75" customHeight="1">
      <c r="A23" s="149" t="s">
        <v>254</v>
      </c>
      <c r="B23" s="150"/>
      <c r="C23" s="151"/>
      <c r="D23" s="131">
        <f>SUM(D12:D22)</f>
        <v>24</v>
      </c>
      <c r="E23" s="132"/>
      <c r="F23" s="132"/>
      <c r="G23" s="132"/>
      <c r="H23" s="133">
        <f>SUM(H12:H22)</f>
        <v>75.25</v>
      </c>
    </row>
    <row r="24" spans="1:8" ht="25.75" customHeight="1">
      <c r="A24" s="172" t="s">
        <v>258</v>
      </c>
      <c r="B24" s="173"/>
      <c r="C24" s="174"/>
      <c r="D24" s="181" cm="1">
        <f t="array" ref="D24">_xlfn.XLOOKUP($D$5,'المستوى الخامس'!A3:A68,الجدول1[[المعدل الفصلي ]])</f>
        <v>3.53</v>
      </c>
      <c r="E24" s="182"/>
      <c r="F24" s="182"/>
      <c r="G24" s="182"/>
      <c r="H24" s="183"/>
    </row>
    <row r="25" spans="1:8" ht="25.75" customHeight="1">
      <c r="A25" s="175" t="s">
        <v>103</v>
      </c>
      <c r="B25" s="176"/>
      <c r="C25" s="177"/>
      <c r="D25" s="184" cm="1">
        <f t="array" ref="D25">_xlfn.XLOOKUP($D$5,'المستوى الخامس'!A3:A68,الجدول1[[المعدل التراكمي ]])</f>
        <v>3.18</v>
      </c>
      <c r="E25" s="185"/>
      <c r="F25" s="185"/>
      <c r="G25" s="185"/>
      <c r="H25" s="186"/>
    </row>
    <row r="26" spans="1:8" ht="25.75" customHeight="1">
      <c r="A26" s="172" t="s">
        <v>181</v>
      </c>
      <c r="B26" s="173"/>
      <c r="C26" s="174"/>
      <c r="D26" s="187" t="str" cm="1">
        <f t="array" ref="D26">_xlfn.XLOOKUP($D$5,'المستوى الخامس'!A3:A68,الجدول1[التقدير])</f>
        <v xml:space="preserve">جيد مرتفع </v>
      </c>
      <c r="E26" s="188"/>
      <c r="F26" s="188"/>
      <c r="G26" s="188"/>
      <c r="H26" s="189"/>
    </row>
    <row r="27" spans="1:8" ht="25.75" customHeight="1" thickBot="1">
      <c r="A27" s="178" t="s">
        <v>192</v>
      </c>
      <c r="B27" s="179"/>
      <c r="C27" s="180"/>
      <c r="D27" s="169" cm="1">
        <f t="array" ref="D27">_xlfn.XLOOKUP($D$5,'المستوى الخامس'!A3:A68,الجدول1[الترتيب])</f>
        <v>43</v>
      </c>
      <c r="E27" s="170"/>
      <c r="F27" s="170"/>
      <c r="G27" s="170"/>
      <c r="H27" s="171"/>
    </row>
  </sheetData>
  <mergeCells count="23">
    <mergeCell ref="D27:H27"/>
    <mergeCell ref="A24:C24"/>
    <mergeCell ref="A25:C25"/>
    <mergeCell ref="A26:C26"/>
    <mergeCell ref="A27:C27"/>
    <mergeCell ref="D24:H24"/>
    <mergeCell ref="D25:H25"/>
    <mergeCell ref="D26:H26"/>
    <mergeCell ref="A23:C23"/>
    <mergeCell ref="A8:C8"/>
    <mergeCell ref="D8:H8"/>
    <mergeCell ref="A9:A11"/>
    <mergeCell ref="B9:H9"/>
    <mergeCell ref="B10:D10"/>
    <mergeCell ref="E10:E11"/>
    <mergeCell ref="F10:G10"/>
    <mergeCell ref="H10:H11"/>
    <mergeCell ref="A5:C5"/>
    <mergeCell ref="D5:H5"/>
    <mergeCell ref="A6:C6"/>
    <mergeCell ref="D6:H6"/>
    <mergeCell ref="A7:C7"/>
    <mergeCell ref="D7:H7"/>
  </mergeCells>
  <conditionalFormatting sqref="E12:E22">
    <cfRule type="cellIs" dxfId="0" priority="1" operator="lessThan">
      <formula>50</formula>
    </cfRule>
  </conditionalFormatting>
  <pageMargins left="0.7" right="0.7" top="0.75" bottom="0.75" header="0.3" footer="0.3"/>
  <pageSetup orientation="portrait" r:id="rId1"/>
  <headerFooter>
    <oddHeader>&amp;C&amp;D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AE13F1-08CF-4244-9B39-6EB3622B4E3A}">
          <x14:formula1>
            <xm:f>'المستوى الخامس'!$A$3:$A$68</xm:f>
          </x14:formula1>
          <xm:sqref>B12 D5:H5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0022-80F5-484D-B1FF-801C24D6D0AB}">
  <sheetPr>
    <tabColor rgb="FFFF0000"/>
  </sheetPr>
  <dimension ref="B3:F12"/>
  <sheetViews>
    <sheetView rightToLeft="1" workbookViewId="0">
      <selection activeCell="F9" sqref="F9"/>
    </sheetView>
  </sheetViews>
  <sheetFormatPr defaultRowHeight="14.5"/>
  <cols>
    <col min="6" max="6" width="22.36328125" customWidth="1"/>
  </cols>
  <sheetData>
    <row r="3" spans="2:6" ht="88.75" customHeight="1">
      <c r="B3" s="18" t="s">
        <v>106</v>
      </c>
      <c r="C3" s="18" t="s">
        <v>97</v>
      </c>
      <c r="D3" s="18" t="s">
        <v>107</v>
      </c>
      <c r="E3" s="18" t="s">
        <v>108</v>
      </c>
      <c r="F3" s="18" t="s">
        <v>104</v>
      </c>
    </row>
    <row r="4" spans="2:6" ht="25.25" customHeight="1">
      <c r="B4" s="20">
        <v>0</v>
      </c>
      <c r="C4" s="20">
        <v>0</v>
      </c>
      <c r="D4" s="20">
        <v>0</v>
      </c>
      <c r="E4" s="30" t="s">
        <v>109</v>
      </c>
      <c r="F4" s="20" t="s">
        <v>110</v>
      </c>
    </row>
    <row r="5" spans="2:6" ht="25.25" customHeight="1">
      <c r="B5" s="20">
        <v>50</v>
      </c>
      <c r="C5" s="20">
        <v>2</v>
      </c>
      <c r="D5" s="20">
        <v>2</v>
      </c>
      <c r="E5" s="30" t="s">
        <v>111</v>
      </c>
      <c r="F5" s="20" t="s">
        <v>112</v>
      </c>
    </row>
    <row r="6" spans="2:6" ht="25.25" customHeight="1">
      <c r="B6" s="20">
        <v>65</v>
      </c>
      <c r="C6" s="20">
        <v>2.5</v>
      </c>
      <c r="D6" s="20">
        <v>2.1</v>
      </c>
      <c r="E6" s="30" t="s">
        <v>113</v>
      </c>
      <c r="F6" s="20" t="s">
        <v>114</v>
      </c>
    </row>
    <row r="7" spans="2:6" ht="25.25" customHeight="1">
      <c r="B7" s="20">
        <v>70</v>
      </c>
      <c r="C7" s="20">
        <v>3</v>
      </c>
      <c r="D7" s="20">
        <v>2.6</v>
      </c>
      <c r="E7" s="30" t="s">
        <v>115</v>
      </c>
      <c r="F7" s="20" t="s">
        <v>116</v>
      </c>
    </row>
    <row r="8" spans="2:6" ht="25.25" customHeight="1">
      <c r="B8" s="20">
        <v>75</v>
      </c>
      <c r="C8" s="20">
        <v>3.5</v>
      </c>
      <c r="D8" s="20">
        <v>3.1</v>
      </c>
      <c r="E8" s="30" t="s">
        <v>117</v>
      </c>
      <c r="F8" s="20" t="s">
        <v>118</v>
      </c>
    </row>
    <row r="9" spans="2:6" ht="25.25" customHeight="1">
      <c r="B9" s="20">
        <v>80</v>
      </c>
      <c r="C9" s="20">
        <v>4</v>
      </c>
      <c r="D9" s="20">
        <v>3.6</v>
      </c>
      <c r="E9" s="30" t="s">
        <v>119</v>
      </c>
      <c r="F9" s="20" t="s">
        <v>120</v>
      </c>
    </row>
    <row r="10" spans="2:6" ht="25.25" customHeight="1">
      <c r="B10" s="20">
        <v>85</v>
      </c>
      <c r="C10" s="20">
        <v>4.5</v>
      </c>
      <c r="D10" s="20">
        <v>4.0999999999999996</v>
      </c>
      <c r="E10" s="30" t="s">
        <v>121</v>
      </c>
      <c r="F10" s="20" t="s">
        <v>122</v>
      </c>
    </row>
    <row r="11" spans="2:6" ht="25.25" customHeight="1">
      <c r="B11" s="20">
        <v>90</v>
      </c>
      <c r="C11" s="20">
        <v>4.75</v>
      </c>
      <c r="D11" s="20">
        <v>4.5999999999999996</v>
      </c>
      <c r="E11" s="30" t="s">
        <v>123</v>
      </c>
      <c r="F11" s="20" t="s">
        <v>124</v>
      </c>
    </row>
    <row r="12" spans="2:6" ht="25.25" customHeight="1">
      <c r="B12" s="20">
        <v>95</v>
      </c>
      <c r="C12" s="20">
        <v>5</v>
      </c>
      <c r="D12" s="20">
        <v>4.76</v>
      </c>
      <c r="E12" s="30" t="s">
        <v>125</v>
      </c>
      <c r="F12" s="20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631D-0B7C-45D0-A5F4-002CF0A5BE59}">
  <dimension ref="C4:O14"/>
  <sheetViews>
    <sheetView rightToLeft="1" topLeftCell="A13" workbookViewId="0">
      <selection activeCell="H7" sqref="H7"/>
    </sheetView>
  </sheetViews>
  <sheetFormatPr defaultRowHeight="14.5"/>
  <cols>
    <col min="3" max="3" width="11.6328125" bestFit="1" customWidth="1"/>
    <col min="4" max="4" width="11.6328125" customWidth="1"/>
    <col min="5" max="5" width="11.7265625" bestFit="1" customWidth="1"/>
    <col min="6" max="6" width="8.1796875" bestFit="1" customWidth="1"/>
    <col min="8" max="8" width="9.90625" bestFit="1" customWidth="1"/>
  </cols>
  <sheetData>
    <row r="4" spans="3:15" ht="23.5">
      <c r="C4" s="81" t="s">
        <v>177</v>
      </c>
      <c r="D4" s="81"/>
      <c r="E4" t="s">
        <v>48</v>
      </c>
    </row>
    <row r="5" spans="3:15">
      <c r="C5" t="s">
        <v>179</v>
      </c>
      <c r="J5" t="s">
        <v>179</v>
      </c>
    </row>
    <row r="6" spans="3:15" ht="26">
      <c r="C6" s="82" t="s">
        <v>178</v>
      </c>
      <c r="D6" s="82" t="s">
        <v>96</v>
      </c>
      <c r="E6" s="82" t="s">
        <v>182</v>
      </c>
      <c r="F6" s="82" t="s">
        <v>98</v>
      </c>
      <c r="G6" s="82" t="s">
        <v>180</v>
      </c>
      <c r="H6" s="82" t="s">
        <v>181</v>
      </c>
      <c r="J6" s="82" t="s">
        <v>178</v>
      </c>
      <c r="K6" s="82" t="s">
        <v>96</v>
      </c>
      <c r="L6" s="82" t="s">
        <v>182</v>
      </c>
      <c r="M6" s="82" t="s">
        <v>180</v>
      </c>
      <c r="N6" s="82" t="s">
        <v>98</v>
      </c>
      <c r="O6" s="82" t="s">
        <v>181</v>
      </c>
    </row>
    <row r="7" spans="3:15" ht="137.5">
      <c r="C7" s="84" t="s">
        <v>152</v>
      </c>
      <c r="D7" s="86">
        <f>VLOOKUP(E4,'المستوى الأول 2022'!C2:BQ98,2)</f>
        <v>1</v>
      </c>
      <c r="E7" s="86">
        <f>VLOOKUP(E4,'المستوى الأول 2022'!C2:BQ98,3)</f>
        <v>93</v>
      </c>
      <c r="F7" s="86">
        <f>VLOOKUP(E4,'المستوى الأول 2022'!C2:BQ98,4)</f>
        <v>4.75</v>
      </c>
      <c r="G7" s="86" t="str">
        <f>VLOOKUP(E4,'المستوى الأول 2022'!C2:BQ98,5)</f>
        <v>أ</v>
      </c>
      <c r="H7" s="86">
        <f>VLOOKUP(E4,'المستوى الأول 2022'!C2:BQ98,6)</f>
        <v>4.75</v>
      </c>
      <c r="I7" s="83"/>
      <c r="J7" s="84" t="s">
        <v>152</v>
      </c>
      <c r="K7" s="85">
        <f>VLOOKUP(E4,'المستوى الثاني 2023'!C2:BG87,2)</f>
        <v>1</v>
      </c>
      <c r="L7" s="85">
        <f>VLOOKUP(E4,'المستوى الثاني 2023'!C2:BG87,3)</f>
        <v>71</v>
      </c>
      <c r="M7" s="85">
        <f>VLOOKUP(E4,'المستوى الثاني 2023'!C2:BG87,4)</f>
        <v>3</v>
      </c>
      <c r="N7" s="85" t="str">
        <f>VLOOKUP(E4,'المستوى الثاني 2023'!C2:BG87,5)</f>
        <v>ج</v>
      </c>
      <c r="O7" s="85">
        <f>VLOOKUP(E4,'المستوى الثاني 2023'!C2:BG87,6)</f>
        <v>3</v>
      </c>
    </row>
    <row r="8" spans="3:15" ht="165">
      <c r="C8" s="84" t="s">
        <v>153</v>
      </c>
      <c r="D8" s="85"/>
      <c r="E8" s="83"/>
      <c r="F8" s="83"/>
      <c r="G8" s="83"/>
      <c r="H8" s="83"/>
      <c r="J8" s="84" t="s">
        <v>153</v>
      </c>
      <c r="K8" s="85"/>
      <c r="L8" s="83"/>
      <c r="M8" s="83"/>
      <c r="N8" s="83"/>
      <c r="O8" s="83"/>
    </row>
    <row r="11" spans="3:15">
      <c r="C11" t="s">
        <v>179</v>
      </c>
    </row>
    <row r="12" spans="3:15" ht="26">
      <c r="C12" s="82" t="s">
        <v>178</v>
      </c>
      <c r="D12" s="82"/>
      <c r="E12" s="82" t="s">
        <v>182</v>
      </c>
      <c r="F12" s="82" t="s">
        <v>98</v>
      </c>
      <c r="G12" s="82" t="s">
        <v>180</v>
      </c>
      <c r="H12" s="82" t="s">
        <v>181</v>
      </c>
    </row>
    <row r="13" spans="3:15" ht="82.5">
      <c r="C13" s="84" t="s">
        <v>152</v>
      </c>
      <c r="D13" s="85"/>
      <c r="E13" s="83"/>
      <c r="F13" s="83"/>
      <c r="G13" s="83"/>
      <c r="H13" s="83"/>
    </row>
    <row r="14" spans="3:15" ht="110">
      <c r="C14" s="84" t="s">
        <v>153</v>
      </c>
      <c r="D14" s="85"/>
      <c r="E14" s="83"/>
      <c r="F14" s="83"/>
      <c r="G14" s="83"/>
      <c r="H14" s="8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92E984-456D-4288-B9C4-5EECBF3B5148}">
          <x14:formula1>
            <xm:f>'المستوى الأول 2022'!$C:$C</xm:f>
          </x14:formula1>
          <xm:sqref>E4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8</vt:i4>
      </vt:variant>
    </vt:vector>
  </HeadingPairs>
  <TitlesOfParts>
    <vt:vector size="8" baseType="lpstr">
      <vt:lpstr>المستوى الأول 2022</vt:lpstr>
      <vt:lpstr>المستوى الثاني 2023</vt:lpstr>
      <vt:lpstr>المستوى الثالث ح</vt:lpstr>
      <vt:lpstr>المستوى الرابع</vt:lpstr>
      <vt:lpstr>المستوى الخامس</vt:lpstr>
      <vt:lpstr>كسف الطلبة </vt:lpstr>
      <vt:lpstr>المرجع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Abdouramane Jaibo</cp:lastModifiedBy>
  <cp:lastPrinted>2026-04-04T14:21:40Z</cp:lastPrinted>
  <dcterms:created xsi:type="dcterms:W3CDTF">2015-06-05T18:17:20Z</dcterms:created>
  <dcterms:modified xsi:type="dcterms:W3CDTF">2026-07-23T19:50:08Z</dcterms:modified>
</cp:coreProperties>
</file>