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cuments\الملفات المهم\التراكمي\"/>
    </mc:Choice>
  </mc:AlternateContent>
  <xr:revisionPtr revIDLastSave="0" documentId="13_ncr:1_{A9A71566-9400-453A-87FD-47C94D71CE6F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المستوى الأول " sheetId="1" r:id="rId1"/>
    <sheet name="المستوى الثاني " sheetId="3" r:id="rId2"/>
    <sheet name="المستوى الثالث " sheetId="5" r:id="rId3"/>
    <sheet name="المرجع" sheetId="4" r:id="rId4"/>
    <sheet name="ورقة1" sheetId="6" r:id="rId5"/>
    <sheet name="كشف الدجات " sheetId="7" r:id="rId6"/>
  </sheets>
  <externalReferences>
    <externalReference r:id="rId7"/>
  </externalReferences>
  <definedNames>
    <definedName name="_xlnm._FilterDatabase" localSheetId="2" hidden="1">'المستوى الثالث '!$A$1:$BF$41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7" l="1"/>
  <c r="A14" i="7"/>
  <c r="A15" i="7"/>
  <c r="A16" i="7"/>
  <c r="A17" i="7"/>
  <c r="A18" i="7"/>
  <c r="A19" i="7"/>
  <c r="A20" i="7"/>
  <c r="A21" i="7"/>
  <c r="A12" i="7"/>
  <c r="D21" i="7" l="1"/>
  <c r="D20" i="7"/>
  <c r="D19" i="7"/>
  <c r="D18" i="7"/>
  <c r="D17" i="7"/>
  <c r="D16" i="7"/>
  <c r="D15" i="7"/>
  <c r="D14" i="7"/>
  <c r="D13" i="7"/>
  <c r="D12" i="7" l="1"/>
  <c r="D22" i="7" s="1"/>
  <c r="D6" i="7"/>
  <c r="C7" i="6" l="1"/>
  <c r="C6" i="6"/>
  <c r="G25" i="6" l="1"/>
  <c r="F25" i="6"/>
  <c r="E25" i="6"/>
  <c r="D25" i="6"/>
  <c r="D24" i="6"/>
  <c r="D8" i="6"/>
  <c r="G7" i="6"/>
  <c r="F7" i="6"/>
  <c r="E7" i="6"/>
  <c r="D7" i="6"/>
  <c r="G6" i="6"/>
  <c r="F6" i="6"/>
  <c r="E6" i="6"/>
  <c r="D6" i="6"/>
  <c r="BB6" i="5" l="1"/>
  <c r="BB3" i="5"/>
  <c r="BB5" i="5"/>
  <c r="BB7" i="5"/>
  <c r="BB4" i="5"/>
  <c r="BB8" i="5"/>
  <c r="BB11" i="5"/>
  <c r="BB9" i="5"/>
  <c r="BB12" i="5"/>
  <c r="BB14" i="5"/>
  <c r="BB10" i="5"/>
  <c r="BB20" i="5"/>
  <c r="BB13" i="5"/>
  <c r="BB16" i="5"/>
  <c r="BB17" i="5"/>
  <c r="BB15" i="5"/>
  <c r="BB18" i="5"/>
  <c r="BB19" i="5"/>
  <c r="BB21" i="5"/>
  <c r="BB22" i="5"/>
  <c r="BB23" i="5"/>
  <c r="BB27" i="5"/>
  <c r="BB25" i="5"/>
  <c r="BB26" i="5"/>
  <c r="BB24" i="5"/>
  <c r="BB30" i="5"/>
  <c r="BB29" i="5"/>
  <c r="BB32" i="5"/>
  <c r="BB31" i="5"/>
  <c r="BB33" i="5"/>
  <c r="BB34" i="5"/>
  <c r="BB28" i="5"/>
  <c r="BB35" i="5"/>
  <c r="BB37" i="5"/>
  <c r="BB36" i="5"/>
  <c r="BB39" i="5"/>
  <c r="BB38" i="5"/>
  <c r="BB41" i="5"/>
  <c r="BB40" i="5"/>
  <c r="BB2" i="5"/>
  <c r="AX40" i="5" l="1"/>
  <c r="AZ40" i="5" s="1"/>
  <c r="AX41" i="5"/>
  <c r="AY41" i="5" s="1"/>
  <c r="AX38" i="5"/>
  <c r="AZ38" i="5" s="1"/>
  <c r="AX39" i="5"/>
  <c r="AZ39" i="5" s="1"/>
  <c r="AX36" i="5"/>
  <c r="AZ36" i="5" s="1"/>
  <c r="AX37" i="5"/>
  <c r="AY37" i="5" s="1"/>
  <c r="AX35" i="5"/>
  <c r="AY35" i="5" s="1"/>
  <c r="AX28" i="5"/>
  <c r="AZ28" i="5" s="1"/>
  <c r="AX34" i="5"/>
  <c r="AZ34" i="5" s="1"/>
  <c r="AX33" i="5"/>
  <c r="AY33" i="5" s="1"/>
  <c r="AX31" i="5"/>
  <c r="AZ31" i="5" s="1"/>
  <c r="AX32" i="5"/>
  <c r="AZ32" i="5" s="1"/>
  <c r="AX29" i="5"/>
  <c r="AZ29" i="5" s="1"/>
  <c r="AX30" i="5"/>
  <c r="AY30" i="5" s="1"/>
  <c r="AX24" i="5"/>
  <c r="AZ24" i="5" s="1"/>
  <c r="AX26" i="5"/>
  <c r="AZ26" i="5" s="1"/>
  <c r="AX25" i="5"/>
  <c r="AZ25" i="5" s="1"/>
  <c r="AX27" i="5"/>
  <c r="AY27" i="5" s="1"/>
  <c r="AX23" i="5"/>
  <c r="AZ23" i="5" s="1"/>
  <c r="AX22" i="5"/>
  <c r="AZ22" i="5" s="1"/>
  <c r="AX21" i="5"/>
  <c r="AZ21" i="5" s="1"/>
  <c r="AX19" i="5"/>
  <c r="AY19" i="5" s="1"/>
  <c r="AX18" i="5"/>
  <c r="AZ18" i="5" s="1"/>
  <c r="AX15" i="5"/>
  <c r="AZ15" i="5" s="1"/>
  <c r="AX17" i="5"/>
  <c r="AZ17" i="5" s="1"/>
  <c r="AX16" i="5"/>
  <c r="AY16" i="5" s="1"/>
  <c r="AX13" i="5"/>
  <c r="AZ13" i="5" s="1"/>
  <c r="AX20" i="5"/>
  <c r="AZ20" i="5" s="1"/>
  <c r="AX10" i="5"/>
  <c r="AZ10" i="5" s="1"/>
  <c r="AX14" i="5"/>
  <c r="AY14" i="5" s="1"/>
  <c r="AX12" i="5"/>
  <c r="AZ12" i="5" s="1"/>
  <c r="AX9" i="5"/>
  <c r="AZ9" i="5" s="1"/>
  <c r="AX11" i="5"/>
  <c r="AZ11" i="5" s="1"/>
  <c r="AX8" i="5"/>
  <c r="AY8" i="5" s="1"/>
  <c r="AX4" i="5"/>
  <c r="AZ4" i="5" s="1"/>
  <c r="AX7" i="5"/>
  <c r="AZ7" i="5" s="1"/>
  <c r="AX5" i="5"/>
  <c r="AZ5" i="5" s="1"/>
  <c r="AX3" i="5"/>
  <c r="AZ3" i="5" s="1"/>
  <c r="AX6" i="5"/>
  <c r="AX2" i="5"/>
  <c r="AZ2" i="5" s="1"/>
  <c r="AS40" i="5"/>
  <c r="AU40" i="5" s="1"/>
  <c r="AS41" i="5"/>
  <c r="AT41" i="5" s="1"/>
  <c r="AS38" i="5"/>
  <c r="AT38" i="5" s="1"/>
  <c r="AS39" i="5"/>
  <c r="AT39" i="5" s="1"/>
  <c r="AS36" i="5"/>
  <c r="AU36" i="5" s="1"/>
  <c r="AS37" i="5"/>
  <c r="AT37" i="5" s="1"/>
  <c r="AS35" i="5"/>
  <c r="AU35" i="5" s="1"/>
  <c r="AS28" i="5"/>
  <c r="AT28" i="5" s="1"/>
  <c r="AS34" i="5"/>
  <c r="AU34" i="5" s="1"/>
  <c r="AS33" i="5"/>
  <c r="AT33" i="5" s="1"/>
  <c r="AS31" i="5"/>
  <c r="AU31" i="5" s="1"/>
  <c r="AS32" i="5"/>
  <c r="AT32" i="5" s="1"/>
  <c r="AS29" i="5"/>
  <c r="AU29" i="5" s="1"/>
  <c r="AS30" i="5"/>
  <c r="AT30" i="5" s="1"/>
  <c r="AS24" i="5"/>
  <c r="AU24" i="5" s="1"/>
  <c r="AS26" i="5"/>
  <c r="AU26" i="5" s="1"/>
  <c r="AS25" i="5"/>
  <c r="AU25" i="5" s="1"/>
  <c r="AS27" i="5"/>
  <c r="AT27" i="5" s="1"/>
  <c r="AS23" i="5"/>
  <c r="AU23" i="5" s="1"/>
  <c r="AS22" i="5"/>
  <c r="AT22" i="5" s="1"/>
  <c r="AS21" i="5"/>
  <c r="AU21" i="5" s="1"/>
  <c r="AS19" i="5"/>
  <c r="AT19" i="5" s="1"/>
  <c r="AS18" i="5"/>
  <c r="AT18" i="5" s="1"/>
  <c r="AS15" i="5"/>
  <c r="AT15" i="5" s="1"/>
  <c r="AS17" i="5"/>
  <c r="AU17" i="5" s="1"/>
  <c r="AS16" i="5"/>
  <c r="AT16" i="5" s="1"/>
  <c r="AS13" i="5"/>
  <c r="AU13" i="5" s="1"/>
  <c r="AS20" i="5"/>
  <c r="AU20" i="5" s="1"/>
  <c r="AS10" i="5"/>
  <c r="AU10" i="5" s="1"/>
  <c r="AS14" i="5"/>
  <c r="AT14" i="5" s="1"/>
  <c r="AS12" i="5"/>
  <c r="AU12" i="5" s="1"/>
  <c r="AS9" i="5"/>
  <c r="AU9" i="5" s="1"/>
  <c r="AS11" i="5"/>
  <c r="AU11" i="5" s="1"/>
  <c r="AS8" i="5"/>
  <c r="AT8" i="5" s="1"/>
  <c r="AS4" i="5"/>
  <c r="AT4" i="5" s="1"/>
  <c r="AS7" i="5"/>
  <c r="AT7" i="5" s="1"/>
  <c r="AS5" i="5"/>
  <c r="AU5" i="5" s="1"/>
  <c r="AS3" i="5"/>
  <c r="AT3" i="5" s="1"/>
  <c r="AS6" i="5"/>
  <c r="AS2" i="5"/>
  <c r="AT2" i="5" s="1"/>
  <c r="AN40" i="5"/>
  <c r="AP40" i="5" s="1"/>
  <c r="AN41" i="5"/>
  <c r="AP41" i="5" s="1"/>
  <c r="AN38" i="5"/>
  <c r="AP38" i="5" s="1"/>
  <c r="AN39" i="5"/>
  <c r="AP39" i="5" s="1"/>
  <c r="AN36" i="5"/>
  <c r="AO36" i="5" s="1"/>
  <c r="AN37" i="5"/>
  <c r="AP37" i="5" s="1"/>
  <c r="AN35" i="5"/>
  <c r="AP35" i="5" s="1"/>
  <c r="AN28" i="5"/>
  <c r="AP28" i="5" s="1"/>
  <c r="AN34" i="5"/>
  <c r="AO34" i="5" s="1"/>
  <c r="AN33" i="5"/>
  <c r="AP33" i="5" s="1"/>
  <c r="AN31" i="5"/>
  <c r="AP31" i="5" s="1"/>
  <c r="AN32" i="5"/>
  <c r="AP32" i="5" s="1"/>
  <c r="AN29" i="5"/>
  <c r="AO29" i="5" s="1"/>
  <c r="AN30" i="5"/>
  <c r="AO30" i="5" s="1"/>
  <c r="AN24" i="5"/>
  <c r="AP24" i="5" s="1"/>
  <c r="AN26" i="5"/>
  <c r="AP26" i="5" s="1"/>
  <c r="AN25" i="5"/>
  <c r="AO25" i="5" s="1"/>
  <c r="AN27" i="5"/>
  <c r="AP27" i="5" s="1"/>
  <c r="AN23" i="5"/>
  <c r="AP23" i="5" s="1"/>
  <c r="AN22" i="5"/>
  <c r="AP22" i="5" s="1"/>
  <c r="AN21" i="5"/>
  <c r="AO21" i="5" s="1"/>
  <c r="AN19" i="5"/>
  <c r="AP19" i="5" s="1"/>
  <c r="AN18" i="5"/>
  <c r="AP18" i="5" s="1"/>
  <c r="AN15" i="5"/>
  <c r="AP15" i="5" s="1"/>
  <c r="AN17" i="5"/>
  <c r="AO17" i="5" s="1"/>
  <c r="AN16" i="5"/>
  <c r="AP16" i="5" s="1"/>
  <c r="AN13" i="5"/>
  <c r="AP13" i="5" s="1"/>
  <c r="AN20" i="5"/>
  <c r="AP20" i="5" s="1"/>
  <c r="AN10" i="5"/>
  <c r="AO10" i="5" s="1"/>
  <c r="AN14" i="5"/>
  <c r="AO14" i="5" s="1"/>
  <c r="AN12" i="5"/>
  <c r="AP12" i="5" s="1"/>
  <c r="AN9" i="5"/>
  <c r="AP9" i="5" s="1"/>
  <c r="AN11" i="5"/>
  <c r="AO11" i="5" s="1"/>
  <c r="AN8" i="5"/>
  <c r="AO8" i="5" s="1"/>
  <c r="AN4" i="5"/>
  <c r="AP4" i="5" s="1"/>
  <c r="AN7" i="5"/>
  <c r="AP7" i="5" s="1"/>
  <c r="AN5" i="5"/>
  <c r="AO5" i="5" s="1"/>
  <c r="AN3" i="5"/>
  <c r="AP3" i="5" s="1"/>
  <c r="AN6" i="5"/>
  <c r="AN2" i="5"/>
  <c r="AP2" i="5" s="1"/>
  <c r="AI40" i="5"/>
  <c r="AK40" i="5" s="1"/>
  <c r="AI41" i="5"/>
  <c r="AJ41" i="5" s="1"/>
  <c r="AI38" i="5"/>
  <c r="AJ38" i="5" s="1"/>
  <c r="AI39" i="5"/>
  <c r="AK39" i="5" s="1"/>
  <c r="AI36" i="5"/>
  <c r="AK36" i="5" s="1"/>
  <c r="AI37" i="5"/>
  <c r="AJ37" i="5" s="1"/>
  <c r="AI35" i="5"/>
  <c r="AJ35" i="5" s="1"/>
  <c r="AI28" i="5"/>
  <c r="AK28" i="5" s="1"/>
  <c r="AI34" i="5"/>
  <c r="AK34" i="5" s="1"/>
  <c r="AI33" i="5"/>
  <c r="AJ33" i="5" s="1"/>
  <c r="AI31" i="5"/>
  <c r="AK31" i="5" s="1"/>
  <c r="AI32" i="5"/>
  <c r="AK32" i="5" s="1"/>
  <c r="AI29" i="5"/>
  <c r="AK29" i="5" s="1"/>
  <c r="AI30" i="5"/>
  <c r="AJ30" i="5" s="1"/>
  <c r="AI24" i="5"/>
  <c r="AK24" i="5" s="1"/>
  <c r="AI26" i="5"/>
  <c r="AK26" i="5" s="1"/>
  <c r="AI25" i="5"/>
  <c r="AK25" i="5" s="1"/>
  <c r="AI27" i="5"/>
  <c r="AJ27" i="5" s="1"/>
  <c r="AI23" i="5"/>
  <c r="AJ23" i="5" s="1"/>
  <c r="AI22" i="5"/>
  <c r="AK22" i="5" s="1"/>
  <c r="AI21" i="5"/>
  <c r="AK21" i="5" s="1"/>
  <c r="AI19" i="5"/>
  <c r="AJ19" i="5" s="1"/>
  <c r="AI18" i="5"/>
  <c r="AJ18" i="5" s="1"/>
  <c r="AI15" i="5"/>
  <c r="AK15" i="5" s="1"/>
  <c r="AI17" i="5"/>
  <c r="AK17" i="5" s="1"/>
  <c r="AI16" i="5"/>
  <c r="AJ16" i="5" s="1"/>
  <c r="AI13" i="5"/>
  <c r="AJ13" i="5" s="1"/>
  <c r="AI20" i="5"/>
  <c r="AK20" i="5" s="1"/>
  <c r="AI10" i="5"/>
  <c r="AK10" i="5" s="1"/>
  <c r="AI14" i="5"/>
  <c r="AJ14" i="5" s="1"/>
  <c r="AI12" i="5"/>
  <c r="AK12" i="5" s="1"/>
  <c r="AI9" i="5"/>
  <c r="AK9" i="5" s="1"/>
  <c r="AI11" i="5"/>
  <c r="AK11" i="5" s="1"/>
  <c r="AI8" i="5"/>
  <c r="AJ8" i="5" s="1"/>
  <c r="AI4" i="5"/>
  <c r="AJ4" i="5" s="1"/>
  <c r="AI7" i="5"/>
  <c r="AK7" i="5" s="1"/>
  <c r="AI5" i="5"/>
  <c r="AK5" i="5" s="1"/>
  <c r="AI3" i="5"/>
  <c r="AJ3" i="5" s="1"/>
  <c r="AI6" i="5"/>
  <c r="AI2" i="5"/>
  <c r="AK2" i="5" s="1"/>
  <c r="AD40" i="5"/>
  <c r="AF40" i="5" s="1"/>
  <c r="AD41" i="5"/>
  <c r="AE41" i="5" s="1"/>
  <c r="AD38" i="5"/>
  <c r="AE38" i="5" s="1"/>
  <c r="AD39" i="5"/>
  <c r="AF39" i="5" s="1"/>
  <c r="AD36" i="5"/>
  <c r="AF36" i="5" s="1"/>
  <c r="AD37" i="5"/>
  <c r="AE37" i="5" s="1"/>
  <c r="AD35" i="5"/>
  <c r="AE35" i="5" s="1"/>
  <c r="AD28" i="5"/>
  <c r="AF28" i="5" s="1"/>
  <c r="AD34" i="5"/>
  <c r="AF34" i="5" s="1"/>
  <c r="AD33" i="5"/>
  <c r="AE33" i="5" s="1"/>
  <c r="AD31" i="5"/>
  <c r="AF31" i="5" s="1"/>
  <c r="AD32" i="5"/>
  <c r="AF32" i="5" s="1"/>
  <c r="AD29" i="5"/>
  <c r="AF29" i="5" s="1"/>
  <c r="AD30" i="5"/>
  <c r="AE30" i="5" s="1"/>
  <c r="AD24" i="5"/>
  <c r="AE24" i="5" s="1"/>
  <c r="AD26" i="5"/>
  <c r="AF26" i="5" s="1"/>
  <c r="AD25" i="5"/>
  <c r="AF25" i="5" s="1"/>
  <c r="AD27" i="5"/>
  <c r="AE27" i="5" s="1"/>
  <c r="AD23" i="5"/>
  <c r="AF23" i="5" s="1"/>
  <c r="AD22" i="5"/>
  <c r="AF22" i="5" s="1"/>
  <c r="AD21" i="5"/>
  <c r="AF21" i="5" s="1"/>
  <c r="AD19" i="5"/>
  <c r="AE19" i="5" s="1"/>
  <c r="AD18" i="5"/>
  <c r="AF18" i="5" s="1"/>
  <c r="AD15" i="5"/>
  <c r="AF15" i="5" s="1"/>
  <c r="AD17" i="5"/>
  <c r="AF17" i="5" s="1"/>
  <c r="AD16" i="5"/>
  <c r="AE16" i="5" s="1"/>
  <c r="AD13" i="5"/>
  <c r="AF13" i="5" s="1"/>
  <c r="AD20" i="5"/>
  <c r="AF20" i="5" s="1"/>
  <c r="AD10" i="5"/>
  <c r="AF10" i="5" s="1"/>
  <c r="AD14" i="5"/>
  <c r="AE14" i="5" s="1"/>
  <c r="AD12" i="5"/>
  <c r="AF12" i="5" s="1"/>
  <c r="AD9" i="5"/>
  <c r="AF9" i="5" s="1"/>
  <c r="AD11" i="5"/>
  <c r="AF11" i="5" s="1"/>
  <c r="AD8" i="5"/>
  <c r="AE8" i="5" s="1"/>
  <c r="AD4" i="5"/>
  <c r="AE4" i="5" s="1"/>
  <c r="AD7" i="5"/>
  <c r="AF7" i="5" s="1"/>
  <c r="AD5" i="5"/>
  <c r="AF5" i="5" s="1"/>
  <c r="AD3" i="5"/>
  <c r="AE3" i="5" s="1"/>
  <c r="AD6" i="5"/>
  <c r="AD2" i="5"/>
  <c r="AF2" i="5" s="1"/>
  <c r="Y40" i="5"/>
  <c r="AA40" i="5" s="1"/>
  <c r="Y41" i="5"/>
  <c r="Z41" i="5" s="1"/>
  <c r="Y38" i="5"/>
  <c r="Z38" i="5" s="1"/>
  <c r="Y39" i="5"/>
  <c r="AA39" i="5" s="1"/>
  <c r="Y36" i="5"/>
  <c r="AA36" i="5" s="1"/>
  <c r="Y37" i="5"/>
  <c r="Z37" i="5" s="1"/>
  <c r="Y35" i="5"/>
  <c r="Z35" i="5" s="1"/>
  <c r="Y28" i="5"/>
  <c r="AA28" i="5" s="1"/>
  <c r="Y34" i="5"/>
  <c r="AA34" i="5" s="1"/>
  <c r="Y33" i="5"/>
  <c r="Z33" i="5" s="1"/>
  <c r="Y31" i="5"/>
  <c r="AA31" i="5" s="1"/>
  <c r="Y32" i="5"/>
  <c r="AA32" i="5" s="1"/>
  <c r="Y29" i="5"/>
  <c r="AA29" i="5" s="1"/>
  <c r="Y30" i="5"/>
  <c r="AA30" i="5" s="1"/>
  <c r="Y24" i="5"/>
  <c r="AA24" i="5" s="1"/>
  <c r="Y26" i="5"/>
  <c r="AA26" i="5" s="1"/>
  <c r="Y25" i="5"/>
  <c r="AA25" i="5" s="1"/>
  <c r="Y27" i="5"/>
  <c r="AA27" i="5" s="1"/>
  <c r="Y23" i="5"/>
  <c r="AA23" i="5" s="1"/>
  <c r="Y22" i="5"/>
  <c r="AA22" i="5" s="1"/>
  <c r="Y21" i="5"/>
  <c r="AA21" i="5" s="1"/>
  <c r="Y19" i="5"/>
  <c r="AA19" i="5" s="1"/>
  <c r="Y18" i="5"/>
  <c r="AA18" i="5" s="1"/>
  <c r="Y15" i="5"/>
  <c r="AA15" i="5" s="1"/>
  <c r="Y17" i="5"/>
  <c r="AA17" i="5" s="1"/>
  <c r="Y16" i="5"/>
  <c r="AA16" i="5" s="1"/>
  <c r="Y13" i="5"/>
  <c r="AA13" i="5" s="1"/>
  <c r="Y20" i="5"/>
  <c r="AA20" i="5" s="1"/>
  <c r="Y10" i="5"/>
  <c r="AA10" i="5" s="1"/>
  <c r="Y14" i="5"/>
  <c r="AA14" i="5" s="1"/>
  <c r="Y12" i="5"/>
  <c r="AA12" i="5" s="1"/>
  <c r="Y9" i="5"/>
  <c r="AA9" i="5" s="1"/>
  <c r="Y11" i="5"/>
  <c r="AA11" i="5" s="1"/>
  <c r="Y8" i="5"/>
  <c r="AA8" i="5" s="1"/>
  <c r="Y4" i="5"/>
  <c r="AA4" i="5" s="1"/>
  <c r="Y7" i="5"/>
  <c r="AA7" i="5" s="1"/>
  <c r="Y5" i="5"/>
  <c r="AA5" i="5" s="1"/>
  <c r="Y3" i="5"/>
  <c r="AA3" i="5" s="1"/>
  <c r="Y6" i="5"/>
  <c r="Y2" i="5"/>
  <c r="AA2" i="5" s="1"/>
  <c r="T40" i="5"/>
  <c r="V40" i="5" s="1"/>
  <c r="T41" i="5"/>
  <c r="U41" i="5" s="1"/>
  <c r="T38" i="5"/>
  <c r="V38" i="5" s="1"/>
  <c r="T39" i="5"/>
  <c r="V39" i="5" s="1"/>
  <c r="T36" i="5"/>
  <c r="V36" i="5" s="1"/>
  <c r="T37" i="5"/>
  <c r="U37" i="5" s="1"/>
  <c r="T35" i="5"/>
  <c r="V35" i="5" s="1"/>
  <c r="T28" i="5"/>
  <c r="V28" i="5" s="1"/>
  <c r="T34" i="5"/>
  <c r="V34" i="5" s="1"/>
  <c r="T33" i="5"/>
  <c r="U33" i="5" s="1"/>
  <c r="T31" i="5"/>
  <c r="V31" i="5" s="1"/>
  <c r="T32" i="5"/>
  <c r="V32" i="5" s="1"/>
  <c r="T29" i="5"/>
  <c r="V29" i="5" s="1"/>
  <c r="T30" i="5"/>
  <c r="U30" i="5" s="1"/>
  <c r="T24" i="5"/>
  <c r="V24" i="5" s="1"/>
  <c r="T26" i="5"/>
  <c r="V26" i="5" s="1"/>
  <c r="T25" i="5"/>
  <c r="V25" i="5" s="1"/>
  <c r="T27" i="5"/>
  <c r="U27" i="5" s="1"/>
  <c r="T23" i="5"/>
  <c r="V23" i="5" s="1"/>
  <c r="T22" i="5"/>
  <c r="V22" i="5" s="1"/>
  <c r="T21" i="5"/>
  <c r="V21" i="5" s="1"/>
  <c r="T19" i="5"/>
  <c r="U19" i="5" s="1"/>
  <c r="T18" i="5"/>
  <c r="V18" i="5" s="1"/>
  <c r="T15" i="5"/>
  <c r="V15" i="5" s="1"/>
  <c r="T17" i="5"/>
  <c r="V17" i="5" s="1"/>
  <c r="T16" i="5"/>
  <c r="U16" i="5" s="1"/>
  <c r="T13" i="5"/>
  <c r="V13" i="5" s="1"/>
  <c r="T20" i="5"/>
  <c r="V20" i="5" s="1"/>
  <c r="T10" i="5"/>
  <c r="V10" i="5" s="1"/>
  <c r="T14" i="5"/>
  <c r="U14" i="5" s="1"/>
  <c r="T12" i="5"/>
  <c r="V12" i="5" s="1"/>
  <c r="T9" i="5"/>
  <c r="V9" i="5" s="1"/>
  <c r="T11" i="5"/>
  <c r="V11" i="5" s="1"/>
  <c r="T8" i="5"/>
  <c r="U8" i="5" s="1"/>
  <c r="T4" i="5"/>
  <c r="V4" i="5" s="1"/>
  <c r="T7" i="5"/>
  <c r="V7" i="5" s="1"/>
  <c r="T5" i="5"/>
  <c r="V5" i="5" s="1"/>
  <c r="T3" i="5"/>
  <c r="U3" i="5" s="1"/>
  <c r="T6" i="5"/>
  <c r="T2" i="5"/>
  <c r="V2" i="5" s="1"/>
  <c r="O40" i="5"/>
  <c r="Q40" i="5" s="1"/>
  <c r="O41" i="5"/>
  <c r="P41" i="5" s="1"/>
  <c r="O38" i="5"/>
  <c r="Q38" i="5" s="1"/>
  <c r="O39" i="5"/>
  <c r="Q39" i="5" s="1"/>
  <c r="O36" i="5"/>
  <c r="Q36" i="5" s="1"/>
  <c r="O37" i="5"/>
  <c r="P37" i="5" s="1"/>
  <c r="O35" i="5"/>
  <c r="Q35" i="5" s="1"/>
  <c r="O28" i="5"/>
  <c r="Q28" i="5" s="1"/>
  <c r="O34" i="5"/>
  <c r="Q34" i="5" s="1"/>
  <c r="O33" i="5"/>
  <c r="P33" i="5" s="1"/>
  <c r="O31" i="5"/>
  <c r="Q31" i="5" s="1"/>
  <c r="O32" i="5"/>
  <c r="Q32" i="5" s="1"/>
  <c r="O29" i="5"/>
  <c r="Q29" i="5" s="1"/>
  <c r="O30" i="5"/>
  <c r="P30" i="5" s="1"/>
  <c r="O24" i="5"/>
  <c r="Q24" i="5" s="1"/>
  <c r="O26" i="5"/>
  <c r="Q26" i="5" s="1"/>
  <c r="O25" i="5"/>
  <c r="Q25" i="5" s="1"/>
  <c r="O27" i="5"/>
  <c r="P27" i="5" s="1"/>
  <c r="O23" i="5"/>
  <c r="Q23" i="5" s="1"/>
  <c r="O22" i="5"/>
  <c r="Q22" i="5" s="1"/>
  <c r="O21" i="5"/>
  <c r="Q21" i="5" s="1"/>
  <c r="O19" i="5"/>
  <c r="P19" i="5" s="1"/>
  <c r="O18" i="5"/>
  <c r="Q18" i="5" s="1"/>
  <c r="O15" i="5"/>
  <c r="Q15" i="5" s="1"/>
  <c r="O17" i="5"/>
  <c r="Q17" i="5" s="1"/>
  <c r="O16" i="5"/>
  <c r="P16" i="5" s="1"/>
  <c r="O13" i="5"/>
  <c r="Q13" i="5" s="1"/>
  <c r="O20" i="5"/>
  <c r="Q20" i="5" s="1"/>
  <c r="O10" i="5"/>
  <c r="P10" i="5" s="1"/>
  <c r="O14" i="5"/>
  <c r="Q14" i="5" s="1"/>
  <c r="O12" i="5"/>
  <c r="Q12" i="5" s="1"/>
  <c r="O9" i="5"/>
  <c r="Q9" i="5" s="1"/>
  <c r="O11" i="5"/>
  <c r="P11" i="5" s="1"/>
  <c r="O8" i="5"/>
  <c r="Q8" i="5" s="1"/>
  <c r="O4" i="5"/>
  <c r="Q4" i="5" s="1"/>
  <c r="O7" i="5"/>
  <c r="Q7" i="5" s="1"/>
  <c r="O5" i="5"/>
  <c r="P5" i="5" s="1"/>
  <c r="O3" i="5"/>
  <c r="Q3" i="5" s="1"/>
  <c r="O6" i="5"/>
  <c r="O2" i="5"/>
  <c r="Q2" i="5" s="1"/>
  <c r="J40" i="5"/>
  <c r="L40" i="5" s="1"/>
  <c r="J41" i="5"/>
  <c r="K41" i="5" s="1"/>
  <c r="J38" i="5"/>
  <c r="K38" i="5" s="1"/>
  <c r="J39" i="5"/>
  <c r="L39" i="5" s="1"/>
  <c r="J36" i="5"/>
  <c r="L36" i="5" s="1"/>
  <c r="J37" i="5"/>
  <c r="K37" i="5" s="1"/>
  <c r="J35" i="5"/>
  <c r="K35" i="5" s="1"/>
  <c r="J28" i="5"/>
  <c r="L28" i="5" s="1"/>
  <c r="J34" i="5"/>
  <c r="L34" i="5" s="1"/>
  <c r="J33" i="5"/>
  <c r="K33" i="5" s="1"/>
  <c r="J31" i="5"/>
  <c r="K31" i="5" s="1"/>
  <c r="J32" i="5"/>
  <c r="L32" i="5" s="1"/>
  <c r="J29" i="5"/>
  <c r="L29" i="5" s="1"/>
  <c r="J30" i="5"/>
  <c r="K30" i="5" s="1"/>
  <c r="J24" i="5"/>
  <c r="K24" i="5" s="1"/>
  <c r="J26" i="5"/>
  <c r="L26" i="5" s="1"/>
  <c r="J25" i="5"/>
  <c r="L25" i="5" s="1"/>
  <c r="J27" i="5"/>
  <c r="K27" i="5" s="1"/>
  <c r="J23" i="5"/>
  <c r="K23" i="5" s="1"/>
  <c r="J22" i="5"/>
  <c r="L22" i="5" s="1"/>
  <c r="J21" i="5"/>
  <c r="L21" i="5" s="1"/>
  <c r="J19" i="5"/>
  <c r="K19" i="5" s="1"/>
  <c r="J18" i="5"/>
  <c r="L18" i="5" s="1"/>
  <c r="J15" i="5"/>
  <c r="L15" i="5" s="1"/>
  <c r="J17" i="5"/>
  <c r="L17" i="5" s="1"/>
  <c r="J16" i="5"/>
  <c r="K16" i="5" s="1"/>
  <c r="J13" i="5"/>
  <c r="L13" i="5" s="1"/>
  <c r="J20" i="5"/>
  <c r="L20" i="5" s="1"/>
  <c r="J10" i="5"/>
  <c r="L10" i="5" s="1"/>
  <c r="J14" i="5"/>
  <c r="K14" i="5" s="1"/>
  <c r="J12" i="5"/>
  <c r="L12" i="5" s="1"/>
  <c r="J9" i="5"/>
  <c r="L9" i="5" s="1"/>
  <c r="J11" i="5"/>
  <c r="L11" i="5" s="1"/>
  <c r="J8" i="5"/>
  <c r="K8" i="5" s="1"/>
  <c r="J4" i="5"/>
  <c r="K4" i="5" s="1"/>
  <c r="J7" i="5"/>
  <c r="L7" i="5" s="1"/>
  <c r="J5" i="5"/>
  <c r="L5" i="5" s="1"/>
  <c r="J3" i="5"/>
  <c r="K3" i="5" s="1"/>
  <c r="J6" i="5"/>
  <c r="J2" i="5"/>
  <c r="L2" i="5" s="1"/>
  <c r="E40" i="5"/>
  <c r="G40" i="5" s="1"/>
  <c r="E41" i="5"/>
  <c r="G41" i="5" s="1"/>
  <c r="E38" i="5"/>
  <c r="F38" i="5" s="1"/>
  <c r="E39" i="5"/>
  <c r="F39" i="5" s="1"/>
  <c r="E36" i="5"/>
  <c r="G36" i="5" s="1"/>
  <c r="E37" i="5"/>
  <c r="G37" i="5" s="1"/>
  <c r="E35" i="5"/>
  <c r="F35" i="5" s="1"/>
  <c r="E28" i="5"/>
  <c r="F28" i="5" s="1"/>
  <c r="E34" i="5"/>
  <c r="G34" i="5" s="1"/>
  <c r="E33" i="5"/>
  <c r="G33" i="5" s="1"/>
  <c r="E31" i="5"/>
  <c r="G31" i="5" s="1"/>
  <c r="E32" i="5"/>
  <c r="F32" i="5" s="1"/>
  <c r="E29" i="5"/>
  <c r="G29" i="5" s="1"/>
  <c r="E30" i="5"/>
  <c r="G30" i="5" s="1"/>
  <c r="E24" i="5"/>
  <c r="G24" i="5" s="1"/>
  <c r="E26" i="5"/>
  <c r="F26" i="5" s="1"/>
  <c r="E25" i="5"/>
  <c r="G25" i="5" s="1"/>
  <c r="E27" i="5"/>
  <c r="G27" i="5" s="1"/>
  <c r="E23" i="5"/>
  <c r="G23" i="5" s="1"/>
  <c r="E22" i="5"/>
  <c r="F22" i="5" s="1"/>
  <c r="E21" i="5"/>
  <c r="G21" i="5" s="1"/>
  <c r="E19" i="5"/>
  <c r="G19" i="5" s="1"/>
  <c r="E18" i="5"/>
  <c r="G18" i="5" s="1"/>
  <c r="E15" i="5"/>
  <c r="F15" i="5" s="1"/>
  <c r="E17" i="5"/>
  <c r="G17" i="5" s="1"/>
  <c r="E16" i="5"/>
  <c r="G16" i="5" s="1"/>
  <c r="E13" i="5"/>
  <c r="G13" i="5" s="1"/>
  <c r="E20" i="5"/>
  <c r="F20" i="5" s="1"/>
  <c r="E10" i="5"/>
  <c r="G10" i="5" s="1"/>
  <c r="E14" i="5"/>
  <c r="E12" i="5"/>
  <c r="G12" i="5" s="1"/>
  <c r="E9" i="5"/>
  <c r="F9" i="5" s="1"/>
  <c r="E11" i="5"/>
  <c r="G11" i="5" s="1"/>
  <c r="E8" i="5"/>
  <c r="G8" i="5" s="1"/>
  <c r="E4" i="5"/>
  <c r="G4" i="5" s="1"/>
  <c r="E7" i="5"/>
  <c r="F7" i="5" s="1"/>
  <c r="E5" i="5"/>
  <c r="G5" i="5" s="1"/>
  <c r="E3" i="5"/>
  <c r="G3" i="5" s="1"/>
  <c r="E6" i="5"/>
  <c r="E2" i="5"/>
  <c r="F2" i="5" s="1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G6" i="5" l="1"/>
  <c r="L6" i="5"/>
  <c r="Q6" i="5"/>
  <c r="V6" i="5"/>
  <c r="AA6" i="5"/>
  <c r="AE6" i="5"/>
  <c r="AJ6" i="5"/>
  <c r="AO6" i="5"/>
  <c r="AU6" i="5"/>
  <c r="AZ6" i="5"/>
  <c r="G14" i="5"/>
  <c r="G24" i="6" s="1"/>
  <c r="E24" i="6"/>
  <c r="AU38" i="5"/>
  <c r="AT6" i="5"/>
  <c r="AY3" i="5"/>
  <c r="AU8" i="5"/>
  <c r="AT12" i="5"/>
  <c r="AU33" i="5"/>
  <c r="AT35" i="5"/>
  <c r="AZ14" i="5"/>
  <c r="AY13" i="5"/>
  <c r="AZ19" i="5"/>
  <c r="AY23" i="5"/>
  <c r="AZ30" i="5"/>
  <c r="AY31" i="5"/>
  <c r="AZ37" i="5"/>
  <c r="AY38" i="5"/>
  <c r="AU18" i="5"/>
  <c r="AU37" i="5"/>
  <c r="AY4" i="5"/>
  <c r="AZ16" i="5"/>
  <c r="AY18" i="5"/>
  <c r="AZ27" i="5"/>
  <c r="AY24" i="5"/>
  <c r="AZ35" i="5"/>
  <c r="AU19" i="5"/>
  <c r="AT23" i="5"/>
  <c r="AY6" i="5"/>
  <c r="BA12" i="5"/>
  <c r="AZ41" i="5"/>
  <c r="AU4" i="5"/>
  <c r="AU16" i="5"/>
  <c r="AZ8" i="5"/>
  <c r="AY12" i="5"/>
  <c r="BA40" i="5"/>
  <c r="AZ33" i="5"/>
  <c r="AY2" i="5"/>
  <c r="AY7" i="5"/>
  <c r="AY9" i="5"/>
  <c r="AY20" i="5"/>
  <c r="AY15" i="5"/>
  <c r="AY22" i="5"/>
  <c r="AY26" i="5"/>
  <c r="AY32" i="5"/>
  <c r="AY28" i="5"/>
  <c r="AY39" i="5"/>
  <c r="AY5" i="5"/>
  <c r="AY11" i="5"/>
  <c r="AY10" i="5"/>
  <c r="AY17" i="5"/>
  <c r="AY21" i="5"/>
  <c r="AY25" i="5"/>
  <c r="AY29" i="5"/>
  <c r="AY34" i="5"/>
  <c r="AY36" i="5"/>
  <c r="AY40" i="5"/>
  <c r="AU14" i="5"/>
  <c r="AT13" i="5"/>
  <c r="AU30" i="5"/>
  <c r="AT31" i="5"/>
  <c r="AO7" i="5"/>
  <c r="AU27" i="5"/>
  <c r="AT24" i="5"/>
  <c r="AU41" i="5"/>
  <c r="AU3" i="5"/>
  <c r="AT9" i="5"/>
  <c r="AT20" i="5"/>
  <c r="AT26" i="5"/>
  <c r="AU2" i="5"/>
  <c r="AT5" i="5"/>
  <c r="AU7" i="5"/>
  <c r="AT11" i="5"/>
  <c r="AT10" i="5"/>
  <c r="AT17" i="5"/>
  <c r="AU15" i="5"/>
  <c r="AT21" i="5"/>
  <c r="AU22" i="5"/>
  <c r="AT25" i="5"/>
  <c r="AT29" i="5"/>
  <c r="AU32" i="5"/>
  <c r="AT34" i="5"/>
  <c r="AU28" i="5"/>
  <c r="AT36" i="5"/>
  <c r="AU39" i="5"/>
  <c r="AT40" i="5"/>
  <c r="AP8" i="5"/>
  <c r="AP30" i="5"/>
  <c r="AO27" i="5"/>
  <c r="AO2" i="5"/>
  <c r="AP14" i="5"/>
  <c r="AO22" i="5"/>
  <c r="AP34" i="5"/>
  <c r="BA34" i="5" s="1"/>
  <c r="AO3" i="5"/>
  <c r="AO26" i="5"/>
  <c r="AO9" i="5"/>
  <c r="AO19" i="5"/>
  <c r="AP36" i="5"/>
  <c r="BA36" i="5" s="1"/>
  <c r="AO16" i="5"/>
  <c r="AO15" i="5"/>
  <c r="AO33" i="5"/>
  <c r="AO37" i="5"/>
  <c r="AO41" i="5"/>
  <c r="AP6" i="5"/>
  <c r="AO20" i="5"/>
  <c r="AO32" i="5"/>
  <c r="AO28" i="5"/>
  <c r="AO39" i="5"/>
  <c r="AP5" i="5"/>
  <c r="AP11" i="5"/>
  <c r="AP10" i="5"/>
  <c r="AP17" i="5"/>
  <c r="BA17" i="5" s="1"/>
  <c r="AP21" i="5"/>
  <c r="BA21" i="5" s="1"/>
  <c r="AP25" i="5"/>
  <c r="BA25" i="5" s="1"/>
  <c r="AP29" i="5"/>
  <c r="BA29" i="5" s="1"/>
  <c r="AO4" i="5"/>
  <c r="AO12" i="5"/>
  <c r="AO13" i="5"/>
  <c r="AO18" i="5"/>
  <c r="AO23" i="5"/>
  <c r="AO24" i="5"/>
  <c r="AO31" i="5"/>
  <c r="AO35" i="5"/>
  <c r="AO38" i="5"/>
  <c r="AO40" i="5"/>
  <c r="AK18" i="5"/>
  <c r="AK35" i="5"/>
  <c r="AK6" i="5"/>
  <c r="AK4" i="5"/>
  <c r="AK23" i="5"/>
  <c r="AK38" i="5"/>
  <c r="AK16" i="5"/>
  <c r="AK33" i="5"/>
  <c r="AJ31" i="5"/>
  <c r="AK8" i="5"/>
  <c r="AJ12" i="5"/>
  <c r="AK13" i="5"/>
  <c r="BA13" i="5" s="1"/>
  <c r="AK27" i="5"/>
  <c r="AJ24" i="5"/>
  <c r="AK41" i="5"/>
  <c r="AK14" i="5"/>
  <c r="AK30" i="5"/>
  <c r="AK3" i="5"/>
  <c r="AK19" i="5"/>
  <c r="AK37" i="5"/>
  <c r="AJ2" i="5"/>
  <c r="AJ7" i="5"/>
  <c r="AJ9" i="5"/>
  <c r="AJ20" i="5"/>
  <c r="AJ15" i="5"/>
  <c r="AJ22" i="5"/>
  <c r="AJ26" i="5"/>
  <c r="AJ32" i="5"/>
  <c r="AJ28" i="5"/>
  <c r="AJ39" i="5"/>
  <c r="AJ5" i="5"/>
  <c r="AJ11" i="5"/>
  <c r="AJ10" i="5"/>
  <c r="AJ17" i="5"/>
  <c r="AJ21" i="5"/>
  <c r="AJ25" i="5"/>
  <c r="AJ29" i="5"/>
  <c r="AJ34" i="5"/>
  <c r="AJ36" i="5"/>
  <c r="AJ40" i="5"/>
  <c r="AF6" i="5"/>
  <c r="AF35" i="5"/>
  <c r="AF19" i="5"/>
  <c r="AE23" i="5"/>
  <c r="AF30" i="5"/>
  <c r="AE31" i="5"/>
  <c r="AF38" i="5"/>
  <c r="AF4" i="5"/>
  <c r="AF14" i="5"/>
  <c r="AE13" i="5"/>
  <c r="Z19" i="5"/>
  <c r="AF8" i="5"/>
  <c r="AE12" i="5"/>
  <c r="AF16" i="5"/>
  <c r="AE18" i="5"/>
  <c r="AF24" i="5"/>
  <c r="AF33" i="5"/>
  <c r="AF41" i="5"/>
  <c r="AF3" i="5"/>
  <c r="AF27" i="5"/>
  <c r="AF37" i="5"/>
  <c r="AE2" i="5"/>
  <c r="AE7" i="5"/>
  <c r="AE9" i="5"/>
  <c r="AE20" i="5"/>
  <c r="AE15" i="5"/>
  <c r="AE22" i="5"/>
  <c r="AE26" i="5"/>
  <c r="AE32" i="5"/>
  <c r="AE28" i="5"/>
  <c r="AE39" i="5"/>
  <c r="AE5" i="5"/>
  <c r="AE11" i="5"/>
  <c r="AE10" i="5"/>
  <c r="AE17" i="5"/>
  <c r="AE21" i="5"/>
  <c r="AE25" i="5"/>
  <c r="AE29" i="5"/>
  <c r="AE34" i="5"/>
  <c r="AE36" i="5"/>
  <c r="AE40" i="5"/>
  <c r="Z3" i="5"/>
  <c r="Z30" i="5"/>
  <c r="AA35" i="5"/>
  <c r="Z14" i="5"/>
  <c r="Z8" i="5"/>
  <c r="Z27" i="5"/>
  <c r="AA38" i="5"/>
  <c r="Z16" i="5"/>
  <c r="AA33" i="5"/>
  <c r="Z6" i="5"/>
  <c r="Z4" i="5"/>
  <c r="Z12" i="5"/>
  <c r="Z13" i="5"/>
  <c r="Z18" i="5"/>
  <c r="Z23" i="5"/>
  <c r="Z24" i="5"/>
  <c r="Z31" i="5"/>
  <c r="AA41" i="5"/>
  <c r="AA37" i="5"/>
  <c r="Z2" i="5"/>
  <c r="Z7" i="5"/>
  <c r="Z9" i="5"/>
  <c r="Z20" i="5"/>
  <c r="Z15" i="5"/>
  <c r="Z22" i="5"/>
  <c r="Z26" i="5"/>
  <c r="Z32" i="5"/>
  <c r="Z28" i="5"/>
  <c r="Z39" i="5"/>
  <c r="Z5" i="5"/>
  <c r="Z11" i="5"/>
  <c r="Z10" i="5"/>
  <c r="Z17" i="5"/>
  <c r="Z21" i="5"/>
  <c r="Z25" i="5"/>
  <c r="Z29" i="5"/>
  <c r="Z34" i="5"/>
  <c r="Z36" i="5"/>
  <c r="Z40" i="5"/>
  <c r="U5" i="5"/>
  <c r="V14" i="5"/>
  <c r="U18" i="5"/>
  <c r="U6" i="5"/>
  <c r="U21" i="5"/>
  <c r="V8" i="5"/>
  <c r="U13" i="5"/>
  <c r="U17" i="5"/>
  <c r="V27" i="5"/>
  <c r="V30" i="5"/>
  <c r="V33" i="5"/>
  <c r="V37" i="5"/>
  <c r="V41" i="5"/>
  <c r="V3" i="5"/>
  <c r="U12" i="5"/>
  <c r="U10" i="5"/>
  <c r="V19" i="5"/>
  <c r="U24" i="5"/>
  <c r="U31" i="5"/>
  <c r="U35" i="5"/>
  <c r="U38" i="5"/>
  <c r="U4" i="5"/>
  <c r="U11" i="5"/>
  <c r="V16" i="5"/>
  <c r="U23" i="5"/>
  <c r="U25" i="5"/>
  <c r="U29" i="5"/>
  <c r="U34" i="5"/>
  <c r="U36" i="5"/>
  <c r="U40" i="5"/>
  <c r="U2" i="5"/>
  <c r="U7" i="5"/>
  <c r="U9" i="5"/>
  <c r="U20" i="5"/>
  <c r="U15" i="5"/>
  <c r="U22" i="5"/>
  <c r="U26" i="5"/>
  <c r="U32" i="5"/>
  <c r="U28" i="5"/>
  <c r="U39" i="5"/>
  <c r="P6" i="5"/>
  <c r="P12" i="5"/>
  <c r="P4" i="5"/>
  <c r="Q19" i="5"/>
  <c r="P23" i="5"/>
  <c r="Q37" i="5"/>
  <c r="P38" i="5"/>
  <c r="P13" i="5"/>
  <c r="Q30" i="5"/>
  <c r="P31" i="5"/>
  <c r="Q11" i="5"/>
  <c r="Q10" i="5"/>
  <c r="P3" i="5"/>
  <c r="P8" i="5"/>
  <c r="P14" i="5"/>
  <c r="Q16" i="5"/>
  <c r="P18" i="5"/>
  <c r="Q27" i="5"/>
  <c r="P24" i="5"/>
  <c r="Q33" i="5"/>
  <c r="P35" i="5"/>
  <c r="Q41" i="5"/>
  <c r="Q5" i="5"/>
  <c r="P2" i="5"/>
  <c r="P7" i="5"/>
  <c r="P9" i="5"/>
  <c r="P20" i="5"/>
  <c r="P15" i="5"/>
  <c r="P22" i="5"/>
  <c r="P26" i="5"/>
  <c r="P32" i="5"/>
  <c r="P28" i="5"/>
  <c r="P39" i="5"/>
  <c r="P17" i="5"/>
  <c r="P21" i="5"/>
  <c r="P25" i="5"/>
  <c r="P29" i="5"/>
  <c r="P34" i="5"/>
  <c r="P36" i="5"/>
  <c r="P40" i="5"/>
  <c r="L24" i="5"/>
  <c r="L35" i="5"/>
  <c r="K6" i="5"/>
  <c r="L4" i="5"/>
  <c r="L16" i="5"/>
  <c r="K18" i="5"/>
  <c r="L31" i="5"/>
  <c r="BA31" i="5" s="1"/>
  <c r="F18" i="5"/>
  <c r="G22" i="5"/>
  <c r="L41" i="5"/>
  <c r="L8" i="5"/>
  <c r="K12" i="5"/>
  <c r="L27" i="5"/>
  <c r="L33" i="5"/>
  <c r="L23" i="5"/>
  <c r="L38" i="5"/>
  <c r="L14" i="5"/>
  <c r="K13" i="5"/>
  <c r="L30" i="5"/>
  <c r="L3" i="5"/>
  <c r="L19" i="5"/>
  <c r="L37" i="5"/>
  <c r="K2" i="5"/>
  <c r="K7" i="5"/>
  <c r="K9" i="5"/>
  <c r="K20" i="5"/>
  <c r="K15" i="5"/>
  <c r="K22" i="5"/>
  <c r="K26" i="5"/>
  <c r="K32" i="5"/>
  <c r="K28" i="5"/>
  <c r="K39" i="5"/>
  <c r="K5" i="5"/>
  <c r="K11" i="5"/>
  <c r="K10" i="5"/>
  <c r="K17" i="5"/>
  <c r="K21" i="5"/>
  <c r="K25" i="5"/>
  <c r="K29" i="5"/>
  <c r="K34" i="5"/>
  <c r="K36" i="5"/>
  <c r="K40" i="5"/>
  <c r="G2" i="5"/>
  <c r="F17" i="5"/>
  <c r="F11" i="5"/>
  <c r="F12" i="5"/>
  <c r="F29" i="5"/>
  <c r="F31" i="5"/>
  <c r="F6" i="5"/>
  <c r="G15" i="5"/>
  <c r="F23" i="5"/>
  <c r="G9" i="5"/>
  <c r="BA9" i="5" s="1"/>
  <c r="G32" i="5"/>
  <c r="G35" i="5"/>
  <c r="G38" i="5"/>
  <c r="F5" i="5"/>
  <c r="F4" i="5"/>
  <c r="G20" i="5"/>
  <c r="BA20" i="5" s="1"/>
  <c r="F21" i="5"/>
  <c r="F25" i="5"/>
  <c r="F24" i="5"/>
  <c r="G28" i="5"/>
  <c r="G39" i="5"/>
  <c r="G7" i="5"/>
  <c r="F10" i="5"/>
  <c r="F13" i="5"/>
  <c r="G26" i="5"/>
  <c r="BA26" i="5" s="1"/>
  <c r="F34" i="5"/>
  <c r="F36" i="5"/>
  <c r="F40" i="5"/>
  <c r="F3" i="5"/>
  <c r="F8" i="5"/>
  <c r="F14" i="5"/>
  <c r="F24" i="6" s="1"/>
  <c r="F16" i="5"/>
  <c r="F19" i="5"/>
  <c r="F27" i="5"/>
  <c r="F30" i="5"/>
  <c r="F33" i="5"/>
  <c r="F37" i="5"/>
  <c r="F41" i="5"/>
  <c r="M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2" i="3"/>
  <c r="AY46" i="3"/>
  <c r="AY45" i="3"/>
  <c r="AY44" i="3"/>
  <c r="AY43" i="3"/>
  <c r="AY42" i="3"/>
  <c r="AY41" i="3"/>
  <c r="AY40" i="3"/>
  <c r="AY39" i="3"/>
  <c r="AY38" i="3"/>
  <c r="AY37" i="3"/>
  <c r="AY36" i="3"/>
  <c r="AY35" i="3"/>
  <c r="AY34" i="3"/>
  <c r="AY33" i="3"/>
  <c r="AY32" i="3"/>
  <c r="AY31" i="3"/>
  <c r="AY30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AY3" i="3"/>
  <c r="AY2" i="3"/>
  <c r="AT46" i="3"/>
  <c r="AT45" i="3"/>
  <c r="AT44" i="3"/>
  <c r="AT43" i="3"/>
  <c r="AT42" i="3"/>
  <c r="AT41" i="3"/>
  <c r="AT40" i="3"/>
  <c r="AT39" i="3"/>
  <c r="AT38" i="3"/>
  <c r="AT37" i="3"/>
  <c r="AT36" i="3"/>
  <c r="AT35" i="3"/>
  <c r="AT34" i="3"/>
  <c r="AT33" i="3"/>
  <c r="AT32" i="3"/>
  <c r="AT31" i="3"/>
  <c r="AT30" i="3"/>
  <c r="AT29" i="3"/>
  <c r="AT28" i="3"/>
  <c r="AT27" i="3"/>
  <c r="AT26" i="3"/>
  <c r="AT25" i="3"/>
  <c r="AT24" i="3"/>
  <c r="AT23" i="3"/>
  <c r="AT22" i="3"/>
  <c r="AT21" i="3"/>
  <c r="AT20" i="3"/>
  <c r="AT19" i="3"/>
  <c r="AT18" i="3"/>
  <c r="AT17" i="3"/>
  <c r="AT16" i="3"/>
  <c r="AT15" i="3"/>
  <c r="AT14" i="3"/>
  <c r="AT13" i="3"/>
  <c r="AT12" i="3"/>
  <c r="AT11" i="3"/>
  <c r="AT10" i="3"/>
  <c r="AT9" i="3"/>
  <c r="AT8" i="3"/>
  <c r="AT7" i="3"/>
  <c r="AT6" i="3"/>
  <c r="AT5" i="3"/>
  <c r="AT4" i="3"/>
  <c r="AT3" i="3"/>
  <c r="AT2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O3" i="3"/>
  <c r="AO2" i="3"/>
  <c r="AJ46" i="3"/>
  <c r="AJ45" i="3"/>
  <c r="AJ44" i="3"/>
  <c r="AJ43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J5" i="3"/>
  <c r="AJ4" i="3"/>
  <c r="AJ3" i="3"/>
  <c r="AJ2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  <c r="AE3" i="3"/>
  <c r="AE2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R2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2" i="3"/>
  <c r="E12" i="7" l="1" a="1"/>
  <c r="E12" i="7" s="1"/>
  <c r="E15" i="7" a="1"/>
  <c r="E15" i="7" s="1"/>
  <c r="E21" i="7" a="1"/>
  <c r="E21" i="7" s="1"/>
  <c r="E20" i="7" a="1"/>
  <c r="E20" i="7" s="1"/>
  <c r="E13" i="7" a="1"/>
  <c r="E13" i="7" s="1"/>
  <c r="E16" i="7" a="1"/>
  <c r="E16" i="7" s="1"/>
  <c r="E19" i="7" a="1"/>
  <c r="E19" i="7" s="1"/>
  <c r="E18" i="7" a="1"/>
  <c r="E18" i="7" s="1"/>
  <c r="E14" i="7" a="1"/>
  <c r="E14" i="7" s="1"/>
  <c r="E17" i="7" a="1"/>
  <c r="E17" i="7" s="1"/>
  <c r="BC20" i="5"/>
  <c r="BC25" i="5"/>
  <c r="BC36" i="5"/>
  <c r="BC12" i="5"/>
  <c r="BC9" i="5"/>
  <c r="BC13" i="5"/>
  <c r="BC21" i="5"/>
  <c r="BC34" i="5"/>
  <c r="BC29" i="5"/>
  <c r="BC26" i="5"/>
  <c r="BC31" i="5"/>
  <c r="BC17" i="5"/>
  <c r="BC40" i="5"/>
  <c r="BA18" i="5"/>
  <c r="BA2" i="5"/>
  <c r="BA22" i="5"/>
  <c r="BA19" i="5"/>
  <c r="BA11" i="5"/>
  <c r="BA38" i="5"/>
  <c r="BA10" i="5"/>
  <c r="BA35" i="5"/>
  <c r="BA14" i="5"/>
  <c r="BA28" i="5"/>
  <c r="BA27" i="5"/>
  <c r="BA23" i="5"/>
  <c r="BA16" i="5"/>
  <c r="BA24" i="5"/>
  <c r="BA37" i="5"/>
  <c r="BA5" i="5"/>
  <c r="BA39" i="5"/>
  <c r="BA32" i="5"/>
  <c r="BA4" i="5"/>
  <c r="BA3" i="5"/>
  <c r="BA6" i="5"/>
  <c r="BA15" i="5"/>
  <c r="BA7" i="5"/>
  <c r="BA30" i="5"/>
  <c r="BA8" i="5"/>
  <c r="BA41" i="5"/>
  <c r="BA33" i="5"/>
  <c r="AQ46" i="3"/>
  <c r="AL46" i="3"/>
  <c r="V46" i="3"/>
  <c r="R46" i="3"/>
  <c r="AP45" i="3"/>
  <c r="AB45" i="3"/>
  <c r="R45" i="3"/>
  <c r="M45" i="3"/>
  <c r="AV44" i="3"/>
  <c r="AF44" i="3"/>
  <c r="W44" i="3"/>
  <c r="M44" i="3"/>
  <c r="AV43" i="3"/>
  <c r="V43" i="3"/>
  <c r="R43" i="3"/>
  <c r="AV42" i="3"/>
  <c r="AL42" i="3"/>
  <c r="AA42" i="3"/>
  <c r="W42" i="3"/>
  <c r="L42" i="3"/>
  <c r="AZ41" i="3"/>
  <c r="AU41" i="3"/>
  <c r="AQ41" i="3"/>
  <c r="AL41" i="3"/>
  <c r="AG41" i="3"/>
  <c r="V41" i="3"/>
  <c r="R41" i="3"/>
  <c r="M41" i="3"/>
  <c r="AZ40" i="3"/>
  <c r="AV40" i="3"/>
  <c r="AL40" i="3"/>
  <c r="V40" i="3"/>
  <c r="R40" i="3"/>
  <c r="M40" i="3"/>
  <c r="AV39" i="3"/>
  <c r="AK39" i="3"/>
  <c r="AG39" i="3"/>
  <c r="W39" i="3"/>
  <c r="L39" i="3"/>
  <c r="AU38" i="3"/>
  <c r="AL38" i="3"/>
  <c r="AA38" i="3"/>
  <c r="W38" i="3"/>
  <c r="L38" i="3"/>
  <c r="AZ37" i="3"/>
  <c r="AU37" i="3"/>
  <c r="AQ37" i="3"/>
  <c r="AL37" i="3"/>
  <c r="AG37" i="3"/>
  <c r="V37" i="3"/>
  <c r="R37" i="3"/>
  <c r="M37" i="3"/>
  <c r="AZ36" i="3"/>
  <c r="AV36" i="3"/>
  <c r="AL36" i="3"/>
  <c r="V36" i="3"/>
  <c r="R36" i="3"/>
  <c r="M36" i="3"/>
  <c r="AV35" i="3"/>
  <c r="AK35" i="3"/>
  <c r="AG35" i="3"/>
  <c r="W35" i="3"/>
  <c r="L35" i="3"/>
  <c r="AZ34" i="3"/>
  <c r="AV34" i="3"/>
  <c r="AP34" i="3"/>
  <c r="AG34" i="3"/>
  <c r="AB34" i="3"/>
  <c r="V34" i="3"/>
  <c r="Q34" i="3"/>
  <c r="AU33" i="3"/>
  <c r="AQ33" i="3"/>
  <c r="AK33" i="3"/>
  <c r="AF33" i="3"/>
  <c r="AB33" i="3"/>
  <c r="W33" i="3"/>
  <c r="Q33" i="3"/>
  <c r="AV32" i="3"/>
  <c r="AL32" i="3"/>
  <c r="AF32" i="3"/>
  <c r="AB32" i="3"/>
  <c r="W32" i="3"/>
  <c r="R32" i="3"/>
  <c r="L32" i="3"/>
  <c r="AZ31" i="3"/>
  <c r="AU31" i="3"/>
  <c r="AP31" i="3"/>
  <c r="AL31" i="3"/>
  <c r="AG31" i="3"/>
  <c r="AA31" i="3"/>
  <c r="Q31" i="3"/>
  <c r="AZ30" i="3"/>
  <c r="AV30" i="3"/>
  <c r="AP30" i="3"/>
  <c r="AL30" i="3"/>
  <c r="AG30" i="3"/>
  <c r="AB30" i="3"/>
  <c r="V30" i="3"/>
  <c r="Q30" i="3"/>
  <c r="L30" i="3"/>
  <c r="AU29" i="3"/>
  <c r="AQ29" i="3"/>
  <c r="AK29" i="3"/>
  <c r="AF29" i="3"/>
  <c r="AB29" i="3"/>
  <c r="W29" i="3"/>
  <c r="Q29" i="3"/>
  <c r="M29" i="3"/>
  <c r="AV28" i="3"/>
  <c r="AL28" i="3"/>
  <c r="AF28" i="3"/>
  <c r="AB28" i="3"/>
  <c r="W28" i="3"/>
  <c r="R28" i="3"/>
  <c r="L28" i="3"/>
  <c r="AZ27" i="3"/>
  <c r="AU27" i="3"/>
  <c r="AP27" i="3"/>
  <c r="AL27" i="3"/>
  <c r="AG27" i="3"/>
  <c r="AA27" i="3"/>
  <c r="W27" i="3"/>
  <c r="Q27" i="3"/>
  <c r="M27" i="3"/>
  <c r="AZ26" i="3"/>
  <c r="AV26" i="3"/>
  <c r="AP26" i="3"/>
  <c r="AL26" i="3"/>
  <c r="AG26" i="3"/>
  <c r="AB26" i="3"/>
  <c r="V26" i="3"/>
  <c r="L26" i="3"/>
  <c r="AU25" i="3"/>
  <c r="AQ25" i="3"/>
  <c r="AK25" i="3"/>
  <c r="AB25" i="3"/>
  <c r="W25" i="3"/>
  <c r="Q25" i="3"/>
  <c r="L25" i="3"/>
  <c r="AU24" i="3"/>
  <c r="AP24" i="3"/>
  <c r="AL24" i="3"/>
  <c r="AF24" i="3"/>
  <c r="AA24" i="3"/>
  <c r="R24" i="3"/>
  <c r="L24" i="3"/>
  <c r="AU23" i="3"/>
  <c r="AQ23" i="3"/>
  <c r="AL23" i="3"/>
  <c r="AG23" i="3"/>
  <c r="AA23" i="3"/>
  <c r="V23" i="3"/>
  <c r="Q23" i="3"/>
  <c r="M23" i="3"/>
  <c r="AZ22" i="3"/>
  <c r="AV22" i="3"/>
  <c r="AP22" i="3"/>
  <c r="AG22" i="3"/>
  <c r="AB22" i="3"/>
  <c r="V22" i="3"/>
  <c r="R22" i="3"/>
  <c r="AU21" i="3"/>
  <c r="AQ21" i="3"/>
  <c r="AK21" i="3"/>
  <c r="AF21" i="3"/>
  <c r="AB21" i="3"/>
  <c r="W21" i="3"/>
  <c r="Q21" i="3"/>
  <c r="AV20" i="3"/>
  <c r="AP20" i="3"/>
  <c r="AL20" i="3"/>
  <c r="AF20" i="3"/>
  <c r="W20" i="3"/>
  <c r="R20" i="3"/>
  <c r="L20" i="3"/>
  <c r="AU19" i="3"/>
  <c r="AQ19" i="3"/>
  <c r="AL19" i="3"/>
  <c r="AG19" i="3"/>
  <c r="AA19" i="3"/>
  <c r="V19" i="3"/>
  <c r="Q19" i="3"/>
  <c r="M19" i="3"/>
  <c r="AZ18" i="3"/>
  <c r="AV18" i="3"/>
  <c r="AP18" i="3"/>
  <c r="AG18" i="3"/>
  <c r="AB18" i="3"/>
  <c r="V18" i="3"/>
  <c r="R18" i="3"/>
  <c r="AU17" i="3"/>
  <c r="AP17" i="3"/>
  <c r="AL17" i="3"/>
  <c r="AA17" i="3"/>
  <c r="W17" i="3"/>
  <c r="R17" i="3"/>
  <c r="AZ16" i="3"/>
  <c r="AP16" i="3"/>
  <c r="AK16" i="3"/>
  <c r="V16" i="3"/>
  <c r="Q16" i="3"/>
  <c r="AV15" i="3"/>
  <c r="AK15" i="3"/>
  <c r="AB15" i="3"/>
  <c r="Q15" i="3"/>
  <c r="AV14" i="3"/>
  <c r="AF14" i="3"/>
  <c r="AB14" i="3"/>
  <c r="L14" i="3"/>
  <c r="AP13" i="3"/>
  <c r="AL13" i="3"/>
  <c r="AA13" i="3"/>
  <c r="W13" i="3"/>
  <c r="R13" i="3"/>
  <c r="AZ12" i="3"/>
  <c r="AP12" i="3"/>
  <c r="AL12" i="3"/>
  <c r="AG12" i="3"/>
  <c r="V12" i="3"/>
  <c r="R12" i="3"/>
  <c r="M12" i="3"/>
  <c r="AV11" i="3"/>
  <c r="AF11" i="3"/>
  <c r="AB11" i="3"/>
  <c r="M11" i="3"/>
  <c r="AV10" i="3"/>
  <c r="AQ10" i="3"/>
  <c r="AF10" i="3"/>
  <c r="AB10" i="3"/>
  <c r="W10" i="3"/>
  <c r="L10" i="3"/>
  <c r="AU9" i="3"/>
  <c r="AP9" i="3"/>
  <c r="AL9" i="3"/>
  <c r="AA9" i="3"/>
  <c r="W9" i="3"/>
  <c r="R9" i="3"/>
  <c r="AZ8" i="3"/>
  <c r="AP8" i="3"/>
  <c r="AL8" i="3"/>
  <c r="AG8" i="3"/>
  <c r="V8" i="3"/>
  <c r="Q8" i="3"/>
  <c r="M8" i="3"/>
  <c r="AV7" i="3"/>
  <c r="AK7" i="3"/>
  <c r="AF7" i="3"/>
  <c r="AB7" i="3"/>
  <c r="Q7" i="3"/>
  <c r="L7" i="3"/>
  <c r="AU6" i="3"/>
  <c r="AQ6" i="3"/>
  <c r="AF6" i="3"/>
  <c r="AA6" i="3"/>
  <c r="W6" i="3"/>
  <c r="L6" i="3"/>
  <c r="AU5" i="3"/>
  <c r="AQ5" i="3"/>
  <c r="AL5" i="3"/>
  <c r="AA5" i="3"/>
  <c r="V5" i="3"/>
  <c r="R5" i="3"/>
  <c r="AZ4" i="3"/>
  <c r="AP4" i="3"/>
  <c r="AL4" i="3"/>
  <c r="AF4" i="3"/>
  <c r="AB4" i="3"/>
  <c r="V4" i="3"/>
  <c r="Q4" i="3"/>
  <c r="M4" i="3"/>
  <c r="AV3" i="3"/>
  <c r="AQ3" i="3"/>
  <c r="AK3" i="3"/>
  <c r="AG3" i="3"/>
  <c r="AA3" i="3"/>
  <c r="W3" i="3"/>
  <c r="Q3" i="3"/>
  <c r="M3" i="3"/>
  <c r="AZ2" i="3"/>
  <c r="AV2" i="3"/>
  <c r="AQ2" i="3"/>
  <c r="AL2" i="3"/>
  <c r="AF2" i="3"/>
  <c r="AA2" i="3"/>
  <c r="V2" i="3"/>
  <c r="L2" i="3"/>
  <c r="H22" i="7" l="1"/>
  <c r="BC8" i="5"/>
  <c r="BC6" i="5"/>
  <c r="D23" i="7" s="1"/>
  <c r="BC32" i="5"/>
  <c r="BC24" i="5"/>
  <c r="BC28" i="5"/>
  <c r="BC38" i="5"/>
  <c r="BC30" i="5"/>
  <c r="BC2" i="5"/>
  <c r="BC39" i="5"/>
  <c r="BC16" i="5"/>
  <c r="BC14" i="5"/>
  <c r="BC11" i="5"/>
  <c r="BC18" i="5"/>
  <c r="BC33" i="5"/>
  <c r="BC3" i="5"/>
  <c r="BC23" i="5"/>
  <c r="BC7" i="5"/>
  <c r="BC5" i="5"/>
  <c r="BC35" i="5"/>
  <c r="BC19" i="5"/>
  <c r="BC41" i="5"/>
  <c r="BC15" i="5"/>
  <c r="BC4" i="5"/>
  <c r="BC37" i="5"/>
  <c r="BC27" i="5"/>
  <c r="BC10" i="5"/>
  <c r="BC22" i="5"/>
  <c r="AP41" i="3"/>
  <c r="BA2" i="3"/>
  <c r="AP37" i="3"/>
  <c r="AP46" i="3"/>
  <c r="AQ9" i="3"/>
  <c r="V39" i="3"/>
  <c r="AQ8" i="3"/>
  <c r="AU14" i="3"/>
  <c r="AV38" i="3"/>
  <c r="AG44" i="3"/>
  <c r="Q22" i="3"/>
  <c r="Q45" i="3"/>
  <c r="AG7" i="3"/>
  <c r="AB9" i="3"/>
  <c r="AL16" i="3"/>
  <c r="Q36" i="3"/>
  <c r="Q40" i="3"/>
  <c r="L11" i="3"/>
  <c r="W19" i="3"/>
  <c r="V27" i="3"/>
  <c r="AV9" i="3"/>
  <c r="V10" i="3"/>
  <c r="AG11" i="3"/>
  <c r="Q12" i="3"/>
  <c r="AQ13" i="3"/>
  <c r="AQ17" i="3"/>
  <c r="Q18" i="3"/>
  <c r="V20" i="3"/>
  <c r="W23" i="3"/>
  <c r="M26" i="3"/>
  <c r="AQ31" i="3"/>
  <c r="AU32" i="3"/>
  <c r="AG33" i="3"/>
  <c r="AV33" i="3"/>
  <c r="W37" i="3"/>
  <c r="V38" i="3"/>
  <c r="AK38" i="3"/>
  <c r="AU43" i="3"/>
  <c r="W46" i="3"/>
  <c r="V13" i="3"/>
  <c r="M25" i="3"/>
  <c r="AU35" i="3"/>
  <c r="W41" i="3"/>
  <c r="AQ45" i="3"/>
  <c r="AZ9" i="3"/>
  <c r="AZ10" i="3"/>
  <c r="AZ24" i="3"/>
  <c r="AZ23" i="3"/>
  <c r="AZ28" i="3"/>
  <c r="AU10" i="3"/>
  <c r="AU28" i="3"/>
  <c r="AV29" i="3"/>
  <c r="AU42" i="3"/>
  <c r="AV24" i="3"/>
  <c r="AU15" i="3"/>
  <c r="AU39" i="3"/>
  <c r="AP10" i="3"/>
  <c r="AP19" i="3"/>
  <c r="AQ27" i="3"/>
  <c r="AK26" i="3"/>
  <c r="AL35" i="3"/>
  <c r="AL39" i="3"/>
  <c r="AK42" i="3"/>
  <c r="AK40" i="3"/>
  <c r="AG4" i="3"/>
  <c r="AG6" i="3"/>
  <c r="AF12" i="3"/>
  <c r="AG29" i="3"/>
  <c r="AG21" i="3"/>
  <c r="AF39" i="3"/>
  <c r="AA32" i="3"/>
  <c r="AB42" i="3"/>
  <c r="AA14" i="3"/>
  <c r="AB24" i="3"/>
  <c r="AB38" i="3"/>
  <c r="AB2" i="3"/>
  <c r="AA15" i="3"/>
  <c r="AB17" i="3"/>
  <c r="W5" i="3"/>
  <c r="W8" i="3"/>
  <c r="V35" i="3"/>
  <c r="V42" i="3"/>
  <c r="R30" i="3"/>
  <c r="R31" i="3"/>
  <c r="R4" i="3"/>
  <c r="R16" i="3"/>
  <c r="R34" i="3"/>
  <c r="M10" i="3"/>
  <c r="M42" i="3"/>
  <c r="M6" i="3"/>
  <c r="M7" i="3"/>
  <c r="L12" i="3"/>
  <c r="L29" i="3"/>
  <c r="M30" i="3"/>
  <c r="M35" i="3"/>
  <c r="M38" i="3"/>
  <c r="M39" i="3"/>
  <c r="M21" i="3"/>
  <c r="L21" i="3"/>
  <c r="AL22" i="3"/>
  <c r="AK22" i="3"/>
  <c r="R26" i="3"/>
  <c r="BB26" i="3" s="1"/>
  <c r="BD26" i="3" s="1"/>
  <c r="Q26" i="3"/>
  <c r="AB35" i="3"/>
  <c r="AA35" i="3"/>
  <c r="AG36" i="3"/>
  <c r="AF36" i="3"/>
  <c r="AQ38" i="3"/>
  <c r="AP38" i="3"/>
  <c r="AA41" i="3"/>
  <c r="AB41" i="3"/>
  <c r="BB41" i="3" s="1"/>
  <c r="BD41" i="3" s="1"/>
  <c r="W2" i="3"/>
  <c r="AU2" i="3"/>
  <c r="AF3" i="3"/>
  <c r="AV5" i="3"/>
  <c r="AZ5" i="3"/>
  <c r="AA7" i="3"/>
  <c r="AU7" i="3"/>
  <c r="AK8" i="3"/>
  <c r="AU11" i="3"/>
  <c r="L27" i="3"/>
  <c r="AP28" i="3"/>
  <c r="AQ28" i="3"/>
  <c r="M31" i="3"/>
  <c r="L31" i="3"/>
  <c r="AQ35" i="3"/>
  <c r="AP35" i="3"/>
  <c r="AK37" i="3"/>
  <c r="AF38" i="3"/>
  <c r="AG38" i="3"/>
  <c r="Q41" i="3"/>
  <c r="R42" i="3"/>
  <c r="Q42" i="3"/>
  <c r="AZ42" i="3"/>
  <c r="L44" i="3"/>
  <c r="L3" i="3"/>
  <c r="AK4" i="3"/>
  <c r="AB5" i="3"/>
  <c r="AP5" i="3"/>
  <c r="AB6" i="3"/>
  <c r="AV6" i="3"/>
  <c r="R7" i="3"/>
  <c r="AL7" i="3"/>
  <c r="R8" i="3"/>
  <c r="V9" i="3"/>
  <c r="AA11" i="3"/>
  <c r="AK11" i="3"/>
  <c r="AL11" i="3"/>
  <c r="W12" i="3"/>
  <c r="BB12" i="3" s="1"/>
  <c r="BD12" i="3" s="1"/>
  <c r="AU13" i="3"/>
  <c r="AV13" i="3"/>
  <c r="W14" i="3"/>
  <c r="V14" i="3"/>
  <c r="AZ14" i="3"/>
  <c r="AL18" i="3"/>
  <c r="AK18" i="3"/>
  <c r="AZ19" i="3"/>
  <c r="AU20" i="3"/>
  <c r="AV21" i="3"/>
  <c r="AP23" i="3"/>
  <c r="W24" i="3"/>
  <c r="V24" i="3"/>
  <c r="AA28" i="3"/>
  <c r="AZ32" i="3"/>
  <c r="M33" i="3"/>
  <c r="L33" i="3"/>
  <c r="AL34" i="3"/>
  <c r="AK34" i="3"/>
  <c r="AF35" i="3"/>
  <c r="AK36" i="3"/>
  <c r="AA37" i="3"/>
  <c r="AB37" i="3"/>
  <c r="AZ38" i="3"/>
  <c r="AB39" i="3"/>
  <c r="AA39" i="3"/>
  <c r="AG40" i="3"/>
  <c r="AF40" i="3"/>
  <c r="AQ42" i="3"/>
  <c r="AP42" i="3"/>
  <c r="AL45" i="3"/>
  <c r="AK45" i="3"/>
  <c r="Q46" i="3"/>
  <c r="AZ46" i="3"/>
  <c r="AQ14" i="3"/>
  <c r="AP14" i="3"/>
  <c r="AG25" i="3"/>
  <c r="AF25" i="3"/>
  <c r="W31" i="3"/>
  <c r="V31" i="3"/>
  <c r="AA44" i="3"/>
  <c r="AB44" i="3"/>
  <c r="AQ4" i="3"/>
  <c r="AA10" i="3"/>
  <c r="AQ12" i="3"/>
  <c r="AZ13" i="3"/>
  <c r="M15" i="3"/>
  <c r="L15" i="3"/>
  <c r="AL15" i="3"/>
  <c r="AG16" i="3"/>
  <c r="AF16" i="3"/>
  <c r="V17" i="3"/>
  <c r="R19" i="3"/>
  <c r="AB20" i="3"/>
  <c r="AA20" i="3"/>
  <c r="AZ20" i="3"/>
  <c r="L22" i="3"/>
  <c r="M22" i="3"/>
  <c r="BB22" i="3" s="1"/>
  <c r="BD22" i="3" s="1"/>
  <c r="AQ24" i="3"/>
  <c r="Q35" i="3"/>
  <c r="R35" i="3"/>
  <c r="AU36" i="3"/>
  <c r="AK46" i="3"/>
  <c r="AB3" i="3"/>
  <c r="V6" i="3"/>
  <c r="AP6" i="3"/>
  <c r="AZ6" i="3"/>
  <c r="L8" i="3"/>
  <c r="AF8" i="3"/>
  <c r="AG10" i="3"/>
  <c r="Q11" i="3"/>
  <c r="R11" i="3"/>
  <c r="AK12" i="3"/>
  <c r="R15" i="3"/>
  <c r="AG15" i="3"/>
  <c r="AF15" i="3"/>
  <c r="M16" i="3"/>
  <c r="L16" i="3"/>
  <c r="L18" i="3"/>
  <c r="M18" i="3"/>
  <c r="BB18" i="3" s="1"/>
  <c r="BD18" i="3" s="1"/>
  <c r="R23" i="3"/>
  <c r="AK30" i="3"/>
  <c r="AP32" i="3"/>
  <c r="AQ32" i="3"/>
  <c r="L34" i="3"/>
  <c r="M34" i="3"/>
  <c r="Q37" i="3"/>
  <c r="R38" i="3"/>
  <c r="Q38" i="3"/>
  <c r="Q39" i="3"/>
  <c r="R39" i="3"/>
  <c r="AQ39" i="3"/>
  <c r="AP39" i="3"/>
  <c r="AU40" i="3"/>
  <c r="AK41" i="3"/>
  <c r="AF42" i="3"/>
  <c r="AG42" i="3"/>
  <c r="AB43" i="3"/>
  <c r="AA43" i="3"/>
  <c r="AU44" i="3"/>
  <c r="AB13" i="3"/>
  <c r="M14" i="3"/>
  <c r="AG14" i="3"/>
  <c r="W16" i="3"/>
  <c r="AQ16" i="3"/>
  <c r="AV17" i="3"/>
  <c r="L19" i="3"/>
  <c r="AQ20" i="3"/>
  <c r="L23" i="3"/>
  <c r="AV25" i="3"/>
  <c r="R27" i="3"/>
  <c r="BB27" i="3" s="1"/>
  <c r="BD27" i="3" s="1"/>
  <c r="V28" i="3"/>
  <c r="V32" i="3"/>
  <c r="AZ35" i="3"/>
  <c r="W36" i="3"/>
  <c r="L37" i="3"/>
  <c r="AZ39" i="3"/>
  <c r="W40" i="3"/>
  <c r="BB40" i="3" s="1"/>
  <c r="BD40" i="3" s="1"/>
  <c r="L41" i="3"/>
  <c r="Q43" i="3"/>
  <c r="M5" i="3"/>
  <c r="BB5" i="3" s="1"/>
  <c r="BD5" i="3" s="1"/>
  <c r="L5" i="3"/>
  <c r="M9" i="3"/>
  <c r="BB9" i="3" s="1"/>
  <c r="BD9" i="3" s="1"/>
  <c r="L9" i="3"/>
  <c r="V3" i="3"/>
  <c r="L4" i="3"/>
  <c r="AA25" i="3"/>
  <c r="AF26" i="3"/>
  <c r="M28" i="3"/>
  <c r="BB28" i="3" s="1"/>
  <c r="BD28" i="3" s="1"/>
  <c r="AA29" i="3"/>
  <c r="AF30" i="3"/>
  <c r="M32" i="3"/>
  <c r="BB32" i="3" s="1"/>
  <c r="BD32" i="3" s="1"/>
  <c r="AA33" i="3"/>
  <c r="AF34" i="3"/>
  <c r="AB36" i="3"/>
  <c r="AA36" i="3"/>
  <c r="AB40" i="3"/>
  <c r="AA40" i="3"/>
  <c r="AK44" i="3"/>
  <c r="AL44" i="3"/>
  <c r="AF45" i="3"/>
  <c r="AG45" i="3"/>
  <c r="AZ45" i="3"/>
  <c r="AA46" i="3"/>
  <c r="AB46" i="3"/>
  <c r="AV46" i="3"/>
  <c r="AU46" i="3"/>
  <c r="AG5" i="3"/>
  <c r="AF5" i="3"/>
  <c r="AG9" i="3"/>
  <c r="AF9" i="3"/>
  <c r="AQ43" i="3"/>
  <c r="AP43" i="3"/>
  <c r="Q2" i="3"/>
  <c r="AU3" i="3"/>
  <c r="AA4" i="3"/>
  <c r="AF18" i="3"/>
  <c r="AV4" i="3"/>
  <c r="AU4" i="3"/>
  <c r="AK5" i="3"/>
  <c r="M13" i="3"/>
  <c r="BB13" i="3" s="1"/>
  <c r="BD13" i="3" s="1"/>
  <c r="L13" i="3"/>
  <c r="AG13" i="3"/>
  <c r="AF13" i="3"/>
  <c r="M17" i="3"/>
  <c r="BB17" i="3" s="1"/>
  <c r="BD17" i="3" s="1"/>
  <c r="L17" i="3"/>
  <c r="AG17" i="3"/>
  <c r="AF17" i="3"/>
  <c r="AP36" i="3"/>
  <c r="AQ36" i="3"/>
  <c r="AP40" i="3"/>
  <c r="AQ40" i="3"/>
  <c r="AG2" i="3"/>
  <c r="AP2" i="3"/>
  <c r="AL3" i="3"/>
  <c r="AZ3" i="3"/>
  <c r="M20" i="3"/>
  <c r="AA21" i="3"/>
  <c r="AF22" i="3"/>
  <c r="M24" i="3"/>
  <c r="BB24" i="3" s="1"/>
  <c r="BD24" i="3" s="1"/>
  <c r="Q5" i="3"/>
  <c r="R6" i="3"/>
  <c r="Q6" i="3"/>
  <c r="AL6" i="3"/>
  <c r="AK6" i="3"/>
  <c r="W7" i="3"/>
  <c r="V7" i="3"/>
  <c r="AQ7" i="3"/>
  <c r="AP7" i="3"/>
  <c r="AZ7" i="3"/>
  <c r="AB8" i="3"/>
  <c r="AA8" i="3"/>
  <c r="AV8" i="3"/>
  <c r="AU8" i="3"/>
  <c r="Q9" i="3"/>
  <c r="AK9" i="3"/>
  <c r="R10" i="3"/>
  <c r="Q10" i="3"/>
  <c r="AL10" i="3"/>
  <c r="AK10" i="3"/>
  <c r="W11" i="3"/>
  <c r="V11" i="3"/>
  <c r="AQ11" i="3"/>
  <c r="AP11" i="3"/>
  <c r="AZ11" i="3"/>
  <c r="AB12" i="3"/>
  <c r="AA12" i="3"/>
  <c r="AV12" i="3"/>
  <c r="AU12" i="3"/>
  <c r="Q13" i="3"/>
  <c r="AK13" i="3"/>
  <c r="R14" i="3"/>
  <c r="BB14" i="3" s="1"/>
  <c r="BD14" i="3" s="1"/>
  <c r="Q14" i="3"/>
  <c r="AL14" i="3"/>
  <c r="AK14" i="3"/>
  <c r="W15" i="3"/>
  <c r="V15" i="3"/>
  <c r="AQ15" i="3"/>
  <c r="AP15" i="3"/>
  <c r="AZ15" i="3"/>
  <c r="AB16" i="3"/>
  <c r="AA16" i="3"/>
  <c r="AV16" i="3"/>
  <c r="AU16" i="3"/>
  <c r="Q17" i="3"/>
  <c r="AK17" i="3"/>
  <c r="W18" i="3"/>
  <c r="AK19" i="3"/>
  <c r="AK20" i="3"/>
  <c r="R21" i="3"/>
  <c r="W22" i="3"/>
  <c r="AK23" i="3"/>
  <c r="AK24" i="3"/>
  <c r="R25" i="3"/>
  <c r="W26" i="3"/>
  <c r="AK27" i="3"/>
  <c r="AK28" i="3"/>
  <c r="R29" i="3"/>
  <c r="BB29" i="3" s="1"/>
  <c r="BD29" i="3" s="1"/>
  <c r="W30" i="3"/>
  <c r="AK31" i="3"/>
  <c r="AK32" i="3"/>
  <c r="R33" i="3"/>
  <c r="W34" i="3"/>
  <c r="Q44" i="3"/>
  <c r="R44" i="3"/>
  <c r="M46" i="3"/>
  <c r="L46" i="3"/>
  <c r="AG46" i="3"/>
  <c r="AF46" i="3"/>
  <c r="AK2" i="3"/>
  <c r="R3" i="3"/>
  <c r="AP3" i="3"/>
  <c r="W4" i="3"/>
  <c r="AU18" i="3"/>
  <c r="AB19" i="3"/>
  <c r="AP21" i="3"/>
  <c r="AU22" i="3"/>
  <c r="AB23" i="3"/>
  <c r="AP25" i="3"/>
  <c r="AU26" i="3"/>
  <c r="AB27" i="3"/>
  <c r="AP29" i="3"/>
  <c r="AU30" i="3"/>
  <c r="AB31" i="3"/>
  <c r="AP33" i="3"/>
  <c r="AU34" i="3"/>
  <c r="AL43" i="3"/>
  <c r="AK43" i="3"/>
  <c r="AZ43" i="3"/>
  <c r="L45" i="3"/>
  <c r="AV45" i="3"/>
  <c r="AU45" i="3"/>
  <c r="AZ17" i="3"/>
  <c r="AA18" i="3"/>
  <c r="AQ18" i="3"/>
  <c r="AF19" i="3"/>
  <c r="AV19" i="3"/>
  <c r="Q20" i="3"/>
  <c r="AG20" i="3"/>
  <c r="V21" i="3"/>
  <c r="AL21" i="3"/>
  <c r="AZ21" i="3"/>
  <c r="AA22" i="3"/>
  <c r="AQ22" i="3"/>
  <c r="AF23" i="3"/>
  <c r="AV23" i="3"/>
  <c r="Q24" i="3"/>
  <c r="AG24" i="3"/>
  <c r="V25" i="3"/>
  <c r="AL25" i="3"/>
  <c r="AZ25" i="3"/>
  <c r="AA26" i="3"/>
  <c r="AQ26" i="3"/>
  <c r="AF27" i="3"/>
  <c r="AV27" i="3"/>
  <c r="Q28" i="3"/>
  <c r="AG28" i="3"/>
  <c r="V29" i="3"/>
  <c r="AL29" i="3"/>
  <c r="AZ29" i="3"/>
  <c r="AA30" i="3"/>
  <c r="AQ30" i="3"/>
  <c r="AF31" i="3"/>
  <c r="AV31" i="3"/>
  <c r="Q32" i="3"/>
  <c r="AG32" i="3"/>
  <c r="V33" i="3"/>
  <c r="AL33" i="3"/>
  <c r="AZ33" i="3"/>
  <c r="AA34" i="3"/>
  <c r="AQ34" i="3"/>
  <c r="L36" i="3"/>
  <c r="AF37" i="3"/>
  <c r="AV37" i="3"/>
  <c r="L40" i="3"/>
  <c r="AF41" i="3"/>
  <c r="AV41" i="3"/>
  <c r="L43" i="3"/>
  <c r="M43" i="3"/>
  <c r="BB43" i="3" s="1"/>
  <c r="BD43" i="3" s="1"/>
  <c r="W43" i="3"/>
  <c r="AF43" i="3"/>
  <c r="AG43" i="3"/>
  <c r="V44" i="3"/>
  <c r="AQ44" i="3"/>
  <c r="AP44" i="3"/>
  <c r="AZ44" i="3"/>
  <c r="AA45" i="3"/>
  <c r="V45" i="3"/>
  <c r="W45" i="3"/>
  <c r="BB45" i="3" s="1"/>
  <c r="BD45" i="3" s="1"/>
  <c r="BB39" i="3" l="1"/>
  <c r="BD39" i="3" s="1"/>
  <c r="BB42" i="3"/>
  <c r="BD42" i="3" s="1"/>
  <c r="BB33" i="3"/>
  <c r="BD33" i="3" s="1"/>
  <c r="BB25" i="3"/>
  <c r="BD25" i="3" s="1"/>
  <c r="BB10" i="3"/>
  <c r="BD10" i="3" s="1"/>
  <c r="BB7" i="3"/>
  <c r="BD7" i="3" s="1"/>
  <c r="BB3" i="3"/>
  <c r="BD3" i="3" s="1"/>
  <c r="BB36" i="3"/>
  <c r="BD36" i="3" s="1"/>
  <c r="BB8" i="3"/>
  <c r="BD8" i="3" s="1"/>
  <c r="BB37" i="3"/>
  <c r="BD37" i="3" s="1"/>
  <c r="BB44" i="3"/>
  <c r="BD44" i="3" s="1"/>
  <c r="BB20" i="3"/>
  <c r="BD20" i="3" s="1"/>
  <c r="BB23" i="3"/>
  <c r="BD23" i="3" s="1"/>
  <c r="BB35" i="3"/>
  <c r="BD35" i="3" s="1"/>
  <c r="BB19" i="3"/>
  <c r="BD19" i="3" s="1"/>
  <c r="BB2" i="3"/>
  <c r="BB21" i="3"/>
  <c r="BD21" i="3" s="1"/>
  <c r="BB6" i="3"/>
  <c r="BD6" i="3" s="1"/>
  <c r="BB46" i="3"/>
  <c r="BD46" i="3" s="1"/>
  <c r="BB16" i="3"/>
  <c r="BD16" i="3" s="1"/>
  <c r="BB38" i="3"/>
  <c r="BD38" i="3" s="1"/>
  <c r="BB11" i="3"/>
  <c r="BD11" i="3" s="1"/>
  <c r="BB31" i="3"/>
  <c r="BD31" i="3" s="1"/>
  <c r="BB4" i="3"/>
  <c r="BD4" i="3" s="1"/>
  <c r="BB15" i="3"/>
  <c r="BD15" i="3" s="1"/>
  <c r="BB34" i="3"/>
  <c r="BD34" i="3" s="1"/>
  <c r="BB30" i="3"/>
  <c r="BD30" i="3" s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3" i="1"/>
  <c r="BE2" i="3" l="1"/>
  <c r="BF2" i="3" s="1"/>
  <c r="BD2" i="3"/>
  <c r="BD2" i="5"/>
  <c r="BE2" i="5" s="1"/>
  <c r="BI55" i="1"/>
  <c r="BK55" i="1" s="1"/>
  <c r="BI54" i="1"/>
  <c r="BJ54" i="1" s="1"/>
  <c r="BI53" i="1"/>
  <c r="BK53" i="1" s="1"/>
  <c r="BI52" i="1"/>
  <c r="BK52" i="1" s="1"/>
  <c r="BI51" i="1"/>
  <c r="BK51" i="1" s="1"/>
  <c r="BI50" i="1"/>
  <c r="BJ50" i="1" s="1"/>
  <c r="BI49" i="1"/>
  <c r="BK49" i="1" s="1"/>
  <c r="BI48" i="1"/>
  <c r="BK48" i="1" s="1"/>
  <c r="BI47" i="1"/>
  <c r="BK47" i="1" s="1"/>
  <c r="BI46" i="1"/>
  <c r="BJ46" i="1" s="1"/>
  <c r="BI45" i="1"/>
  <c r="BK45" i="1" s="1"/>
  <c r="BI44" i="1"/>
  <c r="BK44" i="1" s="1"/>
  <c r="BI43" i="1"/>
  <c r="BK43" i="1" s="1"/>
  <c r="BI42" i="1"/>
  <c r="BJ42" i="1" s="1"/>
  <c r="BI41" i="1"/>
  <c r="BK41" i="1" s="1"/>
  <c r="BI40" i="1"/>
  <c r="BK40" i="1" s="1"/>
  <c r="BI39" i="1"/>
  <c r="BK39" i="1" s="1"/>
  <c r="BI38" i="1"/>
  <c r="BJ38" i="1" s="1"/>
  <c r="BI37" i="1"/>
  <c r="BK37" i="1" s="1"/>
  <c r="BI36" i="1"/>
  <c r="BK36" i="1" s="1"/>
  <c r="BI35" i="1"/>
  <c r="BK35" i="1" s="1"/>
  <c r="BI34" i="1"/>
  <c r="BJ34" i="1" s="1"/>
  <c r="BI33" i="1"/>
  <c r="BK33" i="1" s="1"/>
  <c r="BI32" i="1"/>
  <c r="BK32" i="1" s="1"/>
  <c r="BI31" i="1"/>
  <c r="BK31" i="1" s="1"/>
  <c r="BI30" i="1"/>
  <c r="BJ30" i="1" s="1"/>
  <c r="BI29" i="1"/>
  <c r="BK29" i="1" s="1"/>
  <c r="BI28" i="1"/>
  <c r="BK28" i="1" s="1"/>
  <c r="BI27" i="1"/>
  <c r="BK27" i="1" s="1"/>
  <c r="BI26" i="1"/>
  <c r="BJ26" i="1" s="1"/>
  <c r="BI25" i="1"/>
  <c r="BK25" i="1" s="1"/>
  <c r="BI24" i="1"/>
  <c r="BK24" i="1" s="1"/>
  <c r="BI23" i="1"/>
  <c r="BK23" i="1" s="1"/>
  <c r="BI22" i="1"/>
  <c r="BJ22" i="1" s="1"/>
  <c r="BI21" i="1"/>
  <c r="BK21" i="1" s="1"/>
  <c r="BI20" i="1"/>
  <c r="BK20" i="1" s="1"/>
  <c r="BI19" i="1"/>
  <c r="BK19" i="1" s="1"/>
  <c r="BI18" i="1"/>
  <c r="BJ18" i="1" s="1"/>
  <c r="BI17" i="1"/>
  <c r="BK17" i="1" s="1"/>
  <c r="BI16" i="1"/>
  <c r="BK16" i="1" s="1"/>
  <c r="BI15" i="1"/>
  <c r="BK15" i="1" s="1"/>
  <c r="BI14" i="1"/>
  <c r="BJ14" i="1" s="1"/>
  <c r="BI13" i="1"/>
  <c r="BK13" i="1" s="1"/>
  <c r="BI12" i="1"/>
  <c r="BK12" i="1" s="1"/>
  <c r="BI11" i="1"/>
  <c r="BK11" i="1" s="1"/>
  <c r="BI10" i="1"/>
  <c r="BJ10" i="1" s="1"/>
  <c r="BI9" i="1"/>
  <c r="BK9" i="1" s="1"/>
  <c r="BI8" i="1"/>
  <c r="BK8" i="1" s="1"/>
  <c r="BI7" i="1"/>
  <c r="BJ7" i="1" s="1"/>
  <c r="BI6" i="1"/>
  <c r="BJ6" i="1" s="1"/>
  <c r="BI5" i="1"/>
  <c r="BK5" i="1" s="1"/>
  <c r="BI4" i="1"/>
  <c r="BK4" i="1" s="1"/>
  <c r="BI3" i="1"/>
  <c r="BJ3" i="1" s="1"/>
  <c r="BD55" i="1"/>
  <c r="BF55" i="1" s="1"/>
  <c r="BD54" i="1"/>
  <c r="BE54" i="1" s="1"/>
  <c r="BD53" i="1"/>
  <c r="BF53" i="1" s="1"/>
  <c r="BD52" i="1"/>
  <c r="BF52" i="1" s="1"/>
  <c r="BD51" i="1"/>
  <c r="BF51" i="1" s="1"/>
  <c r="BD50" i="1"/>
  <c r="BE50" i="1" s="1"/>
  <c r="BD49" i="1"/>
  <c r="BE49" i="1" s="1"/>
  <c r="BD48" i="1"/>
  <c r="BF48" i="1" s="1"/>
  <c r="BD47" i="1"/>
  <c r="BF47" i="1" s="1"/>
  <c r="BD46" i="1"/>
  <c r="BE46" i="1" s="1"/>
  <c r="BD45" i="1"/>
  <c r="BF45" i="1" s="1"/>
  <c r="BD44" i="1"/>
  <c r="BE44" i="1" s="1"/>
  <c r="BD43" i="1"/>
  <c r="BF43" i="1" s="1"/>
  <c r="BD42" i="1"/>
  <c r="BE42" i="1" s="1"/>
  <c r="BD41" i="1"/>
  <c r="BF41" i="1" s="1"/>
  <c r="BD40" i="1"/>
  <c r="BF40" i="1" s="1"/>
  <c r="BD39" i="1"/>
  <c r="BF39" i="1" s="1"/>
  <c r="BD38" i="1"/>
  <c r="BE38" i="1" s="1"/>
  <c r="BD37" i="1"/>
  <c r="BE37" i="1" s="1"/>
  <c r="BD36" i="1"/>
  <c r="BF36" i="1" s="1"/>
  <c r="BD35" i="1"/>
  <c r="BF35" i="1" s="1"/>
  <c r="BD34" i="1"/>
  <c r="BE34" i="1" s="1"/>
  <c r="BF33" i="1"/>
  <c r="BD33" i="1"/>
  <c r="BE33" i="1" s="1"/>
  <c r="BD32" i="1"/>
  <c r="BE32" i="1" s="1"/>
  <c r="BD31" i="1"/>
  <c r="BF31" i="1" s="1"/>
  <c r="BD30" i="1"/>
  <c r="BE30" i="1" s="1"/>
  <c r="BD29" i="1"/>
  <c r="BE29" i="1" s="1"/>
  <c r="BD28" i="1"/>
  <c r="BE28" i="1" s="1"/>
  <c r="BD27" i="1"/>
  <c r="BF27" i="1" s="1"/>
  <c r="BD26" i="1"/>
  <c r="BE26" i="1" s="1"/>
  <c r="BD25" i="1"/>
  <c r="BF25" i="1" s="1"/>
  <c r="BD24" i="1"/>
  <c r="BF24" i="1" s="1"/>
  <c r="BD23" i="1"/>
  <c r="BF23" i="1" s="1"/>
  <c r="BD22" i="1"/>
  <c r="BE22" i="1" s="1"/>
  <c r="BD21" i="1"/>
  <c r="BF21" i="1" s="1"/>
  <c r="BD20" i="1"/>
  <c r="BF20" i="1" s="1"/>
  <c r="BD19" i="1"/>
  <c r="BF19" i="1" s="1"/>
  <c r="BD18" i="1"/>
  <c r="BE18" i="1" s="1"/>
  <c r="BD17" i="1"/>
  <c r="BE17" i="1" s="1"/>
  <c r="BD16" i="1"/>
  <c r="BF16" i="1" s="1"/>
  <c r="BD15" i="1"/>
  <c r="BF15" i="1" s="1"/>
  <c r="BD14" i="1"/>
  <c r="BE14" i="1" s="1"/>
  <c r="BD13" i="1"/>
  <c r="BE13" i="1" s="1"/>
  <c r="BD12" i="1"/>
  <c r="BF12" i="1" s="1"/>
  <c r="BD11" i="1"/>
  <c r="BF11" i="1" s="1"/>
  <c r="BD10" i="1"/>
  <c r="BE10" i="1" s="1"/>
  <c r="BD9" i="1"/>
  <c r="BF9" i="1" s="1"/>
  <c r="BD8" i="1"/>
  <c r="BE8" i="1" s="1"/>
  <c r="BD7" i="1"/>
  <c r="BF7" i="1" s="1"/>
  <c r="BD6" i="1"/>
  <c r="BE6" i="1" s="1"/>
  <c r="BD5" i="1"/>
  <c r="BF5" i="1" s="1"/>
  <c r="BD4" i="1"/>
  <c r="BF4" i="1" s="1"/>
  <c r="BD3" i="1"/>
  <c r="BF3" i="1" s="1"/>
  <c r="AY55" i="1"/>
  <c r="BA55" i="1" s="1"/>
  <c r="AY54" i="1"/>
  <c r="AZ54" i="1" s="1"/>
  <c r="AY53" i="1"/>
  <c r="AZ53" i="1" s="1"/>
  <c r="AY52" i="1"/>
  <c r="BA52" i="1" s="1"/>
  <c r="AY51" i="1"/>
  <c r="BA51" i="1" s="1"/>
  <c r="AY50" i="1"/>
  <c r="AZ50" i="1" s="1"/>
  <c r="AY49" i="1"/>
  <c r="AZ49" i="1" s="1"/>
  <c r="AY48" i="1"/>
  <c r="BA48" i="1" s="1"/>
  <c r="AY47" i="1"/>
  <c r="BA47" i="1" s="1"/>
  <c r="AY46" i="1"/>
  <c r="AZ46" i="1" s="1"/>
  <c r="AY45" i="1"/>
  <c r="BA45" i="1" s="1"/>
  <c r="AY44" i="1"/>
  <c r="BA44" i="1" s="1"/>
  <c r="AY43" i="1"/>
  <c r="BA43" i="1" s="1"/>
  <c r="AY42" i="1"/>
  <c r="AZ42" i="1" s="1"/>
  <c r="AY41" i="1"/>
  <c r="BA41" i="1" s="1"/>
  <c r="AY40" i="1"/>
  <c r="BA40" i="1" s="1"/>
  <c r="AY39" i="1"/>
  <c r="BA39" i="1" s="1"/>
  <c r="AY38" i="1"/>
  <c r="AZ38" i="1" s="1"/>
  <c r="AY37" i="1"/>
  <c r="AZ37" i="1" s="1"/>
  <c r="AY36" i="1"/>
  <c r="BA36" i="1" s="1"/>
  <c r="AY35" i="1"/>
  <c r="BA35" i="1" s="1"/>
  <c r="AY34" i="1"/>
  <c r="AZ34" i="1" s="1"/>
  <c r="AY33" i="1"/>
  <c r="BA33" i="1" s="1"/>
  <c r="AY32" i="1"/>
  <c r="BA32" i="1" s="1"/>
  <c r="AY31" i="1"/>
  <c r="BA31" i="1" s="1"/>
  <c r="AY30" i="1"/>
  <c r="AZ30" i="1" s="1"/>
  <c r="AY29" i="1"/>
  <c r="BA29" i="1" s="1"/>
  <c r="AY28" i="1"/>
  <c r="BA28" i="1" s="1"/>
  <c r="AY27" i="1"/>
  <c r="BA27" i="1" s="1"/>
  <c r="AY26" i="1"/>
  <c r="AZ26" i="1" s="1"/>
  <c r="AY25" i="1"/>
  <c r="BA25" i="1" s="1"/>
  <c r="AY24" i="1"/>
  <c r="BA24" i="1" s="1"/>
  <c r="AY23" i="1"/>
  <c r="BA23" i="1" s="1"/>
  <c r="AY22" i="1"/>
  <c r="AZ22" i="1" s="1"/>
  <c r="AY21" i="1"/>
  <c r="AZ21" i="1" s="1"/>
  <c r="AY20" i="1"/>
  <c r="BA20" i="1" s="1"/>
  <c r="AY19" i="1"/>
  <c r="BA19" i="1" s="1"/>
  <c r="AY18" i="1"/>
  <c r="AZ18" i="1" s="1"/>
  <c r="AY17" i="1"/>
  <c r="AZ17" i="1" s="1"/>
  <c r="AY16" i="1"/>
  <c r="BA16" i="1" s="1"/>
  <c r="AY15" i="1"/>
  <c r="BA15" i="1" s="1"/>
  <c r="AY14" i="1"/>
  <c r="AZ14" i="1" s="1"/>
  <c r="AY13" i="1"/>
  <c r="BA13" i="1" s="1"/>
  <c r="AY12" i="1"/>
  <c r="BA12" i="1" s="1"/>
  <c r="AY11" i="1"/>
  <c r="BA11" i="1" s="1"/>
  <c r="AY10" i="1"/>
  <c r="AZ10" i="1" s="1"/>
  <c r="AY9" i="1"/>
  <c r="BA9" i="1" s="1"/>
  <c r="AY8" i="1"/>
  <c r="BA8" i="1" s="1"/>
  <c r="AY7" i="1"/>
  <c r="BA7" i="1" s="1"/>
  <c r="AY6" i="1"/>
  <c r="AZ6" i="1" s="1"/>
  <c r="AY5" i="1"/>
  <c r="AZ5" i="1" s="1"/>
  <c r="AY4" i="1"/>
  <c r="BA4" i="1" s="1"/>
  <c r="AY3" i="1"/>
  <c r="BA3" i="1" s="1"/>
  <c r="AT55" i="1"/>
  <c r="AV55" i="1" s="1"/>
  <c r="AT54" i="1"/>
  <c r="AU54" i="1" s="1"/>
  <c r="AT53" i="1"/>
  <c r="AV53" i="1" s="1"/>
  <c r="AT52" i="1"/>
  <c r="AU52" i="1" s="1"/>
  <c r="AT51" i="1"/>
  <c r="AV51" i="1" s="1"/>
  <c r="AT50" i="1"/>
  <c r="AU50" i="1" s="1"/>
  <c r="AT49" i="1"/>
  <c r="AV49" i="1" s="1"/>
  <c r="AT48" i="1"/>
  <c r="AU48" i="1" s="1"/>
  <c r="AT47" i="1"/>
  <c r="AV47" i="1" s="1"/>
  <c r="AT46" i="1"/>
  <c r="AU46" i="1" s="1"/>
  <c r="AT45" i="1"/>
  <c r="AV45" i="1" s="1"/>
  <c r="AT44" i="1"/>
  <c r="AU44" i="1" s="1"/>
  <c r="AT43" i="1"/>
  <c r="AV43" i="1" s="1"/>
  <c r="AT42" i="1"/>
  <c r="AU42" i="1" s="1"/>
  <c r="AT41" i="1"/>
  <c r="AV41" i="1" s="1"/>
  <c r="AT40" i="1"/>
  <c r="AU40" i="1" s="1"/>
  <c r="AT39" i="1"/>
  <c r="AV39" i="1" s="1"/>
  <c r="AT38" i="1"/>
  <c r="AU38" i="1" s="1"/>
  <c r="AT37" i="1"/>
  <c r="AU37" i="1" s="1"/>
  <c r="AT36" i="1"/>
  <c r="AU36" i="1" s="1"/>
  <c r="AT35" i="1"/>
  <c r="AV35" i="1" s="1"/>
  <c r="AT34" i="1"/>
  <c r="AU34" i="1" s="1"/>
  <c r="AT33" i="1"/>
  <c r="AV33" i="1" s="1"/>
  <c r="AT32" i="1"/>
  <c r="AU32" i="1" s="1"/>
  <c r="AT31" i="1"/>
  <c r="AV31" i="1" s="1"/>
  <c r="AT30" i="1"/>
  <c r="AU30" i="1" s="1"/>
  <c r="AT29" i="1"/>
  <c r="AV29" i="1" s="1"/>
  <c r="AT28" i="1"/>
  <c r="AU28" i="1" s="1"/>
  <c r="AT27" i="1"/>
  <c r="AV27" i="1" s="1"/>
  <c r="AT26" i="1"/>
  <c r="AU26" i="1" s="1"/>
  <c r="AT25" i="1"/>
  <c r="AV25" i="1" s="1"/>
  <c r="AT24" i="1"/>
  <c r="AU24" i="1" s="1"/>
  <c r="AT23" i="1"/>
  <c r="AV23" i="1" s="1"/>
  <c r="AT22" i="1"/>
  <c r="AU22" i="1" s="1"/>
  <c r="AT21" i="1"/>
  <c r="AU21" i="1" s="1"/>
  <c r="AT20" i="1"/>
  <c r="AU20" i="1" s="1"/>
  <c r="AT19" i="1"/>
  <c r="AV19" i="1" s="1"/>
  <c r="AT18" i="1"/>
  <c r="AU18" i="1" s="1"/>
  <c r="AT17" i="1"/>
  <c r="AV17" i="1" s="1"/>
  <c r="AT16" i="1"/>
  <c r="AU16" i="1" s="1"/>
  <c r="AT15" i="1"/>
  <c r="AV15" i="1" s="1"/>
  <c r="AT14" i="1"/>
  <c r="AU14" i="1" s="1"/>
  <c r="AT13" i="1"/>
  <c r="AV13" i="1" s="1"/>
  <c r="AT12" i="1"/>
  <c r="AV12" i="1" s="1"/>
  <c r="AT11" i="1"/>
  <c r="AV11" i="1" s="1"/>
  <c r="AT10" i="1"/>
  <c r="AU10" i="1" s="1"/>
  <c r="AT9" i="1"/>
  <c r="AV9" i="1" s="1"/>
  <c r="AT8" i="1"/>
  <c r="AV8" i="1" s="1"/>
  <c r="AT7" i="1"/>
  <c r="AV7" i="1" s="1"/>
  <c r="AT6" i="1"/>
  <c r="AU6" i="1" s="1"/>
  <c r="AT5" i="1"/>
  <c r="AU5" i="1" s="1"/>
  <c r="AT4" i="1"/>
  <c r="AV4" i="1" s="1"/>
  <c r="AT3" i="1"/>
  <c r="AV3" i="1" s="1"/>
  <c r="AO55" i="1"/>
  <c r="AQ55" i="1" s="1"/>
  <c r="AO54" i="1"/>
  <c r="AP54" i="1" s="1"/>
  <c r="AO53" i="1"/>
  <c r="AQ53" i="1" s="1"/>
  <c r="AO52" i="1"/>
  <c r="AQ52" i="1" s="1"/>
  <c r="AO51" i="1"/>
  <c r="AQ51" i="1" s="1"/>
  <c r="AO50" i="1"/>
  <c r="AP50" i="1" s="1"/>
  <c r="AO49" i="1"/>
  <c r="AP49" i="1" s="1"/>
  <c r="AO48" i="1"/>
  <c r="AQ48" i="1" s="1"/>
  <c r="AO47" i="1"/>
  <c r="AQ47" i="1" s="1"/>
  <c r="AO46" i="1"/>
  <c r="AP46" i="1" s="1"/>
  <c r="AO45" i="1"/>
  <c r="AQ45" i="1" s="1"/>
  <c r="AO44" i="1"/>
  <c r="AQ44" i="1" s="1"/>
  <c r="AO43" i="1"/>
  <c r="AQ43" i="1" s="1"/>
  <c r="AO42" i="1"/>
  <c r="AP42" i="1" s="1"/>
  <c r="AO41" i="1"/>
  <c r="AQ41" i="1" s="1"/>
  <c r="AO40" i="1"/>
  <c r="AQ40" i="1" s="1"/>
  <c r="AO39" i="1"/>
  <c r="AQ39" i="1" s="1"/>
  <c r="AO38" i="1"/>
  <c r="AP38" i="1" s="1"/>
  <c r="AO37" i="1"/>
  <c r="AQ37" i="1" s="1"/>
  <c r="AO36" i="1"/>
  <c r="AQ36" i="1" s="1"/>
  <c r="AO35" i="1"/>
  <c r="AQ35" i="1" s="1"/>
  <c r="AO34" i="1"/>
  <c r="AP34" i="1" s="1"/>
  <c r="AO33" i="1"/>
  <c r="AQ33" i="1" s="1"/>
  <c r="AO32" i="1"/>
  <c r="AQ32" i="1" s="1"/>
  <c r="AO31" i="1"/>
  <c r="AQ31" i="1" s="1"/>
  <c r="AO30" i="1"/>
  <c r="AP30" i="1" s="1"/>
  <c r="AO29" i="1"/>
  <c r="AQ29" i="1" s="1"/>
  <c r="AO28" i="1"/>
  <c r="AQ28" i="1" s="1"/>
  <c r="AO27" i="1"/>
  <c r="AQ27" i="1" s="1"/>
  <c r="AO26" i="1"/>
  <c r="AP26" i="1" s="1"/>
  <c r="AO25" i="1"/>
  <c r="AQ25" i="1" s="1"/>
  <c r="AO24" i="1"/>
  <c r="AQ24" i="1" s="1"/>
  <c r="AO23" i="1"/>
  <c r="AQ23" i="1" s="1"/>
  <c r="AO22" i="1"/>
  <c r="AP22" i="1" s="1"/>
  <c r="AO21" i="1"/>
  <c r="AQ21" i="1" s="1"/>
  <c r="AO20" i="1"/>
  <c r="AQ20" i="1" s="1"/>
  <c r="AO19" i="1"/>
  <c r="AQ19" i="1" s="1"/>
  <c r="AO18" i="1"/>
  <c r="AP18" i="1" s="1"/>
  <c r="AO17" i="1"/>
  <c r="AQ17" i="1" s="1"/>
  <c r="AO16" i="1"/>
  <c r="AQ16" i="1" s="1"/>
  <c r="AO15" i="1"/>
  <c r="AQ15" i="1" s="1"/>
  <c r="AO14" i="1"/>
  <c r="AP14" i="1" s="1"/>
  <c r="AO13" i="1"/>
  <c r="AQ13" i="1" s="1"/>
  <c r="AO12" i="1"/>
  <c r="AQ12" i="1" s="1"/>
  <c r="AO11" i="1"/>
  <c r="AQ11" i="1" s="1"/>
  <c r="AO10" i="1"/>
  <c r="AP10" i="1" s="1"/>
  <c r="AO9" i="1"/>
  <c r="AQ9" i="1" s="1"/>
  <c r="AO8" i="1"/>
  <c r="AQ8" i="1" s="1"/>
  <c r="AO7" i="1"/>
  <c r="AQ7" i="1" s="1"/>
  <c r="AO6" i="1"/>
  <c r="AP6" i="1" s="1"/>
  <c r="AO5" i="1"/>
  <c r="AQ5" i="1" s="1"/>
  <c r="AO4" i="1"/>
  <c r="AQ4" i="1" s="1"/>
  <c r="AO3" i="1"/>
  <c r="AQ3" i="1" s="1"/>
  <c r="AJ55" i="1"/>
  <c r="AL55" i="1" s="1"/>
  <c r="AJ54" i="1"/>
  <c r="AK54" i="1" s="1"/>
  <c r="AJ53" i="1"/>
  <c r="AL53" i="1" s="1"/>
  <c r="AJ52" i="1"/>
  <c r="AL52" i="1" s="1"/>
  <c r="AJ51" i="1"/>
  <c r="AL51" i="1" s="1"/>
  <c r="AJ50" i="1"/>
  <c r="AK50" i="1" s="1"/>
  <c r="AJ49" i="1"/>
  <c r="AL49" i="1" s="1"/>
  <c r="AJ48" i="1"/>
  <c r="AL48" i="1" s="1"/>
  <c r="AJ47" i="1"/>
  <c r="AL47" i="1" s="1"/>
  <c r="AJ46" i="1"/>
  <c r="AK46" i="1" s="1"/>
  <c r="AJ45" i="1"/>
  <c r="AL45" i="1" s="1"/>
  <c r="AJ44" i="1"/>
  <c r="AL44" i="1" s="1"/>
  <c r="AJ43" i="1"/>
  <c r="AL43" i="1" s="1"/>
  <c r="AJ42" i="1"/>
  <c r="AK42" i="1" s="1"/>
  <c r="AJ41" i="1"/>
  <c r="AL41" i="1" s="1"/>
  <c r="AJ40" i="1"/>
  <c r="AL40" i="1" s="1"/>
  <c r="AJ39" i="1"/>
  <c r="AL39" i="1" s="1"/>
  <c r="AJ38" i="1"/>
  <c r="AK38" i="1" s="1"/>
  <c r="AJ37" i="1"/>
  <c r="AL37" i="1" s="1"/>
  <c r="AJ36" i="1"/>
  <c r="AL36" i="1" s="1"/>
  <c r="AJ35" i="1"/>
  <c r="AL35" i="1" s="1"/>
  <c r="AJ34" i="1"/>
  <c r="AK34" i="1" s="1"/>
  <c r="AJ33" i="1"/>
  <c r="AL33" i="1" s="1"/>
  <c r="AJ32" i="1"/>
  <c r="AL32" i="1" s="1"/>
  <c r="AJ31" i="1"/>
  <c r="AL31" i="1" s="1"/>
  <c r="AJ30" i="1"/>
  <c r="AK30" i="1" s="1"/>
  <c r="AJ29" i="1"/>
  <c r="AL29" i="1" s="1"/>
  <c r="AJ28" i="1"/>
  <c r="AL28" i="1" s="1"/>
  <c r="AJ27" i="1"/>
  <c r="AL27" i="1" s="1"/>
  <c r="AJ26" i="1"/>
  <c r="AK26" i="1" s="1"/>
  <c r="AJ25" i="1"/>
  <c r="AK25" i="1" s="1"/>
  <c r="AJ24" i="1"/>
  <c r="AL24" i="1" s="1"/>
  <c r="AJ23" i="1"/>
  <c r="AL23" i="1" s="1"/>
  <c r="AJ22" i="1"/>
  <c r="AK22" i="1" s="1"/>
  <c r="AJ21" i="1"/>
  <c r="AL21" i="1" s="1"/>
  <c r="AJ20" i="1"/>
  <c r="AL20" i="1" s="1"/>
  <c r="AJ19" i="1"/>
  <c r="AL19" i="1" s="1"/>
  <c r="AJ18" i="1"/>
  <c r="AK18" i="1" s="1"/>
  <c r="AJ17" i="1"/>
  <c r="AL17" i="1" s="1"/>
  <c r="AJ16" i="1"/>
  <c r="AL16" i="1" s="1"/>
  <c r="AJ15" i="1"/>
  <c r="AL15" i="1" s="1"/>
  <c r="AJ14" i="1"/>
  <c r="AK14" i="1" s="1"/>
  <c r="AJ13" i="1"/>
  <c r="AL13" i="1" s="1"/>
  <c r="AJ12" i="1"/>
  <c r="AL12" i="1" s="1"/>
  <c r="AJ11" i="1"/>
  <c r="AL11" i="1" s="1"/>
  <c r="AJ10" i="1"/>
  <c r="AK10" i="1" s="1"/>
  <c r="AJ9" i="1"/>
  <c r="AL9" i="1" s="1"/>
  <c r="AJ8" i="1"/>
  <c r="AL8" i="1" s="1"/>
  <c r="AJ7" i="1"/>
  <c r="AL7" i="1" s="1"/>
  <c r="AJ6" i="1"/>
  <c r="AK6" i="1" s="1"/>
  <c r="AJ5" i="1"/>
  <c r="AL5" i="1" s="1"/>
  <c r="AJ4" i="1"/>
  <c r="AL4" i="1" s="1"/>
  <c r="AJ3" i="1"/>
  <c r="AL3" i="1" s="1"/>
  <c r="AE55" i="1"/>
  <c r="AG55" i="1" s="1"/>
  <c r="AE54" i="1"/>
  <c r="AF54" i="1" s="1"/>
  <c r="AE53" i="1"/>
  <c r="AG53" i="1" s="1"/>
  <c r="AE52" i="1"/>
  <c r="AF52" i="1" s="1"/>
  <c r="AE51" i="1"/>
  <c r="AG51" i="1" s="1"/>
  <c r="AE50" i="1"/>
  <c r="AF50" i="1" s="1"/>
  <c r="AE49" i="1"/>
  <c r="AG49" i="1" s="1"/>
  <c r="AE48" i="1"/>
  <c r="AG48" i="1" s="1"/>
  <c r="AE47" i="1"/>
  <c r="AG47" i="1" s="1"/>
  <c r="AE46" i="1"/>
  <c r="AF46" i="1" s="1"/>
  <c r="AE45" i="1"/>
  <c r="AG45" i="1" s="1"/>
  <c r="AE44" i="1"/>
  <c r="AF44" i="1" s="1"/>
  <c r="AE43" i="1"/>
  <c r="AG43" i="1" s="1"/>
  <c r="AE42" i="1"/>
  <c r="AF42" i="1" s="1"/>
  <c r="AE41" i="1"/>
  <c r="AF41" i="1" s="1"/>
  <c r="AE40" i="1"/>
  <c r="AG40" i="1" s="1"/>
  <c r="AE39" i="1"/>
  <c r="AG39" i="1" s="1"/>
  <c r="AE38" i="1"/>
  <c r="AF38" i="1" s="1"/>
  <c r="AE37" i="1"/>
  <c r="AG37" i="1" s="1"/>
  <c r="AE36" i="1"/>
  <c r="AG36" i="1" s="1"/>
  <c r="AE35" i="1"/>
  <c r="AG35" i="1" s="1"/>
  <c r="AE34" i="1"/>
  <c r="AF34" i="1" s="1"/>
  <c r="AE33" i="1"/>
  <c r="AG33" i="1" s="1"/>
  <c r="AE32" i="1"/>
  <c r="AG32" i="1" s="1"/>
  <c r="AE31" i="1"/>
  <c r="AG31" i="1" s="1"/>
  <c r="AE30" i="1"/>
  <c r="AF30" i="1" s="1"/>
  <c r="AE29" i="1"/>
  <c r="AG29" i="1" s="1"/>
  <c r="AE28" i="1"/>
  <c r="AF28" i="1" s="1"/>
  <c r="AE27" i="1"/>
  <c r="AG27" i="1" s="1"/>
  <c r="AE26" i="1"/>
  <c r="AF26" i="1" s="1"/>
  <c r="AE25" i="1"/>
  <c r="AF25" i="1" s="1"/>
  <c r="AE24" i="1"/>
  <c r="AG24" i="1" s="1"/>
  <c r="AE23" i="1"/>
  <c r="AG23" i="1" s="1"/>
  <c r="AE22" i="1"/>
  <c r="AF22" i="1" s="1"/>
  <c r="AE21" i="1"/>
  <c r="AF21" i="1" s="1"/>
  <c r="AE20" i="1"/>
  <c r="AF20" i="1" s="1"/>
  <c r="AE19" i="1"/>
  <c r="AG19" i="1" s="1"/>
  <c r="AE18" i="1"/>
  <c r="AF18" i="1" s="1"/>
  <c r="AE17" i="1"/>
  <c r="AG17" i="1" s="1"/>
  <c r="AE16" i="1"/>
  <c r="AF16" i="1" s="1"/>
  <c r="AE15" i="1"/>
  <c r="AG15" i="1" s="1"/>
  <c r="AE14" i="1"/>
  <c r="AF14" i="1" s="1"/>
  <c r="AE13" i="1"/>
  <c r="AG13" i="1" s="1"/>
  <c r="AE12" i="1"/>
  <c r="AG12" i="1" s="1"/>
  <c r="AE11" i="1"/>
  <c r="AG11" i="1" s="1"/>
  <c r="AE10" i="1"/>
  <c r="AF10" i="1" s="1"/>
  <c r="AE9" i="1"/>
  <c r="AF9" i="1" s="1"/>
  <c r="AE8" i="1"/>
  <c r="AG8" i="1" s="1"/>
  <c r="AE7" i="1"/>
  <c r="AG7" i="1" s="1"/>
  <c r="AE6" i="1"/>
  <c r="AF6" i="1" s="1"/>
  <c r="AE5" i="1"/>
  <c r="AG5" i="1" s="1"/>
  <c r="AE4" i="1"/>
  <c r="AF4" i="1" s="1"/>
  <c r="AE3" i="1"/>
  <c r="AG3" i="1" s="1"/>
  <c r="Z55" i="1"/>
  <c r="AB55" i="1" s="1"/>
  <c r="Z54" i="1"/>
  <c r="AA54" i="1" s="1"/>
  <c r="Z53" i="1"/>
  <c r="AB53" i="1" s="1"/>
  <c r="Z52" i="1"/>
  <c r="AB52" i="1" s="1"/>
  <c r="Z51" i="1"/>
  <c r="AB51" i="1" s="1"/>
  <c r="Z50" i="1"/>
  <c r="AA50" i="1" s="1"/>
  <c r="Z49" i="1"/>
  <c r="AB49" i="1" s="1"/>
  <c r="Z48" i="1"/>
  <c r="AB48" i="1" s="1"/>
  <c r="Z47" i="1"/>
  <c r="AB47" i="1" s="1"/>
  <c r="Z46" i="1"/>
  <c r="AA46" i="1" s="1"/>
  <c r="Z45" i="1"/>
  <c r="AA45" i="1" s="1"/>
  <c r="Z44" i="1"/>
  <c r="AB44" i="1" s="1"/>
  <c r="Z43" i="1"/>
  <c r="AB43" i="1" s="1"/>
  <c r="Z42" i="1"/>
  <c r="AA42" i="1" s="1"/>
  <c r="Z41" i="1"/>
  <c r="AB41" i="1" s="1"/>
  <c r="Z40" i="1"/>
  <c r="AB40" i="1" s="1"/>
  <c r="Z39" i="1"/>
  <c r="AB39" i="1" s="1"/>
  <c r="Z38" i="1"/>
  <c r="AA38" i="1" s="1"/>
  <c r="Z37" i="1"/>
  <c r="AA37" i="1" s="1"/>
  <c r="Z36" i="1"/>
  <c r="AB36" i="1" s="1"/>
  <c r="Z35" i="1"/>
  <c r="AB35" i="1" s="1"/>
  <c r="Z34" i="1"/>
  <c r="AA34" i="1" s="1"/>
  <c r="Z33" i="1"/>
  <c r="AA33" i="1" s="1"/>
  <c r="Z32" i="1"/>
  <c r="AB32" i="1" s="1"/>
  <c r="Z31" i="1"/>
  <c r="AB31" i="1" s="1"/>
  <c r="Z30" i="1"/>
  <c r="AA30" i="1" s="1"/>
  <c r="Z29" i="1"/>
  <c r="AA29" i="1" s="1"/>
  <c r="Z28" i="1"/>
  <c r="AB28" i="1" s="1"/>
  <c r="Z27" i="1"/>
  <c r="AB27" i="1" s="1"/>
  <c r="Z26" i="1"/>
  <c r="AA26" i="1" s="1"/>
  <c r="Z25" i="1"/>
  <c r="AB25" i="1" s="1"/>
  <c r="Z24" i="1"/>
  <c r="AB24" i="1" s="1"/>
  <c r="Z23" i="1"/>
  <c r="AB23" i="1" s="1"/>
  <c r="Z22" i="1"/>
  <c r="AA22" i="1" s="1"/>
  <c r="Z21" i="1"/>
  <c r="AA21" i="1" s="1"/>
  <c r="Z20" i="1"/>
  <c r="AB20" i="1" s="1"/>
  <c r="Z19" i="1"/>
  <c r="AB19" i="1" s="1"/>
  <c r="Z18" i="1"/>
  <c r="AA18" i="1" s="1"/>
  <c r="Z17" i="1"/>
  <c r="AB17" i="1" s="1"/>
  <c r="Z16" i="1"/>
  <c r="AB16" i="1" s="1"/>
  <c r="Z15" i="1"/>
  <c r="AB15" i="1" s="1"/>
  <c r="Z14" i="1"/>
  <c r="AA14" i="1" s="1"/>
  <c r="Z13" i="1"/>
  <c r="AB13" i="1" s="1"/>
  <c r="Z12" i="1"/>
  <c r="AB12" i="1" s="1"/>
  <c r="Z11" i="1"/>
  <c r="AB11" i="1" s="1"/>
  <c r="Z10" i="1"/>
  <c r="AA10" i="1" s="1"/>
  <c r="Z9" i="1"/>
  <c r="AB9" i="1" s="1"/>
  <c r="Z8" i="1"/>
  <c r="AB8" i="1" s="1"/>
  <c r="Z7" i="1"/>
  <c r="AB7" i="1" s="1"/>
  <c r="Z6" i="1"/>
  <c r="AA6" i="1" s="1"/>
  <c r="Z5" i="1"/>
  <c r="AA5" i="1" s="1"/>
  <c r="Z4" i="1"/>
  <c r="AB4" i="1" s="1"/>
  <c r="Z3" i="1"/>
  <c r="AB3" i="1" s="1"/>
  <c r="U55" i="1"/>
  <c r="W55" i="1" s="1"/>
  <c r="U54" i="1"/>
  <c r="V54" i="1" s="1"/>
  <c r="U53" i="1"/>
  <c r="W53" i="1" s="1"/>
  <c r="U52" i="1"/>
  <c r="W52" i="1" s="1"/>
  <c r="U51" i="1"/>
  <c r="W51" i="1" s="1"/>
  <c r="U50" i="1"/>
  <c r="V50" i="1" s="1"/>
  <c r="U49" i="1"/>
  <c r="W49" i="1" s="1"/>
  <c r="U48" i="1"/>
  <c r="W48" i="1" s="1"/>
  <c r="U47" i="1"/>
  <c r="W47" i="1" s="1"/>
  <c r="U46" i="1"/>
  <c r="V46" i="1" s="1"/>
  <c r="U45" i="1"/>
  <c r="W45" i="1" s="1"/>
  <c r="U44" i="1"/>
  <c r="W44" i="1" s="1"/>
  <c r="U43" i="1"/>
  <c r="W43" i="1" s="1"/>
  <c r="U42" i="1"/>
  <c r="V42" i="1" s="1"/>
  <c r="U41" i="1"/>
  <c r="W41" i="1" s="1"/>
  <c r="U40" i="1"/>
  <c r="W40" i="1" s="1"/>
  <c r="U39" i="1"/>
  <c r="W39" i="1" s="1"/>
  <c r="U38" i="1"/>
  <c r="V38" i="1" s="1"/>
  <c r="U37" i="1"/>
  <c r="W37" i="1" s="1"/>
  <c r="U36" i="1"/>
  <c r="W36" i="1" s="1"/>
  <c r="U35" i="1"/>
  <c r="W35" i="1" s="1"/>
  <c r="U34" i="1"/>
  <c r="V34" i="1" s="1"/>
  <c r="U33" i="1"/>
  <c r="V33" i="1" s="1"/>
  <c r="U32" i="1"/>
  <c r="W32" i="1" s="1"/>
  <c r="U31" i="1"/>
  <c r="W31" i="1" s="1"/>
  <c r="U30" i="1"/>
  <c r="V30" i="1" s="1"/>
  <c r="U29" i="1"/>
  <c r="W29" i="1" s="1"/>
  <c r="U28" i="1"/>
  <c r="W28" i="1" s="1"/>
  <c r="U27" i="1"/>
  <c r="W27" i="1" s="1"/>
  <c r="U26" i="1"/>
  <c r="V26" i="1" s="1"/>
  <c r="U25" i="1"/>
  <c r="V25" i="1" s="1"/>
  <c r="U24" i="1"/>
  <c r="W24" i="1" s="1"/>
  <c r="U23" i="1"/>
  <c r="W23" i="1" s="1"/>
  <c r="U22" i="1"/>
  <c r="V22" i="1" s="1"/>
  <c r="U21" i="1"/>
  <c r="V21" i="1" s="1"/>
  <c r="U20" i="1"/>
  <c r="W20" i="1" s="1"/>
  <c r="U19" i="1"/>
  <c r="W19" i="1" s="1"/>
  <c r="U18" i="1"/>
  <c r="V18" i="1" s="1"/>
  <c r="U17" i="1"/>
  <c r="W17" i="1" s="1"/>
  <c r="U16" i="1"/>
  <c r="W16" i="1" s="1"/>
  <c r="U15" i="1"/>
  <c r="W15" i="1" s="1"/>
  <c r="U14" i="1"/>
  <c r="V14" i="1" s="1"/>
  <c r="U13" i="1"/>
  <c r="W13" i="1" s="1"/>
  <c r="U12" i="1"/>
  <c r="W12" i="1" s="1"/>
  <c r="U11" i="1"/>
  <c r="W11" i="1" s="1"/>
  <c r="U10" i="1"/>
  <c r="V10" i="1" s="1"/>
  <c r="U9" i="1"/>
  <c r="V9" i="1" s="1"/>
  <c r="U8" i="1"/>
  <c r="W8" i="1" s="1"/>
  <c r="U7" i="1"/>
  <c r="W7" i="1" s="1"/>
  <c r="U6" i="1"/>
  <c r="V6" i="1" s="1"/>
  <c r="U5" i="1"/>
  <c r="V5" i="1" s="1"/>
  <c r="U4" i="1"/>
  <c r="W4" i="1" s="1"/>
  <c r="U3" i="1"/>
  <c r="W3" i="1" s="1"/>
  <c r="P55" i="1"/>
  <c r="R55" i="1" s="1"/>
  <c r="P54" i="1"/>
  <c r="Q54" i="1" s="1"/>
  <c r="P53" i="1"/>
  <c r="R53" i="1" s="1"/>
  <c r="P52" i="1"/>
  <c r="Q52" i="1" s="1"/>
  <c r="P51" i="1"/>
  <c r="R51" i="1" s="1"/>
  <c r="P50" i="1"/>
  <c r="Q50" i="1" s="1"/>
  <c r="P49" i="1"/>
  <c r="R49" i="1" s="1"/>
  <c r="P48" i="1"/>
  <c r="Q48" i="1" s="1"/>
  <c r="P47" i="1"/>
  <c r="R47" i="1" s="1"/>
  <c r="P46" i="1"/>
  <c r="Q46" i="1" s="1"/>
  <c r="P45" i="1"/>
  <c r="R45" i="1" s="1"/>
  <c r="P44" i="1"/>
  <c r="R44" i="1" s="1"/>
  <c r="P43" i="1"/>
  <c r="R43" i="1" s="1"/>
  <c r="P42" i="1"/>
  <c r="Q42" i="1" s="1"/>
  <c r="P41" i="1"/>
  <c r="Q41" i="1" s="1"/>
  <c r="P40" i="1"/>
  <c r="R40" i="1" s="1"/>
  <c r="P39" i="1"/>
  <c r="R39" i="1" s="1"/>
  <c r="P38" i="1"/>
  <c r="Q38" i="1" s="1"/>
  <c r="P37" i="1"/>
  <c r="R37" i="1" s="1"/>
  <c r="P36" i="1"/>
  <c r="Q36" i="1" s="1"/>
  <c r="P35" i="1"/>
  <c r="R35" i="1" s="1"/>
  <c r="P34" i="1"/>
  <c r="Q34" i="1" s="1"/>
  <c r="P33" i="1"/>
  <c r="R33" i="1" s="1"/>
  <c r="P32" i="1"/>
  <c r="R32" i="1" s="1"/>
  <c r="P31" i="1"/>
  <c r="R31" i="1" s="1"/>
  <c r="P30" i="1"/>
  <c r="Q30" i="1" s="1"/>
  <c r="P29" i="1"/>
  <c r="R29" i="1" s="1"/>
  <c r="P28" i="1"/>
  <c r="R28" i="1" s="1"/>
  <c r="P27" i="1"/>
  <c r="R27" i="1" s="1"/>
  <c r="P26" i="1"/>
  <c r="Q26" i="1" s="1"/>
  <c r="P25" i="1"/>
  <c r="Q25" i="1" s="1"/>
  <c r="P24" i="1"/>
  <c r="Q24" i="1" s="1"/>
  <c r="P23" i="1"/>
  <c r="R23" i="1" s="1"/>
  <c r="P22" i="1"/>
  <c r="Q22" i="1" s="1"/>
  <c r="P21" i="1"/>
  <c r="R21" i="1" s="1"/>
  <c r="P20" i="1"/>
  <c r="R20" i="1" s="1"/>
  <c r="P19" i="1"/>
  <c r="R19" i="1" s="1"/>
  <c r="P18" i="1"/>
  <c r="Q18" i="1" s="1"/>
  <c r="P17" i="1"/>
  <c r="R17" i="1" s="1"/>
  <c r="P16" i="1"/>
  <c r="Q16" i="1" s="1"/>
  <c r="P15" i="1"/>
  <c r="R15" i="1" s="1"/>
  <c r="P14" i="1"/>
  <c r="Q14" i="1" s="1"/>
  <c r="P13" i="1"/>
  <c r="R13" i="1" s="1"/>
  <c r="P12" i="1"/>
  <c r="R12" i="1" s="1"/>
  <c r="P11" i="1"/>
  <c r="R11" i="1" s="1"/>
  <c r="P10" i="1"/>
  <c r="Q10" i="1" s="1"/>
  <c r="P9" i="1"/>
  <c r="R9" i="1" s="1"/>
  <c r="P8" i="1"/>
  <c r="R8" i="1" s="1"/>
  <c r="P7" i="1"/>
  <c r="R7" i="1" s="1"/>
  <c r="P6" i="1"/>
  <c r="Q6" i="1" s="1"/>
  <c r="P5" i="1"/>
  <c r="Q5" i="1" s="1"/>
  <c r="P4" i="1"/>
  <c r="Q4" i="1" s="1"/>
  <c r="P3" i="1"/>
  <c r="R3" i="1" s="1"/>
  <c r="K55" i="1"/>
  <c r="M55" i="1" s="1"/>
  <c r="K54" i="1"/>
  <c r="L54" i="1" s="1"/>
  <c r="K53" i="1"/>
  <c r="M53" i="1" s="1"/>
  <c r="K52" i="1"/>
  <c r="M52" i="1" s="1"/>
  <c r="K51" i="1"/>
  <c r="M51" i="1" s="1"/>
  <c r="K50" i="1"/>
  <c r="L50" i="1" s="1"/>
  <c r="K49" i="1"/>
  <c r="M49" i="1" s="1"/>
  <c r="K48" i="1"/>
  <c r="M48" i="1" s="1"/>
  <c r="K47" i="1"/>
  <c r="M47" i="1" s="1"/>
  <c r="K46" i="1"/>
  <c r="L46" i="1" s="1"/>
  <c r="K45" i="1"/>
  <c r="M45" i="1" s="1"/>
  <c r="K44" i="1"/>
  <c r="M44" i="1" s="1"/>
  <c r="K43" i="1"/>
  <c r="M43" i="1" s="1"/>
  <c r="K42" i="1"/>
  <c r="L42" i="1" s="1"/>
  <c r="K41" i="1"/>
  <c r="M41" i="1" s="1"/>
  <c r="K40" i="1"/>
  <c r="M40" i="1" s="1"/>
  <c r="K39" i="1"/>
  <c r="M39" i="1" s="1"/>
  <c r="K38" i="1"/>
  <c r="L38" i="1" s="1"/>
  <c r="K37" i="1"/>
  <c r="M37" i="1" s="1"/>
  <c r="K36" i="1"/>
  <c r="M36" i="1" s="1"/>
  <c r="K35" i="1"/>
  <c r="M35" i="1" s="1"/>
  <c r="K34" i="1"/>
  <c r="L34" i="1" s="1"/>
  <c r="K33" i="1"/>
  <c r="M33" i="1" s="1"/>
  <c r="K32" i="1"/>
  <c r="M32" i="1" s="1"/>
  <c r="K31" i="1"/>
  <c r="M31" i="1" s="1"/>
  <c r="K30" i="1"/>
  <c r="L30" i="1" s="1"/>
  <c r="K29" i="1"/>
  <c r="M29" i="1" s="1"/>
  <c r="K28" i="1"/>
  <c r="M28" i="1" s="1"/>
  <c r="K27" i="1"/>
  <c r="M27" i="1" s="1"/>
  <c r="K26" i="1"/>
  <c r="L26" i="1" s="1"/>
  <c r="K25" i="1"/>
  <c r="M25" i="1" s="1"/>
  <c r="K24" i="1"/>
  <c r="M24" i="1" s="1"/>
  <c r="K23" i="1"/>
  <c r="M23" i="1" s="1"/>
  <c r="K22" i="1"/>
  <c r="L22" i="1" s="1"/>
  <c r="K21" i="1"/>
  <c r="M21" i="1" s="1"/>
  <c r="K20" i="1"/>
  <c r="M20" i="1" s="1"/>
  <c r="K19" i="1"/>
  <c r="M19" i="1" s="1"/>
  <c r="K18" i="1"/>
  <c r="L18" i="1" s="1"/>
  <c r="K17" i="1"/>
  <c r="M17" i="1" s="1"/>
  <c r="K16" i="1"/>
  <c r="M16" i="1" s="1"/>
  <c r="K15" i="1"/>
  <c r="M15" i="1" s="1"/>
  <c r="K14" i="1"/>
  <c r="L14" i="1" s="1"/>
  <c r="K13" i="1"/>
  <c r="M13" i="1" s="1"/>
  <c r="K12" i="1"/>
  <c r="M12" i="1" s="1"/>
  <c r="K11" i="1"/>
  <c r="M11" i="1" s="1"/>
  <c r="K10" i="1"/>
  <c r="L10" i="1" s="1"/>
  <c r="K9" i="1"/>
  <c r="M9" i="1" s="1"/>
  <c r="K8" i="1"/>
  <c r="M8" i="1" s="1"/>
  <c r="K7" i="1"/>
  <c r="M7" i="1" s="1"/>
  <c r="K6" i="1"/>
  <c r="L6" i="1" s="1"/>
  <c r="K5" i="1"/>
  <c r="M5" i="1" s="1"/>
  <c r="K4" i="1"/>
  <c r="M4" i="1" s="1"/>
  <c r="K3" i="1"/>
  <c r="M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H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H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H4" i="1"/>
  <c r="H5" i="1"/>
  <c r="F3" i="1"/>
  <c r="H3" i="1" s="1"/>
  <c r="BG3" i="3" l="1"/>
  <c r="BG7" i="3"/>
  <c r="BG11" i="3"/>
  <c r="BG15" i="3"/>
  <c r="BG19" i="3"/>
  <c r="BG23" i="3"/>
  <c r="BG27" i="3"/>
  <c r="BG31" i="3"/>
  <c r="BG35" i="3"/>
  <c r="BG39" i="3"/>
  <c r="BG43" i="3"/>
  <c r="BG2" i="3"/>
  <c r="BG10" i="3"/>
  <c r="BG22" i="3"/>
  <c r="BG34" i="3"/>
  <c r="BG46" i="3"/>
  <c r="BG4" i="3"/>
  <c r="BG8" i="3"/>
  <c r="BG12" i="3"/>
  <c r="BG16" i="3"/>
  <c r="BG20" i="3"/>
  <c r="BG24" i="3"/>
  <c r="BG28" i="3"/>
  <c r="BG32" i="3"/>
  <c r="BG36" i="3"/>
  <c r="BG40" i="3"/>
  <c r="BG44" i="3"/>
  <c r="BG6" i="3"/>
  <c r="BG18" i="3"/>
  <c r="BG30" i="3"/>
  <c r="BG42" i="3"/>
  <c r="BG5" i="3"/>
  <c r="BG9" i="3"/>
  <c r="BG13" i="3"/>
  <c r="BG17" i="3"/>
  <c r="BG21" i="3"/>
  <c r="BG25" i="3"/>
  <c r="BG29" i="3"/>
  <c r="BG33" i="3"/>
  <c r="BG37" i="3"/>
  <c r="BG41" i="3"/>
  <c r="BG45" i="3"/>
  <c r="BG14" i="3"/>
  <c r="BG26" i="3"/>
  <c r="BG38" i="3"/>
  <c r="BF30" i="1"/>
  <c r="BJ49" i="1"/>
  <c r="BJ35" i="1"/>
  <c r="BK42" i="1"/>
  <c r="BE5" i="1"/>
  <c r="BK6" i="1"/>
  <c r="BJ19" i="1"/>
  <c r="BK26" i="1"/>
  <c r="BJ33" i="1"/>
  <c r="BJ53" i="1"/>
  <c r="BF37" i="1"/>
  <c r="BK10" i="1"/>
  <c r="BJ17" i="1"/>
  <c r="BF18" i="1"/>
  <c r="BF50" i="1"/>
  <c r="BE53" i="1"/>
  <c r="BJ13" i="1"/>
  <c r="BJ15" i="1"/>
  <c r="BK22" i="1"/>
  <c r="BJ29" i="1"/>
  <c r="BJ31" i="1"/>
  <c r="BK38" i="1"/>
  <c r="BF17" i="1"/>
  <c r="BF34" i="1"/>
  <c r="BF49" i="1"/>
  <c r="BK3" i="1"/>
  <c r="BL3" i="1" s="1"/>
  <c r="BN3" i="1" s="1"/>
  <c r="BK7" i="1"/>
  <c r="BK14" i="1"/>
  <c r="BJ21" i="1"/>
  <c r="BJ23" i="1"/>
  <c r="BK30" i="1"/>
  <c r="BJ37" i="1"/>
  <c r="BJ39" i="1"/>
  <c r="BK46" i="1"/>
  <c r="BK50" i="1"/>
  <c r="BK54" i="1"/>
  <c r="BJ45" i="1"/>
  <c r="BJ47" i="1"/>
  <c r="BJ51" i="1"/>
  <c r="BE21" i="1"/>
  <c r="BF14" i="1"/>
  <c r="BF46" i="1"/>
  <c r="BJ5" i="1"/>
  <c r="BJ9" i="1"/>
  <c r="BJ11" i="1"/>
  <c r="BK18" i="1"/>
  <c r="BJ25" i="1"/>
  <c r="BJ27" i="1"/>
  <c r="BK34" i="1"/>
  <c r="BJ41" i="1"/>
  <c r="BJ43" i="1"/>
  <c r="BJ4" i="1"/>
  <c r="BJ8" i="1"/>
  <c r="BJ12" i="1"/>
  <c r="BJ16" i="1"/>
  <c r="BJ20" i="1"/>
  <c r="BJ24" i="1"/>
  <c r="BJ28" i="1"/>
  <c r="BJ32" i="1"/>
  <c r="BJ36" i="1"/>
  <c r="BJ40" i="1"/>
  <c r="BJ44" i="1"/>
  <c r="BJ48" i="1"/>
  <c r="BJ52" i="1"/>
  <c r="BJ55" i="1"/>
  <c r="BE45" i="1"/>
  <c r="BF6" i="1"/>
  <c r="BE9" i="1"/>
  <c r="BF13" i="1"/>
  <c r="BF22" i="1"/>
  <c r="BE25" i="1"/>
  <c r="BF29" i="1"/>
  <c r="BF38" i="1"/>
  <c r="BE41" i="1"/>
  <c r="BF54" i="1"/>
  <c r="BF10" i="1"/>
  <c r="BF26" i="1"/>
  <c r="BF42" i="1"/>
  <c r="BE4" i="1"/>
  <c r="BE12" i="1"/>
  <c r="BE16" i="1"/>
  <c r="BE20" i="1"/>
  <c r="BE24" i="1"/>
  <c r="BE36" i="1"/>
  <c r="BE40" i="1"/>
  <c r="BE48" i="1"/>
  <c r="BE52" i="1"/>
  <c r="BE3" i="1"/>
  <c r="BE7" i="1"/>
  <c r="BF8" i="1"/>
  <c r="BE11" i="1"/>
  <c r="BE15" i="1"/>
  <c r="BE19" i="1"/>
  <c r="BE23" i="1"/>
  <c r="BE27" i="1"/>
  <c r="BF28" i="1"/>
  <c r="BE31" i="1"/>
  <c r="BF32" i="1"/>
  <c r="BE35" i="1"/>
  <c r="BE39" i="1"/>
  <c r="BE43" i="1"/>
  <c r="BF44" i="1"/>
  <c r="BE47" i="1"/>
  <c r="BE51" i="1"/>
  <c r="BE55" i="1"/>
  <c r="BA17" i="1"/>
  <c r="BA49" i="1"/>
  <c r="BA6" i="1"/>
  <c r="AZ9" i="1"/>
  <c r="BA21" i="1"/>
  <c r="BA30" i="1"/>
  <c r="AZ33" i="1"/>
  <c r="BA38" i="1"/>
  <c r="AZ41" i="1"/>
  <c r="BA53" i="1"/>
  <c r="BA5" i="1"/>
  <c r="BA14" i="1"/>
  <c r="BA22" i="1"/>
  <c r="AZ25" i="1"/>
  <c r="BA37" i="1"/>
  <c r="BA46" i="1"/>
  <c r="AV5" i="1"/>
  <c r="BA10" i="1"/>
  <c r="AZ13" i="1"/>
  <c r="BA26" i="1"/>
  <c r="AZ29" i="1"/>
  <c r="BA42" i="1"/>
  <c r="AZ45" i="1"/>
  <c r="BA54" i="1"/>
  <c r="BA18" i="1"/>
  <c r="BA34" i="1"/>
  <c r="BA50" i="1"/>
  <c r="AZ4" i="1"/>
  <c r="AZ8" i="1"/>
  <c r="AZ12" i="1"/>
  <c r="AZ16" i="1"/>
  <c r="AZ20" i="1"/>
  <c r="AZ24" i="1"/>
  <c r="AZ28" i="1"/>
  <c r="AZ32" i="1"/>
  <c r="AZ36" i="1"/>
  <c r="AZ40" i="1"/>
  <c r="AZ44" i="1"/>
  <c r="AZ48" i="1"/>
  <c r="AZ52" i="1"/>
  <c r="AZ3" i="1"/>
  <c r="AZ7" i="1"/>
  <c r="AZ11" i="1"/>
  <c r="AZ15" i="1"/>
  <c r="AZ19" i="1"/>
  <c r="AZ23" i="1"/>
  <c r="AZ27" i="1"/>
  <c r="AZ31" i="1"/>
  <c r="AZ35" i="1"/>
  <c r="AZ39" i="1"/>
  <c r="AZ43" i="1"/>
  <c r="AZ47" i="1"/>
  <c r="AZ51" i="1"/>
  <c r="AZ55" i="1"/>
  <c r="AV22" i="1"/>
  <c r="AU25" i="1"/>
  <c r="AV50" i="1"/>
  <c r="AU53" i="1"/>
  <c r="AV37" i="1"/>
  <c r="AV30" i="1"/>
  <c r="AU33" i="1"/>
  <c r="AV14" i="1"/>
  <c r="AU17" i="1"/>
  <c r="AV46" i="1"/>
  <c r="AU49" i="1"/>
  <c r="AV6" i="1"/>
  <c r="AU9" i="1"/>
  <c r="AV21" i="1"/>
  <c r="AV38" i="1"/>
  <c r="AU41" i="1"/>
  <c r="AV54" i="1"/>
  <c r="AV10" i="1"/>
  <c r="AU13" i="1"/>
  <c r="AV26" i="1"/>
  <c r="AU29" i="1"/>
  <c r="AV42" i="1"/>
  <c r="AU45" i="1"/>
  <c r="AV18" i="1"/>
  <c r="AV34" i="1"/>
  <c r="AU4" i="1"/>
  <c r="AU8" i="1"/>
  <c r="AU12" i="1"/>
  <c r="AU3" i="1"/>
  <c r="AU7" i="1"/>
  <c r="AU11" i="1"/>
  <c r="AU15" i="1"/>
  <c r="AV16" i="1"/>
  <c r="AU19" i="1"/>
  <c r="AV20" i="1"/>
  <c r="AU23" i="1"/>
  <c r="AV24" i="1"/>
  <c r="AU27" i="1"/>
  <c r="AV28" i="1"/>
  <c r="AU31" i="1"/>
  <c r="AV32" i="1"/>
  <c r="AU35" i="1"/>
  <c r="AV36" i="1"/>
  <c r="AU39" i="1"/>
  <c r="AV40" i="1"/>
  <c r="AU43" i="1"/>
  <c r="AV44" i="1"/>
  <c r="AU47" i="1"/>
  <c r="AV48" i="1"/>
  <c r="AU51" i="1"/>
  <c r="AV52" i="1"/>
  <c r="AU55" i="1"/>
  <c r="AP53" i="1"/>
  <c r="AP31" i="1"/>
  <c r="AP19" i="1"/>
  <c r="AQ22" i="1"/>
  <c r="AQ26" i="1"/>
  <c r="AP29" i="1"/>
  <c r="AP51" i="1"/>
  <c r="AQ6" i="1"/>
  <c r="AP15" i="1"/>
  <c r="AP35" i="1"/>
  <c r="AQ38" i="1"/>
  <c r="AP47" i="1"/>
  <c r="AQ49" i="1"/>
  <c r="AP17" i="1"/>
  <c r="AL30" i="1"/>
  <c r="AK33" i="1"/>
  <c r="AQ10" i="1"/>
  <c r="AP13" i="1"/>
  <c r="AP33" i="1"/>
  <c r="AQ42" i="1"/>
  <c r="AP45" i="1"/>
  <c r="AP9" i="1"/>
  <c r="AP11" i="1"/>
  <c r="AP25" i="1"/>
  <c r="AQ34" i="1"/>
  <c r="AP41" i="1"/>
  <c r="AP43" i="1"/>
  <c r="AL25" i="1"/>
  <c r="AL34" i="1"/>
  <c r="AK37" i="1"/>
  <c r="AP3" i="1"/>
  <c r="AP5" i="1"/>
  <c r="AP7" i="1"/>
  <c r="AQ14" i="1"/>
  <c r="AP21" i="1"/>
  <c r="AP23" i="1"/>
  <c r="AQ30" i="1"/>
  <c r="AP37" i="1"/>
  <c r="AP39" i="1"/>
  <c r="AQ46" i="1"/>
  <c r="AQ50" i="1"/>
  <c r="AQ54" i="1"/>
  <c r="AQ18" i="1"/>
  <c r="AP27" i="1"/>
  <c r="AP4" i="1"/>
  <c r="AP8" i="1"/>
  <c r="AP12" i="1"/>
  <c r="AP16" i="1"/>
  <c r="AP20" i="1"/>
  <c r="AP24" i="1"/>
  <c r="AP28" i="1"/>
  <c r="AP32" i="1"/>
  <c r="AP36" i="1"/>
  <c r="AP40" i="1"/>
  <c r="AP44" i="1"/>
  <c r="AP48" i="1"/>
  <c r="AP52" i="1"/>
  <c r="AP55" i="1"/>
  <c r="AL50" i="1"/>
  <c r="AK53" i="1"/>
  <c r="AK5" i="1"/>
  <c r="AL18" i="1"/>
  <c r="AK21" i="1"/>
  <c r="AL46" i="1"/>
  <c r="AK49" i="1"/>
  <c r="AL10" i="1"/>
  <c r="AK13" i="1"/>
  <c r="AL26" i="1"/>
  <c r="AK29" i="1"/>
  <c r="AL42" i="1"/>
  <c r="AK45" i="1"/>
  <c r="AL6" i="1"/>
  <c r="AK9" i="1"/>
  <c r="AL14" i="1"/>
  <c r="AK17" i="1"/>
  <c r="AL22" i="1"/>
  <c r="AL38" i="1"/>
  <c r="AK41" i="1"/>
  <c r="AL54" i="1"/>
  <c r="AK4" i="1"/>
  <c r="AK8" i="1"/>
  <c r="AK12" i="1"/>
  <c r="AK16" i="1"/>
  <c r="AK20" i="1"/>
  <c r="AK24" i="1"/>
  <c r="AK28" i="1"/>
  <c r="AK32" i="1"/>
  <c r="AK36" i="1"/>
  <c r="AK40" i="1"/>
  <c r="AK44" i="1"/>
  <c r="AK48" i="1"/>
  <c r="AK52" i="1"/>
  <c r="AK3" i="1"/>
  <c r="AK7" i="1"/>
  <c r="AK11" i="1"/>
  <c r="AK15" i="1"/>
  <c r="AK19" i="1"/>
  <c r="AK23" i="1"/>
  <c r="AK27" i="1"/>
  <c r="AK31" i="1"/>
  <c r="AK35" i="1"/>
  <c r="AK39" i="1"/>
  <c r="AK43" i="1"/>
  <c r="AK47" i="1"/>
  <c r="AK51" i="1"/>
  <c r="AK55" i="1"/>
  <c r="H31" i="1"/>
  <c r="BL31" i="1" s="1"/>
  <c r="AG50" i="1"/>
  <c r="AF53" i="1"/>
  <c r="AG21" i="1"/>
  <c r="AF5" i="1"/>
  <c r="AG14" i="1"/>
  <c r="AF17" i="1"/>
  <c r="AG25" i="1"/>
  <c r="AG34" i="1"/>
  <c r="AF37" i="1"/>
  <c r="AG46" i="1"/>
  <c r="AF49" i="1"/>
  <c r="W34" i="1"/>
  <c r="V37" i="1"/>
  <c r="H11" i="1"/>
  <c r="BL11" i="1" s="1"/>
  <c r="AG9" i="1"/>
  <c r="AG18" i="1"/>
  <c r="AG30" i="1"/>
  <c r="AF33" i="1"/>
  <c r="AG41" i="1"/>
  <c r="AG10" i="1"/>
  <c r="AF13" i="1"/>
  <c r="AG26" i="1"/>
  <c r="AF29" i="1"/>
  <c r="AG42" i="1"/>
  <c r="AF45" i="1"/>
  <c r="AG6" i="1"/>
  <c r="AG22" i="1"/>
  <c r="AG38" i="1"/>
  <c r="AG54" i="1"/>
  <c r="AF8" i="1"/>
  <c r="AF12" i="1"/>
  <c r="AF24" i="1"/>
  <c r="AF32" i="1"/>
  <c r="AF36" i="1"/>
  <c r="AF40" i="1"/>
  <c r="AF48" i="1"/>
  <c r="AF3" i="1"/>
  <c r="AG4" i="1"/>
  <c r="AF7" i="1"/>
  <c r="AF11" i="1"/>
  <c r="AF15" i="1"/>
  <c r="AG16" i="1"/>
  <c r="AF19" i="1"/>
  <c r="AG20" i="1"/>
  <c r="AF23" i="1"/>
  <c r="AF27" i="1"/>
  <c r="AG28" i="1"/>
  <c r="AF31" i="1"/>
  <c r="AF35" i="1"/>
  <c r="AF39" i="1"/>
  <c r="AF43" i="1"/>
  <c r="AG44" i="1"/>
  <c r="AF47" i="1"/>
  <c r="AF51" i="1"/>
  <c r="AG52" i="1"/>
  <c r="AF55" i="1"/>
  <c r="AB50" i="1"/>
  <c r="AA53" i="1"/>
  <c r="AB21" i="1"/>
  <c r="H27" i="1"/>
  <c r="BL27" i="1" s="1"/>
  <c r="H7" i="1"/>
  <c r="AB5" i="1"/>
  <c r="H43" i="1"/>
  <c r="BL43" i="1" s="1"/>
  <c r="H19" i="1"/>
  <c r="BL19" i="1" s="1"/>
  <c r="H35" i="1"/>
  <c r="BL35" i="1" s="1"/>
  <c r="H15" i="1"/>
  <c r="BL15" i="1" s="1"/>
  <c r="AB14" i="1"/>
  <c r="AA17" i="1"/>
  <c r="AA49" i="1"/>
  <c r="AB33" i="1"/>
  <c r="AB30" i="1"/>
  <c r="AB46" i="1"/>
  <c r="H47" i="1"/>
  <c r="BL47" i="1" s="1"/>
  <c r="AB37" i="1"/>
  <c r="AB10" i="1"/>
  <c r="AA13" i="1"/>
  <c r="AB6" i="1"/>
  <c r="AA9" i="1"/>
  <c r="AB22" i="1"/>
  <c r="AA25" i="1"/>
  <c r="AB29" i="1"/>
  <c r="AB38" i="1"/>
  <c r="AA41" i="1"/>
  <c r="AB45" i="1"/>
  <c r="AB54" i="1"/>
  <c r="AB26" i="1"/>
  <c r="AB42" i="1"/>
  <c r="AB18" i="1"/>
  <c r="AB34" i="1"/>
  <c r="AA4" i="1"/>
  <c r="AA8" i="1"/>
  <c r="AA12" i="1"/>
  <c r="AA16" i="1"/>
  <c r="AA20" i="1"/>
  <c r="AA24" i="1"/>
  <c r="AA28" i="1"/>
  <c r="AA32" i="1"/>
  <c r="AA36" i="1"/>
  <c r="AA40" i="1"/>
  <c r="AA44" i="1"/>
  <c r="AA48" i="1"/>
  <c r="AA52" i="1"/>
  <c r="AA3" i="1"/>
  <c r="AA7" i="1"/>
  <c r="AA11" i="1"/>
  <c r="AA15" i="1"/>
  <c r="AA19" i="1"/>
  <c r="AA23" i="1"/>
  <c r="AA27" i="1"/>
  <c r="AA31" i="1"/>
  <c r="AA35" i="1"/>
  <c r="AA39" i="1"/>
  <c r="AA43" i="1"/>
  <c r="AA47" i="1"/>
  <c r="AA51" i="1"/>
  <c r="AA55" i="1"/>
  <c r="W14" i="1"/>
  <c r="V17" i="1"/>
  <c r="W33" i="1"/>
  <c r="H37" i="1"/>
  <c r="H23" i="1"/>
  <c r="BL23" i="1" s="1"/>
  <c r="W9" i="1"/>
  <c r="W50" i="1"/>
  <c r="V53" i="1"/>
  <c r="W21" i="1"/>
  <c r="H45" i="1"/>
  <c r="H13" i="1"/>
  <c r="W5" i="1"/>
  <c r="W25" i="1"/>
  <c r="W46" i="1"/>
  <c r="V49" i="1"/>
  <c r="H53" i="1"/>
  <c r="H21" i="1"/>
  <c r="H51" i="1"/>
  <c r="BL51" i="1" s="1"/>
  <c r="BN51" i="1" s="1"/>
  <c r="H39" i="1"/>
  <c r="BL39" i="1" s="1"/>
  <c r="H29" i="1"/>
  <c r="R30" i="1"/>
  <c r="Q33" i="1"/>
  <c r="W18" i="1"/>
  <c r="W30" i="1"/>
  <c r="W10" i="1"/>
  <c r="V13" i="1"/>
  <c r="W26" i="1"/>
  <c r="V29" i="1"/>
  <c r="W42" i="1"/>
  <c r="V45" i="1"/>
  <c r="W6" i="1"/>
  <c r="W22" i="1"/>
  <c r="W38" i="1"/>
  <c r="V41" i="1"/>
  <c r="W54" i="1"/>
  <c r="V4" i="1"/>
  <c r="V8" i="1"/>
  <c r="V12" i="1"/>
  <c r="V16" i="1"/>
  <c r="V20" i="1"/>
  <c r="V24" i="1"/>
  <c r="V28" i="1"/>
  <c r="V32" i="1"/>
  <c r="V36" i="1"/>
  <c r="V40" i="1"/>
  <c r="V44" i="1"/>
  <c r="V48" i="1"/>
  <c r="V52" i="1"/>
  <c r="V3" i="1"/>
  <c r="V7" i="1"/>
  <c r="V11" i="1"/>
  <c r="V15" i="1"/>
  <c r="V19" i="1"/>
  <c r="V23" i="1"/>
  <c r="V27" i="1"/>
  <c r="V31" i="1"/>
  <c r="V35" i="1"/>
  <c r="V39" i="1"/>
  <c r="V43" i="1"/>
  <c r="V47" i="1"/>
  <c r="V51" i="1"/>
  <c r="V55" i="1"/>
  <c r="R18" i="1"/>
  <c r="Q21" i="1"/>
  <c r="R5" i="1"/>
  <c r="R14" i="1"/>
  <c r="Q17" i="1"/>
  <c r="R25" i="1"/>
  <c r="G36" i="1"/>
  <c r="H49" i="1"/>
  <c r="H41" i="1"/>
  <c r="H33" i="1"/>
  <c r="H25" i="1"/>
  <c r="H17" i="1"/>
  <c r="H9" i="1"/>
  <c r="R50" i="1"/>
  <c r="Q53" i="1"/>
  <c r="Q9" i="1"/>
  <c r="R34" i="1"/>
  <c r="Q37" i="1"/>
  <c r="R46" i="1"/>
  <c r="Q49" i="1"/>
  <c r="R41" i="1"/>
  <c r="G42" i="1"/>
  <c r="R10" i="1"/>
  <c r="Q13" i="1"/>
  <c r="R26" i="1"/>
  <c r="Q29" i="1"/>
  <c r="R42" i="1"/>
  <c r="Q45" i="1"/>
  <c r="R6" i="1"/>
  <c r="R22" i="1"/>
  <c r="R38" i="1"/>
  <c r="R54" i="1"/>
  <c r="Q8" i="1"/>
  <c r="Q12" i="1"/>
  <c r="Q20" i="1"/>
  <c r="Q28" i="1"/>
  <c r="Q32" i="1"/>
  <c r="Q40" i="1"/>
  <c r="Q44" i="1"/>
  <c r="Q3" i="1"/>
  <c r="R4" i="1"/>
  <c r="Q7" i="1"/>
  <c r="Q11" i="1"/>
  <c r="Q15" i="1"/>
  <c r="R16" i="1"/>
  <c r="Q19" i="1"/>
  <c r="Q23" i="1"/>
  <c r="R24" i="1"/>
  <c r="Q27" i="1"/>
  <c r="Q31" i="1"/>
  <c r="Q35" i="1"/>
  <c r="R36" i="1"/>
  <c r="Q39" i="1"/>
  <c r="Q43" i="1"/>
  <c r="Q47" i="1"/>
  <c r="R48" i="1"/>
  <c r="BL48" i="1" s="1"/>
  <c r="BN48" i="1" s="1"/>
  <c r="Q51" i="1"/>
  <c r="R52" i="1"/>
  <c r="Q55" i="1"/>
  <c r="H52" i="1"/>
  <c r="BL52" i="1" s="1"/>
  <c r="BN52" i="1" s="1"/>
  <c r="H48" i="1"/>
  <c r="H44" i="1"/>
  <c r="H40" i="1"/>
  <c r="H32" i="1"/>
  <c r="H28" i="1"/>
  <c r="H24" i="1"/>
  <c r="H20" i="1"/>
  <c r="H16" i="1"/>
  <c r="H12" i="1"/>
  <c r="BL12" i="1" s="1"/>
  <c r="H8" i="1"/>
  <c r="M6" i="1"/>
  <c r="L45" i="1"/>
  <c r="H54" i="1"/>
  <c r="H50" i="1"/>
  <c r="H46" i="1"/>
  <c r="H38" i="1"/>
  <c r="H34" i="1"/>
  <c r="H30" i="1"/>
  <c r="H26" i="1"/>
  <c r="H22" i="1"/>
  <c r="H18" i="1"/>
  <c r="H14" i="1"/>
  <c r="H10" i="1"/>
  <c r="L39" i="1"/>
  <c r="L15" i="1"/>
  <c r="M22" i="1"/>
  <c r="L29" i="1"/>
  <c r="H6" i="1"/>
  <c r="L49" i="1"/>
  <c r="L13" i="1"/>
  <c r="L53" i="1"/>
  <c r="L31" i="1"/>
  <c r="M38" i="1"/>
  <c r="L9" i="1"/>
  <c r="L11" i="1"/>
  <c r="M18" i="1"/>
  <c r="M34" i="1"/>
  <c r="L25" i="1"/>
  <c r="L27" i="1"/>
  <c r="H55" i="1"/>
  <c r="BL55" i="1" s="1"/>
  <c r="BN55" i="1" s="1"/>
  <c r="L5" i="1"/>
  <c r="L7" i="1"/>
  <c r="M14" i="1"/>
  <c r="L21" i="1"/>
  <c r="L23" i="1"/>
  <c r="M30" i="1"/>
  <c r="L37" i="1"/>
  <c r="L3" i="1"/>
  <c r="M10" i="1"/>
  <c r="L17" i="1"/>
  <c r="L19" i="1"/>
  <c r="M26" i="1"/>
  <c r="L33" i="1"/>
  <c r="L35" i="1"/>
  <c r="M42" i="1"/>
  <c r="M46" i="1"/>
  <c r="M50" i="1"/>
  <c r="M54" i="1"/>
  <c r="L41" i="1"/>
  <c r="L43" i="1"/>
  <c r="L47" i="1"/>
  <c r="L51" i="1"/>
  <c r="L55" i="1"/>
  <c r="L4" i="1"/>
  <c r="L8" i="1"/>
  <c r="L12" i="1"/>
  <c r="L16" i="1"/>
  <c r="L20" i="1"/>
  <c r="L24" i="1"/>
  <c r="L28" i="1"/>
  <c r="L32" i="1"/>
  <c r="L36" i="1"/>
  <c r="L40" i="1"/>
  <c r="L44" i="1"/>
  <c r="L48" i="1"/>
  <c r="L52" i="1"/>
  <c r="G3" i="1"/>
  <c r="BN15" i="1" l="1"/>
  <c r="BE14" i="3"/>
  <c r="BF14" i="3" s="1"/>
  <c r="BD14" i="5"/>
  <c r="BN11" i="1"/>
  <c r="BE10" i="3"/>
  <c r="BF10" i="3" s="1"/>
  <c r="BD10" i="5"/>
  <c r="BN23" i="1"/>
  <c r="BE22" i="3"/>
  <c r="BF22" i="3" s="1"/>
  <c r="BD23" i="5"/>
  <c r="BN47" i="1"/>
  <c r="BE46" i="3"/>
  <c r="BF46" i="3" s="1"/>
  <c r="BN35" i="1"/>
  <c r="BE34" i="3"/>
  <c r="BF34" i="3" s="1"/>
  <c r="BD34" i="5"/>
  <c r="BN19" i="1"/>
  <c r="BE18" i="3"/>
  <c r="BF18" i="3" s="1"/>
  <c r="BD18" i="5"/>
  <c r="BN27" i="1"/>
  <c r="BE26" i="3"/>
  <c r="BF26" i="3" s="1"/>
  <c r="BD27" i="5"/>
  <c r="BN31" i="1"/>
  <c r="BE30" i="3"/>
  <c r="BF30" i="3" s="1"/>
  <c r="BD31" i="5"/>
  <c r="BN12" i="1"/>
  <c r="BE11" i="3"/>
  <c r="BF11" i="3" s="1"/>
  <c r="BD11" i="5"/>
  <c r="BN39" i="1"/>
  <c r="BE38" i="3"/>
  <c r="BF38" i="3" s="1"/>
  <c r="BD39" i="5"/>
  <c r="BN43" i="1"/>
  <c r="BP43" i="1" s="1"/>
  <c r="BE42" i="3"/>
  <c r="BF42" i="3" s="1"/>
  <c r="BL33" i="1"/>
  <c r="BL53" i="1"/>
  <c r="BN53" i="1" s="1"/>
  <c r="BL45" i="1"/>
  <c r="BL36" i="1"/>
  <c r="BL44" i="1"/>
  <c r="BL32" i="1"/>
  <c r="BL17" i="1"/>
  <c r="BL29" i="1"/>
  <c r="BP31" i="1"/>
  <c r="BP12" i="1"/>
  <c r="BP39" i="1"/>
  <c r="BP55" i="1"/>
  <c r="BP23" i="1"/>
  <c r="BP47" i="1"/>
  <c r="BP35" i="1"/>
  <c r="BL25" i="1"/>
  <c r="BL26" i="1"/>
  <c r="BL6" i="1"/>
  <c r="BP52" i="1"/>
  <c r="BP19" i="1"/>
  <c r="BL20" i="1"/>
  <c r="BL21" i="1"/>
  <c r="BL8" i="1"/>
  <c r="BP3" i="1"/>
  <c r="BL41" i="1"/>
  <c r="BL13" i="1"/>
  <c r="BL49" i="1"/>
  <c r="BN49" i="1" s="1"/>
  <c r="BP53" i="1"/>
  <c r="BP27" i="1"/>
  <c r="BL42" i="1"/>
  <c r="BP48" i="1"/>
  <c r="BL24" i="1"/>
  <c r="BP51" i="1"/>
  <c r="BL9" i="1"/>
  <c r="BL37" i="1"/>
  <c r="BP15" i="1"/>
  <c r="BL16" i="1"/>
  <c r="BL4" i="1"/>
  <c r="BP11" i="1"/>
  <c r="BL40" i="1"/>
  <c r="BL5" i="1"/>
  <c r="BL28" i="1"/>
  <c r="BL10" i="1"/>
  <c r="BL54" i="1"/>
  <c r="BN54" i="1" s="1"/>
  <c r="BL30" i="1"/>
  <c r="BL7" i="1"/>
  <c r="BL22" i="1"/>
  <c r="BL34" i="1"/>
  <c r="BL50" i="1"/>
  <c r="BN50" i="1" s="1"/>
  <c r="BL18" i="1"/>
  <c r="BL46" i="1"/>
  <c r="BL14" i="1"/>
  <c r="BL38" i="1"/>
  <c r="BN44" i="1" l="1"/>
  <c r="BP44" i="1" s="1"/>
  <c r="BE43" i="3"/>
  <c r="BF43" i="3" s="1"/>
  <c r="BN33" i="1"/>
  <c r="BP33" i="1" s="1"/>
  <c r="BE32" i="3"/>
  <c r="BF32" i="3" s="1"/>
  <c r="BD32" i="5"/>
  <c r="BE27" i="5"/>
  <c r="BN5" i="1"/>
  <c r="BQ5" i="1" s="1"/>
  <c r="BE4" i="3"/>
  <c r="BF4" i="3" s="1"/>
  <c r="BD5" i="5"/>
  <c r="BN13" i="1"/>
  <c r="BE12" i="3"/>
  <c r="BF12" i="3" s="1"/>
  <c r="BD12" i="5"/>
  <c r="BN21" i="1"/>
  <c r="BE20" i="3"/>
  <c r="BF20" i="3" s="1"/>
  <c r="BD20" i="5"/>
  <c r="BN6" i="1"/>
  <c r="BP6" i="1" s="1"/>
  <c r="BE5" i="3"/>
  <c r="BF5" i="3" s="1"/>
  <c r="BD4" i="5"/>
  <c r="BN14" i="1"/>
  <c r="BP14" i="1" s="1"/>
  <c r="BE13" i="3"/>
  <c r="BF13" i="3" s="1"/>
  <c r="BD13" i="5"/>
  <c r="BN34" i="1"/>
  <c r="BE33" i="3"/>
  <c r="BF33" i="3" s="1"/>
  <c r="BD33" i="5"/>
  <c r="BN40" i="1"/>
  <c r="BE39" i="3"/>
  <c r="BF39" i="3" s="1"/>
  <c r="BD38" i="5"/>
  <c r="BN24" i="1"/>
  <c r="BP24" i="1" s="1"/>
  <c r="BE23" i="3"/>
  <c r="BF23" i="3" s="1"/>
  <c r="BD22" i="5"/>
  <c r="BN41" i="1"/>
  <c r="BQ41" i="1" s="1"/>
  <c r="BE40" i="3"/>
  <c r="BF40" i="3" s="1"/>
  <c r="BD41" i="5"/>
  <c r="BN20" i="1"/>
  <c r="BE19" i="3"/>
  <c r="BF19" i="3" s="1"/>
  <c r="BD19" i="5"/>
  <c r="BN26" i="1"/>
  <c r="BE25" i="3"/>
  <c r="BF25" i="3" s="1"/>
  <c r="BD26" i="5"/>
  <c r="BN29" i="1"/>
  <c r="BP29" i="1" s="1"/>
  <c r="BE28" i="3"/>
  <c r="BF28" i="3" s="1"/>
  <c r="BD30" i="5"/>
  <c r="BN36" i="1"/>
  <c r="BP36" i="1" s="1"/>
  <c r="BE35" i="3"/>
  <c r="BF35" i="3" s="1"/>
  <c r="BD35" i="5"/>
  <c r="BE31" i="5"/>
  <c r="BE14" i="5"/>
  <c r="BN38" i="1"/>
  <c r="BE37" i="3"/>
  <c r="BF37" i="3" s="1"/>
  <c r="BD37" i="5"/>
  <c r="BN30" i="1"/>
  <c r="BQ30" i="1" s="1"/>
  <c r="BE29" i="3"/>
  <c r="BF29" i="3" s="1"/>
  <c r="BD29" i="5"/>
  <c r="BN16" i="1"/>
  <c r="BE15" i="3"/>
  <c r="BF15" i="3" s="1"/>
  <c r="BD16" i="5"/>
  <c r="BN46" i="1"/>
  <c r="BP46" i="1" s="1"/>
  <c r="BE45" i="3"/>
  <c r="BF45" i="3" s="1"/>
  <c r="BN37" i="1"/>
  <c r="BE36" i="3"/>
  <c r="BF36" i="3" s="1"/>
  <c r="BD36" i="5"/>
  <c r="BN25" i="1"/>
  <c r="BP25" i="1" s="1"/>
  <c r="BE24" i="3"/>
  <c r="BF24" i="3" s="1"/>
  <c r="BD24" i="5"/>
  <c r="BN17" i="1"/>
  <c r="BP17" i="1" s="1"/>
  <c r="BE16" i="3"/>
  <c r="BF16" i="3" s="1"/>
  <c r="BD17" i="5"/>
  <c r="BN45" i="1"/>
  <c r="BP45" i="1" s="1"/>
  <c r="BE44" i="3"/>
  <c r="BF44" i="3" s="1"/>
  <c r="BE11" i="5"/>
  <c r="BE34" i="5"/>
  <c r="BE10" i="5"/>
  <c r="BN22" i="1"/>
  <c r="BE21" i="3"/>
  <c r="BF21" i="3" s="1"/>
  <c r="BD21" i="5"/>
  <c r="BN10" i="1"/>
  <c r="BP10" i="1" s="1"/>
  <c r="BE9" i="3"/>
  <c r="BF9" i="3" s="1"/>
  <c r="BD9" i="5"/>
  <c r="BN18" i="1"/>
  <c r="BQ18" i="1" s="1"/>
  <c r="BE17" i="3"/>
  <c r="BF17" i="3" s="1"/>
  <c r="BD15" i="5"/>
  <c r="BN7" i="1"/>
  <c r="BP7" i="1" s="1"/>
  <c r="BE6" i="3"/>
  <c r="BF6" i="3" s="1"/>
  <c r="BD6" i="5"/>
  <c r="BN28" i="1"/>
  <c r="BE27" i="3"/>
  <c r="BF27" i="3" s="1"/>
  <c r="BD25" i="5"/>
  <c r="BN4" i="1"/>
  <c r="BQ16" i="1" s="1"/>
  <c r="BE3" i="3"/>
  <c r="BF3" i="3" s="1"/>
  <c r="BD3" i="5"/>
  <c r="BN9" i="1"/>
  <c r="BP9" i="1" s="1"/>
  <c r="BE8" i="3"/>
  <c r="BF8" i="3" s="1"/>
  <c r="BD8" i="5"/>
  <c r="BN42" i="1"/>
  <c r="BQ42" i="1" s="1"/>
  <c r="BE41" i="3"/>
  <c r="BF41" i="3" s="1"/>
  <c r="BD40" i="5"/>
  <c r="BE40" i="5" s="1"/>
  <c r="BN8" i="1"/>
  <c r="BE7" i="3"/>
  <c r="BF7" i="3" s="1"/>
  <c r="BD7" i="5"/>
  <c r="BN32" i="1"/>
  <c r="BP32" i="1" s="1"/>
  <c r="BE31" i="3"/>
  <c r="BF31" i="3" s="1"/>
  <c r="BD28" i="5"/>
  <c r="BE39" i="5"/>
  <c r="BE18" i="5"/>
  <c r="BE23" i="5"/>
  <c r="BQ53" i="1"/>
  <c r="BP54" i="1"/>
  <c r="BP16" i="1"/>
  <c r="BP13" i="1"/>
  <c r="BQ13" i="1"/>
  <c r="BP20" i="1"/>
  <c r="BQ35" i="1"/>
  <c r="BP22" i="1"/>
  <c r="BQ22" i="1"/>
  <c r="BQ6" i="1"/>
  <c r="BP18" i="1"/>
  <c r="BP28" i="1"/>
  <c r="BQ26" i="1"/>
  <c r="BP26" i="1"/>
  <c r="BQ55" i="1"/>
  <c r="BP34" i="1"/>
  <c r="BQ40" i="1"/>
  <c r="BP40" i="1"/>
  <c r="BQ17" i="1"/>
  <c r="BP8" i="1"/>
  <c r="BQ46" i="1"/>
  <c r="BQ15" i="1"/>
  <c r="BP41" i="1"/>
  <c r="BP38" i="1"/>
  <c r="BQ50" i="1"/>
  <c r="BP50" i="1"/>
  <c r="BP30" i="1"/>
  <c r="BP5" i="1"/>
  <c r="BQ4" i="1"/>
  <c r="BP37" i="1"/>
  <c r="BQ24" i="1"/>
  <c r="BQ27" i="1"/>
  <c r="BP49" i="1"/>
  <c r="BP21" i="1"/>
  <c r="BQ25" i="1"/>
  <c r="BQ12" i="1"/>
  <c r="BF18" i="5" l="1"/>
  <c r="BF28" i="5"/>
  <c r="BE28" i="5"/>
  <c r="BF40" i="5"/>
  <c r="BF3" i="5"/>
  <c r="BE3" i="5"/>
  <c r="BF2" i="5"/>
  <c r="BE9" i="5"/>
  <c r="BF9" i="5"/>
  <c r="BF34" i="5"/>
  <c r="BF36" i="5"/>
  <c r="BE36" i="5"/>
  <c r="BE29" i="5"/>
  <c r="BF29" i="5"/>
  <c r="BF31" i="5"/>
  <c r="BE26" i="5"/>
  <c r="BF26" i="5"/>
  <c r="BE38" i="5"/>
  <c r="BF38" i="5"/>
  <c r="BE20" i="5"/>
  <c r="BF20" i="5"/>
  <c r="BQ3" i="1"/>
  <c r="BP4" i="1"/>
  <c r="BQ39" i="1"/>
  <c r="BQ23" i="1"/>
  <c r="BQ32" i="1"/>
  <c r="BQ28" i="1"/>
  <c r="BQ52" i="1"/>
  <c r="BQ54" i="1"/>
  <c r="BQ31" i="1"/>
  <c r="BF8" i="5"/>
  <c r="BE8" i="5"/>
  <c r="BF15" i="5"/>
  <c r="BE15" i="5"/>
  <c r="BF24" i="5"/>
  <c r="BE24" i="5"/>
  <c r="BF16" i="5"/>
  <c r="BE16" i="5"/>
  <c r="BF30" i="5"/>
  <c r="BE30" i="5"/>
  <c r="BE22" i="5"/>
  <c r="BF22" i="5"/>
  <c r="BE4" i="5"/>
  <c r="BF4" i="5"/>
  <c r="BF10" i="5"/>
  <c r="BF11" i="5"/>
  <c r="BE17" i="5"/>
  <c r="BF17" i="5"/>
  <c r="BE35" i="5"/>
  <c r="BF35" i="5"/>
  <c r="BF41" i="5"/>
  <c r="BE41" i="5"/>
  <c r="BE13" i="5"/>
  <c r="BF13" i="5"/>
  <c r="BF5" i="5"/>
  <c r="BE5" i="5"/>
  <c r="BF27" i="5"/>
  <c r="BQ38" i="1"/>
  <c r="BQ45" i="1"/>
  <c r="BQ10" i="1"/>
  <c r="BQ9" i="1"/>
  <c r="BQ34" i="1"/>
  <c r="BQ47" i="1"/>
  <c r="BP42" i="1"/>
  <c r="BQ7" i="1"/>
  <c r="BQ36" i="1"/>
  <c r="BQ51" i="1"/>
  <c r="BQ33" i="1"/>
  <c r="BQ14" i="1"/>
  <c r="D24" i="7"/>
  <c r="BF6" i="5"/>
  <c r="BE6" i="5"/>
  <c r="D25" i="7" s="1"/>
  <c r="BQ21" i="1"/>
  <c r="BQ49" i="1"/>
  <c r="BQ37" i="1"/>
  <c r="BQ19" i="1"/>
  <c r="BQ48" i="1"/>
  <c r="BQ8" i="1"/>
  <c r="BQ43" i="1"/>
  <c r="BQ44" i="1"/>
  <c r="BQ11" i="1"/>
  <c r="BQ29" i="1"/>
  <c r="BQ20" i="1"/>
  <c r="BF23" i="5"/>
  <c r="BF39" i="5"/>
  <c r="BF7" i="5"/>
  <c r="BE7" i="5"/>
  <c r="BE25" i="5"/>
  <c r="BF25" i="5"/>
  <c r="BE21" i="5"/>
  <c r="BF21" i="5"/>
  <c r="BF37" i="5"/>
  <c r="BE37" i="5"/>
  <c r="BF14" i="5"/>
  <c r="BF19" i="5"/>
  <c r="BE19" i="5"/>
  <c r="BF33" i="5"/>
  <c r="BE33" i="5"/>
  <c r="BE12" i="5"/>
  <c r="BF12" i="5"/>
  <c r="BE32" i="5"/>
  <c r="BF32" i="5"/>
  <c r="D26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<sst xmlns="http://schemas.openxmlformats.org/spreadsheetml/2006/main" count="549" uniqueCount="199">
  <si>
    <t xml:space="preserve">رقم الجامعي </t>
  </si>
  <si>
    <t xml:space="preserve">أسماء الطلبة </t>
  </si>
  <si>
    <t xml:space="preserve">القرآن الكريم </t>
  </si>
  <si>
    <t>التوحيد</t>
  </si>
  <si>
    <t xml:space="preserve">المدخل إلى علوم الحديث     </t>
  </si>
  <si>
    <t>الفقه (1)</t>
  </si>
  <si>
    <t xml:space="preserve">المدخل إلى علوم القرآن </t>
  </si>
  <si>
    <t>التجويد</t>
  </si>
  <si>
    <t>مدخل إلى الحديث التحليلي</t>
  </si>
  <si>
    <t>النحو (1)</t>
  </si>
  <si>
    <t>تاريخ السنة</t>
  </si>
  <si>
    <t>مناهج البحث</t>
  </si>
  <si>
    <t>التحرير العربي</t>
  </si>
  <si>
    <t>English(2)</t>
  </si>
  <si>
    <t>حمزة أبوبكر كابا</t>
  </si>
  <si>
    <t xml:space="preserve">عمر شريف ماني </t>
  </si>
  <si>
    <t xml:space="preserve">مصطفى أبوبكر منجا </t>
  </si>
  <si>
    <t>مالا كيبا سيسي</t>
  </si>
  <si>
    <t>حليمة مجتبى جالو</t>
  </si>
  <si>
    <t>عبدالله شعيب كروما</t>
  </si>
  <si>
    <t>عائشة مبارك ديكو</t>
  </si>
  <si>
    <t>أم حواء سراج جالو</t>
  </si>
  <si>
    <t>عثمان الحاج باكيبا ديباسي</t>
  </si>
  <si>
    <t>مختار إبراهيم كمارا</t>
  </si>
  <si>
    <t>فامر فاندن ساني</t>
  </si>
  <si>
    <t>زينب محمد كمارا</t>
  </si>
  <si>
    <t>آدم مبارك ديكو</t>
  </si>
  <si>
    <t>مريم محمد سلو جالو</t>
  </si>
  <si>
    <t>أمر محمد تنكارا</t>
  </si>
  <si>
    <t>حسامي تاربا غدو</t>
  </si>
  <si>
    <t>فاطمة بنغالي جاورى</t>
  </si>
  <si>
    <t>محمد صالح أحمد باه</t>
  </si>
  <si>
    <t>جعفر موسى درامي</t>
  </si>
  <si>
    <t>عبدالحميد أحمد جالو</t>
  </si>
  <si>
    <t xml:space="preserve">يعقوب أحمد ترولي  </t>
  </si>
  <si>
    <t>أبوبكر شيخ كاناجي</t>
  </si>
  <si>
    <t xml:space="preserve">فودي محمد مارون </t>
  </si>
  <si>
    <t>عيسى محمد دانسو</t>
  </si>
  <si>
    <t>إسماعيل عمر بوجا</t>
  </si>
  <si>
    <t>محمد يوسف واغي</t>
  </si>
  <si>
    <t>عمر حجي فوفنا</t>
  </si>
  <si>
    <t>مالك إبراهيم ماني</t>
  </si>
  <si>
    <t>نيما ستو محمد دكوري</t>
  </si>
  <si>
    <t>أبوبكر كرمو ساني</t>
  </si>
  <si>
    <t>زكريا عيسى زيدا</t>
  </si>
  <si>
    <t>أم دمبو درامي</t>
  </si>
  <si>
    <t xml:space="preserve">يعقوب عمر درامي </t>
  </si>
  <si>
    <t>محمد محمد ملادو جالو</t>
  </si>
  <si>
    <t>بنت إبراهيم كمارا</t>
  </si>
  <si>
    <t xml:space="preserve">عيسى يحيى سيدي </t>
  </si>
  <si>
    <t>أبوبكر الأمين كمارا</t>
  </si>
  <si>
    <t>آمنة كيبا جاولا</t>
  </si>
  <si>
    <t xml:space="preserve">محمد محمد دكوري </t>
  </si>
  <si>
    <t>رقية محمد دكوري</t>
  </si>
  <si>
    <t>محمد إدريس جنتي</t>
  </si>
  <si>
    <t>إبراهيم عبدالقادر باري</t>
  </si>
  <si>
    <t>عيسى بلي تنكارا</t>
  </si>
  <si>
    <t>موسى فودي غسما</t>
  </si>
  <si>
    <t>الأمين كيبا توري</t>
  </si>
  <si>
    <t>إبراهيم مافو سيسي</t>
  </si>
  <si>
    <t>خديجة سيدي جانمي</t>
  </si>
  <si>
    <t>عيسى محمد دكوري</t>
  </si>
  <si>
    <t>خديجة ساجو كانتي</t>
  </si>
  <si>
    <t xml:space="preserve">محمود إبراهيم قونتي </t>
  </si>
  <si>
    <t xml:space="preserve">محمد الأمين لأمامي درامي </t>
  </si>
  <si>
    <t>إسماعيل عالم صو</t>
  </si>
  <si>
    <t>يوسف بابا دكوري</t>
  </si>
  <si>
    <t>الساعة</t>
  </si>
  <si>
    <t>الوزن</t>
  </si>
  <si>
    <t>الرمز</t>
  </si>
  <si>
    <t>النقاط</t>
  </si>
  <si>
    <t>مجموع النقاط</t>
  </si>
  <si>
    <t>مجموع الساعات</t>
  </si>
  <si>
    <t xml:space="preserve">المعدل الفصلي </t>
  </si>
  <si>
    <t xml:space="preserve">المعدل التراكمي </t>
  </si>
  <si>
    <t>التقدير</t>
  </si>
  <si>
    <t>الترتيب</t>
  </si>
  <si>
    <t>رواة الحديث</t>
  </si>
  <si>
    <t>مصطلح الحديث</t>
  </si>
  <si>
    <t>مناهج المحديثن</t>
  </si>
  <si>
    <t>الحديث التحليلي</t>
  </si>
  <si>
    <t>التفسير1</t>
  </si>
  <si>
    <t>النحو (2)</t>
  </si>
  <si>
    <t>الحاسوب</t>
  </si>
  <si>
    <t>الفقه 2</t>
  </si>
  <si>
    <t>الدرجة</t>
  </si>
  <si>
    <t xml:space="preserve">المعدلة </t>
  </si>
  <si>
    <t xml:space="preserve">رمز المعدلة </t>
  </si>
  <si>
    <t>ه</t>
  </si>
  <si>
    <t>راسب</t>
  </si>
  <si>
    <t>د</t>
  </si>
  <si>
    <t>مقبول</t>
  </si>
  <si>
    <t>د+</t>
  </si>
  <si>
    <t xml:space="preserve">مقبول مرتفع </t>
  </si>
  <si>
    <t>ج</t>
  </si>
  <si>
    <t xml:space="preserve">جيد </t>
  </si>
  <si>
    <t>ج+</t>
  </si>
  <si>
    <t xml:space="preserve">جيد مرتفع </t>
  </si>
  <si>
    <t>ب</t>
  </si>
  <si>
    <t xml:space="preserve">جيد جدا </t>
  </si>
  <si>
    <t>ب+</t>
  </si>
  <si>
    <t>جيد جد مرتفع</t>
  </si>
  <si>
    <t>أ</t>
  </si>
  <si>
    <t xml:space="preserve">ممتاز </t>
  </si>
  <si>
    <t xml:space="preserve">أ+ </t>
  </si>
  <si>
    <t xml:space="preserve">ممتاز مرتفع </t>
  </si>
  <si>
    <t>رواة الحديث 2</t>
  </si>
  <si>
    <t>مصطلح الحديث 2</t>
  </si>
  <si>
    <t>كتب السنة1</t>
  </si>
  <si>
    <t>أصول الفقه 1</t>
  </si>
  <si>
    <t>الحديث التحليلي 2</t>
  </si>
  <si>
    <t>التوحيد 2</t>
  </si>
  <si>
    <t>دراسات غامبيا</t>
  </si>
  <si>
    <t>English(3)</t>
  </si>
  <si>
    <t xml:space="preserve">زكريا  عيسى  زيدا </t>
  </si>
  <si>
    <t>اسم الطالب</t>
  </si>
  <si>
    <t>المواد</t>
  </si>
  <si>
    <t>المستوى الأول 2022-2023</t>
  </si>
  <si>
    <t>القرآن الكريم</t>
  </si>
  <si>
    <t>المدخل إلى الحديث التجلثيلي</t>
  </si>
  <si>
    <t>المدخل إلى علوم الحديث</t>
  </si>
  <si>
    <t>المدخل إلى علوم القرآن</t>
  </si>
  <si>
    <t>الفقه</t>
  </si>
  <si>
    <t>اللغة الإنجليزية</t>
  </si>
  <si>
    <t>النحو</t>
  </si>
  <si>
    <t>م</t>
  </si>
  <si>
    <t xml:space="preserve">المعدل الفصلى </t>
  </si>
  <si>
    <t xml:space="preserve">مجموع </t>
  </si>
  <si>
    <t xml:space="preserve">الساعات </t>
  </si>
  <si>
    <t xml:space="preserve">المحموع </t>
  </si>
  <si>
    <t>المستوى الثاني  2022-2023</t>
  </si>
  <si>
    <t>المستوى الأول 2023-2024</t>
  </si>
  <si>
    <t>الساعة (م ق)</t>
  </si>
  <si>
    <t>الوزن  (م ق)</t>
  </si>
  <si>
    <t>الرمز  (م ق)</t>
  </si>
  <si>
    <t>النقاط  (م ق)</t>
  </si>
  <si>
    <t>الساعة (م رح)</t>
  </si>
  <si>
    <t>الوزن (م رح)</t>
  </si>
  <si>
    <t>الرمز (م رح)</t>
  </si>
  <si>
    <t>النقاط (م رح)</t>
  </si>
  <si>
    <t>الساعة ( م ح)</t>
  </si>
  <si>
    <t>الوزن ( م ح)</t>
  </si>
  <si>
    <t>الرمز ( م ح)</t>
  </si>
  <si>
    <t>النقاط ( م ح)</t>
  </si>
  <si>
    <t>الساعة (م ك س)</t>
  </si>
  <si>
    <t>كتب السنة1 (م ك س)</t>
  </si>
  <si>
    <t>الوزن (م ك س)</t>
  </si>
  <si>
    <t>الرمز (م ك س)</t>
  </si>
  <si>
    <t>النقاط (م ك س)</t>
  </si>
  <si>
    <t>الساعة (م أ ق)</t>
  </si>
  <si>
    <t>الوزن (م أ ق)</t>
  </si>
  <si>
    <t>الرمز (م أ ق)</t>
  </si>
  <si>
    <t>النقاط (م أ ق)</t>
  </si>
  <si>
    <t>الساعة (ح ت2)</t>
  </si>
  <si>
    <t>الوزن (ح ت2)</t>
  </si>
  <si>
    <t>الرمز (ح ت2)</t>
  </si>
  <si>
    <t>النقاط (ح ت2)</t>
  </si>
  <si>
    <t>الساعة (م ت 2)</t>
  </si>
  <si>
    <t>الوزن  (م ت 2)</t>
  </si>
  <si>
    <t>الرمز  (م ت 2)</t>
  </si>
  <si>
    <t>النقاط  (م ت 2)</t>
  </si>
  <si>
    <t>الوزن ( م ن 2)</t>
  </si>
  <si>
    <t>الرمزر( م ن 2)</t>
  </si>
  <si>
    <t>النقاط ( م ن 2)</t>
  </si>
  <si>
    <t>الساعة (م د غ)</t>
  </si>
  <si>
    <t>الوزن (م د غ)</t>
  </si>
  <si>
    <t>الرمز (م د غ)</t>
  </si>
  <si>
    <t>النقاط (م د غ)</t>
  </si>
  <si>
    <t>الساعة(ENG)</t>
  </si>
  <si>
    <t>الوزن (ENG)</t>
  </si>
  <si>
    <t>الرمز (ENG)</t>
  </si>
  <si>
    <t>النقاط (ENG)</t>
  </si>
  <si>
    <t>الحـــــديــــث</t>
  </si>
  <si>
    <t>المقرر</t>
  </si>
  <si>
    <t>الفصل الأول/ 2025-2026</t>
  </si>
  <si>
    <t xml:space="preserve">اسمه </t>
  </si>
  <si>
    <t xml:space="preserve">رمزه </t>
  </si>
  <si>
    <t>ساعته</t>
  </si>
  <si>
    <t xml:space="preserve">الدرجة النهائة </t>
  </si>
  <si>
    <t>وزنه</t>
  </si>
  <si>
    <t>رمزه</t>
  </si>
  <si>
    <t>الرقم الجامعي</t>
  </si>
  <si>
    <t>اسم الطالب/ ة</t>
  </si>
  <si>
    <t xml:space="preserve">الكلية </t>
  </si>
  <si>
    <t xml:space="preserve">المستوى </t>
  </si>
  <si>
    <t>المجموع</t>
  </si>
  <si>
    <t>المعدل الفصلي</t>
  </si>
  <si>
    <t xml:space="preserve">التقدير </t>
  </si>
  <si>
    <t xml:space="preserve">الترتيب </t>
  </si>
  <si>
    <t>الـــثــالــث</t>
  </si>
  <si>
    <t>قرأ 203</t>
  </si>
  <si>
    <t>سنة 202</t>
  </si>
  <si>
    <t>سند 202</t>
  </si>
  <si>
    <t>سنة 201</t>
  </si>
  <si>
    <t>أصل 201</t>
  </si>
  <si>
    <t>عقد 202</t>
  </si>
  <si>
    <t>العقيدة  2</t>
  </si>
  <si>
    <t>لغة 203</t>
  </si>
  <si>
    <t>ترخ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</si>
</sst>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4">
    <font>
      <sz val="11"/>
      <color theme="1"/>
      <name val="Calibri"/>
      <family val="2"/>
      <scheme val="minor"/>
    </font>
    <font>
      <sz val="20"/>
      <color theme="1"/>
      <name val="Akhbar MT"/>
      <charset val="178"/>
    </font>
    <font>
      <sz val="18"/>
      <color theme="1"/>
      <name val="Albertus Medium"/>
      <family val="2"/>
    </font>
    <font>
      <sz val="14"/>
      <color theme="1"/>
      <name val="Albertus Medium"/>
      <family val="2"/>
    </font>
    <font>
      <b/>
      <sz val="12"/>
      <color theme="1"/>
      <name val="Al Qabas Bold"/>
      <charset val="178"/>
    </font>
    <font>
      <b/>
      <sz val="12"/>
      <name val="Al Qabas Bold"/>
      <charset val="178"/>
    </font>
    <font>
      <b/>
      <sz val="11"/>
      <name val="Lemonada SemiBold"/>
    </font>
    <font>
      <b/>
      <sz val="14"/>
      <color rgb="FFCC0000"/>
      <name val="Calibri"/>
      <family val="2"/>
      <scheme val="minor"/>
    </font>
    <font>
      <b/>
      <sz val="16"/>
      <color rgb="FF0000CC"/>
      <name val="Calibri"/>
      <family val="2"/>
      <scheme val="minor"/>
    </font>
    <font>
      <b/>
      <sz val="16"/>
      <color rgb="FF990099"/>
      <name val="Calibri"/>
      <family val="2"/>
      <scheme val="minor"/>
    </font>
    <font>
      <b/>
      <sz val="18"/>
      <color rgb="FF10087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Aardvark Cafe"/>
    </font>
    <font>
      <b/>
      <sz val="14"/>
      <color theme="1"/>
      <name val="Aardvark Cafe"/>
    </font>
    <font>
      <sz val="14"/>
      <color theme="1"/>
      <name val="Aardvark Cafe"/>
    </font>
    <font>
      <b/>
      <sz val="16"/>
      <color theme="1"/>
      <name val="Iconettes"/>
    </font>
    <font>
      <b/>
      <sz val="16"/>
      <color theme="1"/>
      <name val="Aardvark Cafe"/>
    </font>
    <font>
      <b/>
      <sz val="14"/>
      <color theme="1"/>
      <name val="Calibri"/>
      <family val="2"/>
      <scheme val="minor"/>
    </font>
    <font>
      <b/>
      <sz val="20"/>
      <color theme="1"/>
      <name val="Sakkal Majalla"/>
    </font>
    <font>
      <b/>
      <sz val="11"/>
      <color theme="1"/>
      <name val="Calibri"/>
      <family val="2"/>
      <scheme val="minor"/>
    </font>
    <font>
      <b/>
      <sz val="20"/>
      <color theme="1"/>
      <name val="Akhbar MT"/>
      <charset val="178"/>
    </font>
    <font>
      <sz val="14"/>
      <color theme="1"/>
      <name val="ADLaM Display"/>
    </font>
    <font>
      <b/>
      <sz val="14"/>
      <color theme="1"/>
      <name val="ADLaM Display"/>
    </font>
    <font>
      <b/>
      <sz val="18"/>
      <color theme="1"/>
      <name val="Adobe Arabic"/>
      <family val="1"/>
    </font>
    <font>
      <b/>
      <sz val="18"/>
      <color theme="1"/>
      <name val="Traditional Arabic"/>
      <family val="1"/>
    </font>
    <font>
      <sz val="11"/>
      <color theme="1"/>
      <name val="Air Strip Arabic"/>
    </font>
    <font>
      <sz val="14"/>
      <color theme="1"/>
      <name val="Dubai Medium"/>
      <family val="2"/>
    </font>
    <font>
      <b/>
      <sz val="14"/>
      <color theme="1"/>
      <name val="Al Qabas Bold"/>
      <charset val="178"/>
    </font>
    <font>
      <b/>
      <sz val="11"/>
      <color theme="0"/>
      <name val="Lemonada Medium"/>
    </font>
    <font>
      <b/>
      <sz val="22"/>
      <color theme="0"/>
      <name val="Calibri Light"/>
      <family val="1"/>
      <scheme val="major"/>
    </font>
    <font>
      <b/>
      <sz val="16"/>
      <color theme="0"/>
      <name val="Simplified Arabic"/>
      <family val="1"/>
    </font>
    <font>
      <b/>
      <sz val="20"/>
      <color theme="0"/>
      <name val="Aharoni"/>
      <charset val="177"/>
    </font>
    <font>
      <b/>
      <sz val="12"/>
      <color theme="0"/>
      <name val="Lemonada Medium"/>
    </font>
    <font>
      <b/>
      <sz val="20"/>
      <name val="Al-Mohanad Bold"/>
      <family val="1"/>
    </font>
    <font>
      <b/>
      <sz val="14"/>
      <name val="Al Qabas Bold"/>
      <charset val="178"/>
    </font>
    <font>
      <b/>
      <sz val="11"/>
      <color theme="1"/>
      <name val="Al Qabas Bold"/>
      <charset val="178"/>
    </font>
    <font>
      <b/>
      <sz val="20"/>
      <name val="Calibri Light"/>
      <family val="1"/>
      <scheme val="major"/>
    </font>
    <font>
      <b/>
      <sz val="20"/>
      <name val="Microsoft Uighur"/>
    </font>
    <font>
      <b/>
      <sz val="22"/>
      <name val="Microsoft Uighur"/>
    </font>
    <font>
      <b/>
      <sz val="18"/>
      <color rgb="FFC00000"/>
      <name val="Sakkal Majalla"/>
    </font>
    <font>
      <b/>
      <sz val="20"/>
      <color rgb="FFC00000"/>
      <name val="Sakkal Majalla"/>
    </font>
    <font>
      <b/>
      <sz val="18"/>
      <name val="Al-Mohanad Bold"/>
      <family val="1"/>
    </font>
    <font>
      <b/>
      <sz val="16"/>
      <name val="Al-Mohanad Bold"/>
      <family val="1"/>
    </font>
    <font>
      <sz val="12"/>
      <name val="Al Qabas Bold"/>
      <charset val="178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name val="Calibri Light"/>
      <family val="1"/>
      <scheme val="major"/>
    </font>
    <font>
      <sz val="16"/>
      <name val="Calibri Light"/>
      <family val="1"/>
      <scheme val="major"/>
    </font>
    <font>
      <b/>
      <sz val="16"/>
      <color rgb="FFCC0000"/>
      <name val="Sakkal Majalla"/>
    </font>
    <font>
      <sz val="18"/>
      <name val="Calibri Light"/>
      <family val="1"/>
      <scheme val="major"/>
    </font>
    <font>
      <b/>
      <sz val="14"/>
      <color rgb="FF0000CC"/>
      <name val="Rubik Black"/>
    </font>
    <font>
      <b/>
      <sz val="14"/>
      <color rgb="FFC00000"/>
      <name val="Rubik Black"/>
    </font>
    <font>
      <b/>
      <sz val="16"/>
      <name val="Al Qabas Bold"/>
      <charset val="178"/>
    </font>
    <font>
      <b/>
      <sz val="24"/>
      <color rgb="FFC00000"/>
      <name val="Sakkal Majalla"/>
    </font>
  </fonts>
  <fills count="1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textRotation="90"/>
    </xf>
    <xf numFmtId="0" fontId="4" fillId="4" borderId="1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textRotation="90" shrinkToFit="1"/>
    </xf>
    <xf numFmtId="0" fontId="6" fillId="7" borderId="1" xfId="0" applyFont="1" applyFill="1" applyBorder="1" applyAlignment="1">
      <alignment horizontal="center" vertical="center" textRotation="90" shrinkToFit="1"/>
    </xf>
    <xf numFmtId="0" fontId="0" fillId="8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2" fontId="9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 textRotation="90" shrinkToFi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 textRotation="90"/>
    </xf>
    <xf numFmtId="2" fontId="3" fillId="5" borderId="1" xfId="0" applyNumberFormat="1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textRotation="90"/>
    </xf>
    <xf numFmtId="0" fontId="22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right" shrinkToFit="1"/>
    </xf>
    <xf numFmtId="0" fontId="0" fillId="0" borderId="0" xfId="0" applyAlignment="1">
      <alignment shrinkToFit="1"/>
    </xf>
    <xf numFmtId="0" fontId="23" fillId="2" borderId="1" xfId="0" applyFont="1" applyFill="1" applyBorder="1" applyAlignment="1">
      <alignment horizontal="center" vertical="center" textRotation="90"/>
    </xf>
    <xf numFmtId="0" fontId="23" fillId="2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textRotation="90"/>
    </xf>
    <xf numFmtId="0" fontId="24" fillId="10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2" fontId="19" fillId="8" borderId="1" xfId="0" applyNumberFormat="1" applyFont="1" applyFill="1" applyBorder="1" applyAlignment="1">
      <alignment horizontal="center" vertical="center"/>
    </xf>
    <xf numFmtId="2" fontId="19" fillId="8" borderId="1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  <xf numFmtId="0" fontId="25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right"/>
    </xf>
    <xf numFmtId="0" fontId="27" fillId="0" borderId="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1" fillId="17" borderId="1" xfId="0" applyFont="1" applyFill="1" applyBorder="1" applyAlignment="1">
      <alignment horizontal="center" vertical="center" textRotation="90"/>
    </xf>
    <xf numFmtId="0" fontId="42" fillId="15" borderId="1" xfId="0" applyFont="1" applyFill="1" applyBorder="1" applyAlignment="1">
      <alignment horizontal="center" vertical="center"/>
    </xf>
    <xf numFmtId="0" fontId="33" fillId="15" borderId="1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39" fillId="16" borderId="1" xfId="0" applyFont="1" applyFill="1" applyBorder="1" applyAlignment="1">
      <alignment horizontal="right" vertical="top"/>
    </xf>
    <xf numFmtId="0" fontId="39" fillId="16" borderId="8" xfId="0" applyFont="1" applyFill="1" applyBorder="1" applyAlignment="1">
      <alignment horizontal="right" vertical="top"/>
    </xf>
    <xf numFmtId="0" fontId="33" fillId="15" borderId="1" xfId="0" applyFont="1" applyFill="1" applyBorder="1" applyAlignment="1">
      <alignment vertical="center"/>
    </xf>
    <xf numFmtId="0" fontId="39" fillId="0" borderId="1" xfId="0" applyFont="1" applyBorder="1" applyAlignment="1">
      <alignment horizontal="right" vertical="top"/>
    </xf>
    <xf numFmtId="0" fontId="48" fillId="0" borderId="1" xfId="0" applyFont="1" applyBorder="1" applyAlignment="1">
      <alignment horizontal="center" vertical="center"/>
    </xf>
    <xf numFmtId="0" fontId="46" fillId="12" borderId="1" xfId="0" applyFont="1" applyFill="1" applyBorder="1" applyAlignment="1">
      <alignment horizontal="center" vertical="center"/>
    </xf>
    <xf numFmtId="0" fontId="46" fillId="15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47" fillId="12" borderId="1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40" fillId="16" borderId="1" xfId="0" applyFont="1" applyFill="1" applyBorder="1" applyAlignment="1">
      <alignment horizontal="center" vertical="top"/>
    </xf>
    <xf numFmtId="2" fontId="49" fillId="14" borderId="16" xfId="0" applyNumberFormat="1" applyFont="1" applyFill="1" applyBorder="1" applyAlignment="1">
      <alignment horizontal="center" vertical="center"/>
    </xf>
    <xf numFmtId="2" fontId="46" fillId="14" borderId="16" xfId="0" applyNumberFormat="1" applyFont="1" applyFill="1" applyBorder="1" applyAlignment="1">
      <alignment horizontal="center" vertical="center"/>
    </xf>
    <xf numFmtId="2" fontId="40" fillId="16" borderId="16" xfId="0" applyNumberFormat="1" applyFont="1" applyFill="1" applyBorder="1" applyAlignment="1">
      <alignment horizontal="center" vertical="top"/>
    </xf>
    <xf numFmtId="0" fontId="48" fillId="0" borderId="1" xfId="0" applyFont="1" applyBorder="1" applyAlignment="1">
      <alignment horizontal="center" vertical="center" readingOrder="2"/>
    </xf>
    <xf numFmtId="0" fontId="21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right" vertical="center" shrinkToFit="1"/>
    </xf>
    <xf numFmtId="0" fontId="0" fillId="0" borderId="1" xfId="0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2" fontId="51" fillId="16" borderId="1" xfId="0" applyNumberFormat="1" applyFont="1" applyFill="1" applyBorder="1" applyAlignment="1">
      <alignment horizontal="center"/>
    </xf>
    <xf numFmtId="2" fontId="51" fillId="16" borderId="16" xfId="0" applyNumberFormat="1" applyFont="1" applyFill="1" applyBorder="1" applyAlignment="1">
      <alignment horizontal="center"/>
    </xf>
    <xf numFmtId="2" fontId="50" fillId="16" borderId="1" xfId="0" applyNumberFormat="1" applyFont="1" applyFill="1" applyBorder="1" applyAlignment="1">
      <alignment horizontal="center"/>
    </xf>
    <xf numFmtId="2" fontId="50" fillId="16" borderId="16" xfId="0" applyNumberFormat="1" applyFont="1" applyFill="1" applyBorder="1" applyAlignment="1">
      <alignment horizontal="center"/>
    </xf>
    <xf numFmtId="2" fontId="52" fillId="16" borderId="1" xfId="0" applyNumberFormat="1" applyFont="1" applyFill="1" applyBorder="1" applyAlignment="1">
      <alignment horizontal="center" vertical="top"/>
    </xf>
    <xf numFmtId="2" fontId="52" fillId="16" borderId="16" xfId="0" applyNumberFormat="1" applyFont="1" applyFill="1" applyBorder="1" applyAlignment="1">
      <alignment horizontal="center" vertical="top"/>
    </xf>
    <xf numFmtId="0" fontId="53" fillId="16" borderId="8" xfId="0" applyFont="1" applyFill="1" applyBorder="1" applyAlignment="1">
      <alignment horizontal="center" vertical="center"/>
    </xf>
    <xf numFmtId="0" fontId="53" fillId="16" borderId="17" xfId="0" applyFont="1" applyFill="1" applyBorder="1" applyAlignment="1">
      <alignment horizontal="center" vertical="center"/>
    </xf>
    <xf numFmtId="0" fontId="39" fillId="16" borderId="10" xfId="0" applyFont="1" applyFill="1" applyBorder="1" applyAlignment="1">
      <alignment horizontal="center" vertical="top"/>
    </xf>
    <xf numFmtId="0" fontId="39" fillId="16" borderId="11" xfId="0" applyFont="1" applyFill="1" applyBorder="1" applyAlignment="1">
      <alignment horizontal="center" vertical="top"/>
    </xf>
    <xf numFmtId="0" fontId="39" fillId="16" borderId="9" xfId="0" applyFont="1" applyFill="1" applyBorder="1" applyAlignment="1">
      <alignment horizontal="center" vertical="top"/>
    </xf>
    <xf numFmtId="0" fontId="29" fillId="11" borderId="18" xfId="0" applyFont="1" applyFill="1" applyBorder="1" applyAlignment="1">
      <alignment horizontal="center" vertical="center"/>
    </xf>
    <xf numFmtId="0" fontId="30" fillId="11" borderId="18" xfId="0" applyFont="1" applyFill="1" applyBorder="1" applyAlignment="1">
      <alignment horizontal="center" vertical="center"/>
    </xf>
    <xf numFmtId="0" fontId="31" fillId="11" borderId="18" xfId="0" applyFont="1" applyFill="1" applyBorder="1" applyAlignment="1">
      <alignment horizontal="center" vertical="center"/>
    </xf>
    <xf numFmtId="0" fontId="43" fillId="15" borderId="1" xfId="0" applyFont="1" applyFill="1" applyBorder="1" applyAlignment="1">
      <alignment horizontal="center" vertical="center" wrapText="1"/>
    </xf>
    <xf numFmtId="0" fontId="41" fillId="15" borderId="1" xfId="0" applyFont="1" applyFill="1" applyBorder="1" applyAlignment="1">
      <alignment horizontal="center" vertical="center"/>
    </xf>
    <xf numFmtId="0" fontId="33" fillId="15" borderId="16" xfId="0" applyFont="1" applyFill="1" applyBorder="1" applyAlignment="1">
      <alignment horizontal="center" vertical="center"/>
    </xf>
    <xf numFmtId="0" fontId="32" fillId="11" borderId="18" xfId="0" applyFont="1" applyFill="1" applyBorder="1" applyAlignment="1">
      <alignment horizontal="center" vertical="center"/>
    </xf>
    <xf numFmtId="0" fontId="34" fillId="15" borderId="4" xfId="0" applyFont="1" applyFill="1" applyBorder="1" applyAlignment="1">
      <alignment horizontal="center" vertical="center"/>
    </xf>
    <xf numFmtId="0" fontId="34" fillId="15" borderId="12" xfId="0" applyFont="1" applyFill="1" applyBorder="1" applyAlignment="1">
      <alignment horizontal="center" vertical="center"/>
    </xf>
    <xf numFmtId="0" fontId="33" fillId="15" borderId="1" xfId="0" applyFont="1" applyFill="1" applyBorder="1" applyAlignment="1">
      <alignment horizontal="center" vertical="center"/>
    </xf>
    <xf numFmtId="0" fontId="45" fillId="15" borderId="14" xfId="0" applyFont="1" applyFill="1" applyBorder="1" applyAlignment="1">
      <alignment horizontal="center" vertical="center"/>
    </xf>
    <xf numFmtId="0" fontId="45" fillId="15" borderId="15" xfId="0" applyFont="1" applyFill="1" applyBorder="1" applyAlignment="1">
      <alignment horizontal="center" vertical="center"/>
    </xf>
    <xf numFmtId="0" fontId="28" fillId="11" borderId="18" xfId="0" applyFont="1" applyFill="1" applyBorder="1" applyAlignment="1">
      <alignment horizontal="center" vertical="center"/>
    </xf>
    <xf numFmtId="0" fontId="39" fillId="16" borderId="15" xfId="0" applyFont="1" applyFill="1" applyBorder="1" applyAlignment="1">
      <alignment horizontal="center" vertical="center"/>
    </xf>
    <xf numFmtId="0" fontId="39" fillId="16" borderId="1" xfId="0" applyFont="1" applyFill="1" applyBorder="1" applyAlignment="1">
      <alignment horizontal="center" vertical="center"/>
    </xf>
    <xf numFmtId="0" fontId="39" fillId="16" borderId="13" xfId="0" applyFont="1" applyFill="1" applyBorder="1" applyAlignment="1">
      <alignment horizontal="center" vertical="center"/>
    </xf>
    <xf numFmtId="0" fontId="39" fillId="16" borderId="8" xfId="0" applyFont="1" applyFill="1" applyBorder="1" applyAlignment="1">
      <alignment horizontal="center" vertical="center"/>
    </xf>
    <xf numFmtId="0" fontId="39" fillId="16" borderId="15" xfId="0" applyFont="1" applyFill="1" applyBorder="1" applyAlignment="1">
      <alignment horizontal="center" vertical="top"/>
    </xf>
    <xf numFmtId="0" fontId="39" fillId="16" borderId="1" xfId="0" applyFont="1" applyFill="1" applyBorder="1" applyAlignment="1">
      <alignment horizontal="center" vertical="top"/>
    </xf>
  </cellXfs>
  <cellStyles count="1"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CC"/>
      <color rgb="FFCC0000"/>
      <color rgb="FF100872"/>
      <color rgb="FF3366CC"/>
      <color rgb="FFFFFF00"/>
      <color rgb="FF66FF33"/>
      <color rgb="FF990099"/>
      <color rgb="FFCC66FF"/>
      <color rgb="FF9900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26</xdr:row>
      <xdr:rowOff>15240</xdr:rowOff>
    </xdr:from>
    <xdr:to>
      <xdr:col>7</xdr:col>
      <xdr:colOff>632460</xdr:colOff>
      <xdr:row>28</xdr:row>
      <xdr:rowOff>91440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E3B27E98-AB7D-4E8E-9929-130BD4515EA3}"/>
            </a:ext>
          </a:extLst>
        </xdr:cNvPr>
        <xdr:cNvSpPr txBox="1"/>
      </xdr:nvSpPr>
      <xdr:spPr>
        <a:xfrm>
          <a:off x="11230752240" y="8260080"/>
          <a:ext cx="182118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الامتحانات </a:t>
          </a:r>
        </a:p>
      </xdr:txBody>
    </xdr:sp>
    <xdr:clientData/>
  </xdr:twoCellAnchor>
  <xdr:twoCellAnchor>
    <xdr:from>
      <xdr:col>0</xdr:col>
      <xdr:colOff>15240</xdr:colOff>
      <xdr:row>0</xdr:row>
      <xdr:rowOff>7620</xdr:rowOff>
    </xdr:from>
    <xdr:to>
      <xdr:col>7</xdr:col>
      <xdr:colOff>662940</xdr:colOff>
      <xdr:row>4</xdr:row>
      <xdr:rowOff>0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EF182D8A-F192-4A18-9BB8-75319859137A}"/>
            </a:ext>
          </a:extLst>
        </xdr:cNvPr>
        <xdr:cNvSpPr txBox="1"/>
      </xdr:nvSpPr>
      <xdr:spPr>
        <a:xfrm>
          <a:off x="11230721760" y="7620"/>
          <a:ext cx="5760720" cy="70104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2400" b="1">
              <a:solidFill>
                <a:schemeClr val="bg1"/>
              </a:solidFill>
            </a:rPr>
            <a:t>                                                      </a:t>
          </a:r>
          <a:endParaRPr lang="ar-SA" sz="2400" b="1">
            <a:solidFill>
              <a:schemeClr val="bg1"/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26</xdr:row>
      <xdr:rowOff>144780</xdr:rowOff>
    </xdr:from>
    <xdr:to>
      <xdr:col>1</xdr:col>
      <xdr:colOff>1264920</xdr:colOff>
      <xdr:row>28</xdr:row>
      <xdr:rowOff>167640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59A136FB-3CD3-C67F-0172-8EA82089DFF1}"/>
            </a:ext>
          </a:extLst>
        </xdr:cNvPr>
        <xdr:cNvSpPr txBox="1"/>
      </xdr:nvSpPr>
      <xdr:spPr>
        <a:xfrm>
          <a:off x="11234745120" y="8191500"/>
          <a:ext cx="185166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الجامعة  </a:t>
          </a:r>
        </a:p>
      </xdr:txBody>
    </xdr:sp>
    <xdr:clientData/>
  </xdr:twoCellAnchor>
  <xdr:twoCellAnchor>
    <xdr:from>
      <xdr:col>1</xdr:col>
      <xdr:colOff>1082040</xdr:colOff>
      <xdr:row>27</xdr:row>
      <xdr:rowOff>22860</xdr:rowOff>
    </xdr:from>
    <xdr:to>
      <xdr:col>4</xdr:col>
      <xdr:colOff>381000</xdr:colOff>
      <xdr:row>29</xdr:row>
      <xdr:rowOff>22860</xdr:rowOff>
    </xdr:to>
    <xdr:sp macro="" textlink="">
      <xdr:nvSpPr>
        <xdr:cNvPr id="8" name="مربع نص 7">
          <a:extLst>
            <a:ext uri="{FF2B5EF4-FFF2-40B4-BE49-F238E27FC236}">
              <a16:creationId xmlns:a16="http://schemas.microsoft.com/office/drawing/2014/main" id="{968D8F88-1E05-EB99-F103-B2F7C7853665}"/>
            </a:ext>
          </a:extLst>
        </xdr:cNvPr>
        <xdr:cNvSpPr txBox="1"/>
      </xdr:nvSpPr>
      <xdr:spPr>
        <a:xfrm>
          <a:off x="11232603900" y="8252460"/>
          <a:ext cx="207264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الختم</a:t>
          </a:r>
          <a:r>
            <a:rPr lang="ar-SA" sz="1200" b="1" kern="1200" baseline="0"/>
            <a:t> الرسمي </a:t>
          </a:r>
          <a:endParaRPr lang="ar-SA" sz="1200" b="1" kern="1200"/>
        </a:p>
      </xdr:txBody>
    </xdr:sp>
    <xdr:clientData/>
  </xdr:twoCellAnchor>
  <xdr:twoCellAnchor>
    <xdr:from>
      <xdr:col>0</xdr:col>
      <xdr:colOff>304800</xdr:colOff>
      <xdr:row>1</xdr:row>
      <xdr:rowOff>160020</xdr:rowOff>
    </xdr:from>
    <xdr:to>
      <xdr:col>2</xdr:col>
      <xdr:colOff>563880</xdr:colOff>
      <xdr:row>3</xdr:row>
      <xdr:rowOff>144780</xdr:rowOff>
    </xdr:to>
    <xdr:sp macro="" textlink="">
      <xdr:nvSpPr>
        <xdr:cNvPr id="9" name="مستطيل 8">
          <a:extLst>
            <a:ext uri="{FF2B5EF4-FFF2-40B4-BE49-F238E27FC236}">
              <a16:creationId xmlns:a16="http://schemas.microsoft.com/office/drawing/2014/main" id="{0B21074D-FB0C-4A3B-BDB4-F58B3B0C1A37}"/>
            </a:ext>
          </a:extLst>
        </xdr:cNvPr>
        <xdr:cNvSpPr/>
      </xdr:nvSpPr>
      <xdr:spPr>
        <a:xfrm>
          <a:off x="11234150760" y="33528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SA" sz="1600" b="1">
              <a:solidFill>
                <a:srgbClr val="002060"/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كلية</a:t>
          </a:r>
          <a:r>
            <a:rPr lang="ar-SA" sz="1600" b="1" baseline="0">
              <a:solidFill>
                <a:srgbClr val="002060"/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 الحديث الشريف  </a:t>
          </a:r>
          <a:endParaRPr lang="ar-SA" sz="1600" b="1">
            <a:solidFill>
              <a:srgbClr val="002060"/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&#1575;&#1604;&#1578;&#1585;&#1575;&#1603;&#1605;&#1610;\&#1575;&#1604;&#1601;&#1608;&#1580;%20&#1575;&#1604;&#1571;&#1608;&#1604;%20&#1581;&#1583;&#1610;&#1579;.xlsx" TargetMode="External"/><Relationship Id="rId1" Type="http://schemas.openxmlformats.org/officeDocument/2006/relationships/externalLinkPath" Target="https://d.docs.live.net/662b4eddd2095285/Desktop/&#1575;&#1604;&#1578;&#1585;&#1575;&#1603;&#1605;&#1610;/&#1575;&#1604;&#1601;&#1608;&#1580;%20&#1575;&#1604;&#1571;&#1608;&#1604;%20&#1581;&#1583;&#1610;&#15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لمستوى الأول 2022"/>
      <sheetName val="المستوى الثاني 2023"/>
      <sheetName val="المستوى الثالث ح"/>
      <sheetName val="المستوى الرابع"/>
      <sheetName val="المستوى الخامس"/>
      <sheetName val="المرج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B3" t="str">
            <v>الدرجة</v>
          </cell>
          <cell r="C3" t="str">
            <v>الوزن</v>
          </cell>
          <cell r="D3" t="str">
            <v xml:space="preserve">المعدلة </v>
          </cell>
          <cell r="E3" t="str">
            <v xml:space="preserve">رمز المعدلة </v>
          </cell>
          <cell r="F3" t="str">
            <v>التقدير</v>
          </cell>
        </row>
        <row r="4">
          <cell r="B4">
            <v>0</v>
          </cell>
          <cell r="C4">
            <v>0</v>
          </cell>
          <cell r="D4">
            <v>0</v>
          </cell>
          <cell r="E4" t="str">
            <v>ه</v>
          </cell>
          <cell r="F4" t="str">
            <v>راسب</v>
          </cell>
        </row>
        <row r="5">
          <cell r="B5">
            <v>50</v>
          </cell>
          <cell r="C5">
            <v>2</v>
          </cell>
          <cell r="D5">
            <v>2</v>
          </cell>
          <cell r="E5" t="str">
            <v>د</v>
          </cell>
          <cell r="F5" t="str">
            <v>مقبول</v>
          </cell>
        </row>
        <row r="6">
          <cell r="B6">
            <v>65</v>
          </cell>
          <cell r="C6">
            <v>2.5</v>
          </cell>
          <cell r="D6">
            <v>2.1</v>
          </cell>
          <cell r="E6" t="str">
            <v>د+</v>
          </cell>
          <cell r="F6" t="str">
            <v xml:space="preserve">مقبول مرتفع </v>
          </cell>
        </row>
        <row r="7">
          <cell r="B7">
            <v>70</v>
          </cell>
          <cell r="C7">
            <v>3</v>
          </cell>
          <cell r="D7">
            <v>2.6</v>
          </cell>
          <cell r="E7" t="str">
            <v>ج</v>
          </cell>
          <cell r="F7" t="str">
            <v xml:space="preserve">جيد </v>
          </cell>
        </row>
        <row r="8">
          <cell r="B8">
            <v>75</v>
          </cell>
          <cell r="C8">
            <v>3.5</v>
          </cell>
          <cell r="D8">
            <v>3.1</v>
          </cell>
          <cell r="E8" t="str">
            <v>ج+</v>
          </cell>
          <cell r="F8" t="str">
            <v xml:space="preserve">جيد مرتفع </v>
          </cell>
        </row>
        <row r="9">
          <cell r="B9">
            <v>80</v>
          </cell>
          <cell r="C9">
            <v>4</v>
          </cell>
          <cell r="D9">
            <v>3.6</v>
          </cell>
          <cell r="E9" t="str">
            <v>ب</v>
          </cell>
          <cell r="F9" t="str">
            <v xml:space="preserve">جيد جدا </v>
          </cell>
        </row>
        <row r="10">
          <cell r="B10">
            <v>85</v>
          </cell>
          <cell r="C10">
            <v>4.5</v>
          </cell>
          <cell r="D10">
            <v>4.0999999999999996</v>
          </cell>
          <cell r="E10" t="str">
            <v>ب+</v>
          </cell>
          <cell r="F10" t="str">
            <v>جيد جد مرتفع</v>
          </cell>
        </row>
        <row r="11">
          <cell r="B11">
            <v>90</v>
          </cell>
          <cell r="C11">
            <v>4.75</v>
          </cell>
          <cell r="D11">
            <v>4.5999999999999996</v>
          </cell>
          <cell r="E11" t="str">
            <v>أ</v>
          </cell>
          <cell r="F11" t="str">
            <v xml:space="preserve">ممتاز </v>
          </cell>
        </row>
        <row r="12">
          <cell r="B12">
            <v>95</v>
          </cell>
          <cell r="C12">
            <v>5</v>
          </cell>
          <cell r="D12">
            <v>4.76</v>
          </cell>
          <cell r="E12" t="str">
            <v xml:space="preserve">أ+ </v>
          </cell>
          <cell r="F12" t="str">
            <v xml:space="preserve">ممتاز مرتفع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B1:BQ55"/>
  <sheetViews>
    <sheetView rightToLeft="1" topLeftCell="AN1" workbookViewId="0">
      <selection activeCell="AX2" sqref="AX2"/>
    </sheetView>
  </sheetViews>
  <sheetFormatPr defaultRowHeight="14.5"/>
  <cols>
    <col min="2" max="2" width="8.81640625" customWidth="1"/>
    <col min="3" max="3" width="28.08984375" customWidth="1"/>
    <col min="4" max="4" width="4.6328125" customWidth="1"/>
    <col min="5" max="5" width="6.90625" bestFit="1" customWidth="1"/>
    <col min="6" max="6" width="6" bestFit="1" customWidth="1"/>
    <col min="7" max="7" width="4.90625" bestFit="1" customWidth="1"/>
    <col min="8" max="8" width="6.7265625" bestFit="1" customWidth="1"/>
    <col min="9" max="9" width="6.08984375" customWidth="1"/>
    <col min="10" max="10" width="6.90625" bestFit="1" customWidth="1"/>
    <col min="11" max="11" width="6" bestFit="1" customWidth="1"/>
    <col min="12" max="12" width="4.90625" customWidth="1"/>
    <col min="13" max="13" width="6.453125" style="13" customWidth="1"/>
    <col min="14" max="14" width="4.7265625" style="13" customWidth="1"/>
    <col min="15" max="24" width="6.1796875" customWidth="1"/>
    <col min="25" max="28" width="7.36328125" customWidth="1"/>
    <col min="29" max="29" width="6" customWidth="1"/>
    <col min="30" max="60" width="6.1796875" customWidth="1"/>
    <col min="61" max="63" width="5.81640625" customWidth="1"/>
    <col min="67" max="67" width="8.81640625" hidden="1" customWidth="1"/>
    <col min="68" max="68" width="10.453125" customWidth="1"/>
  </cols>
  <sheetData>
    <row r="1" spans="2:69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2:69" ht="154.75" customHeight="1">
      <c r="B2" s="1" t="s">
        <v>0</v>
      </c>
      <c r="C2" s="2" t="s">
        <v>1</v>
      </c>
      <c r="D2" s="14" t="s">
        <v>67</v>
      </c>
      <c r="E2" s="60" t="s">
        <v>2</v>
      </c>
      <c r="F2" s="6" t="s">
        <v>68</v>
      </c>
      <c r="G2" s="7" t="s">
        <v>69</v>
      </c>
      <c r="H2" s="9" t="s">
        <v>70</v>
      </c>
      <c r="I2" s="14" t="s">
        <v>67</v>
      </c>
      <c r="J2" s="60" t="s">
        <v>3</v>
      </c>
      <c r="K2" s="6" t="s">
        <v>68</v>
      </c>
      <c r="L2" s="7" t="s">
        <v>69</v>
      </c>
      <c r="M2" s="9" t="s">
        <v>70</v>
      </c>
      <c r="N2" s="14" t="s">
        <v>67</v>
      </c>
      <c r="O2" s="60" t="s">
        <v>4</v>
      </c>
      <c r="P2" s="6" t="s">
        <v>68</v>
      </c>
      <c r="Q2" s="7" t="s">
        <v>69</v>
      </c>
      <c r="R2" s="9" t="s">
        <v>70</v>
      </c>
      <c r="S2" s="14" t="s">
        <v>67</v>
      </c>
      <c r="T2" s="60" t="s">
        <v>5</v>
      </c>
      <c r="U2" s="6" t="s">
        <v>68</v>
      </c>
      <c r="V2" s="7" t="s">
        <v>69</v>
      </c>
      <c r="W2" s="9" t="s">
        <v>70</v>
      </c>
      <c r="X2" s="14" t="s">
        <v>67</v>
      </c>
      <c r="Y2" s="60" t="s">
        <v>6</v>
      </c>
      <c r="Z2" s="6" t="s">
        <v>68</v>
      </c>
      <c r="AA2" s="7" t="s">
        <v>69</v>
      </c>
      <c r="AB2" s="9" t="s">
        <v>70</v>
      </c>
      <c r="AC2" s="14" t="s">
        <v>67</v>
      </c>
      <c r="AD2" s="60" t="s">
        <v>7</v>
      </c>
      <c r="AE2" s="6" t="s">
        <v>68</v>
      </c>
      <c r="AF2" s="7" t="s">
        <v>69</v>
      </c>
      <c r="AG2" s="9" t="s">
        <v>70</v>
      </c>
      <c r="AH2" s="14" t="s">
        <v>67</v>
      </c>
      <c r="AI2" s="60" t="s">
        <v>8</v>
      </c>
      <c r="AJ2" s="6" t="s">
        <v>68</v>
      </c>
      <c r="AK2" s="7" t="s">
        <v>69</v>
      </c>
      <c r="AL2" s="9" t="s">
        <v>70</v>
      </c>
      <c r="AM2" s="14" t="s">
        <v>67</v>
      </c>
      <c r="AN2" s="60" t="s">
        <v>9</v>
      </c>
      <c r="AO2" s="6" t="s">
        <v>68</v>
      </c>
      <c r="AP2" s="7" t="s">
        <v>69</v>
      </c>
      <c r="AQ2" s="9" t="s">
        <v>70</v>
      </c>
      <c r="AR2" s="14" t="s">
        <v>67</v>
      </c>
      <c r="AS2" s="60" t="s">
        <v>10</v>
      </c>
      <c r="AT2" s="6" t="s">
        <v>68</v>
      </c>
      <c r="AU2" s="7" t="s">
        <v>69</v>
      </c>
      <c r="AV2" s="9" t="s">
        <v>70</v>
      </c>
      <c r="AW2" s="14" t="s">
        <v>67</v>
      </c>
      <c r="AX2" s="60" t="s">
        <v>11</v>
      </c>
      <c r="AY2" s="6" t="s">
        <v>68</v>
      </c>
      <c r="AZ2" s="7" t="s">
        <v>69</v>
      </c>
      <c r="BA2" s="9" t="s">
        <v>70</v>
      </c>
      <c r="BB2" s="14" t="s">
        <v>67</v>
      </c>
      <c r="BC2" s="2" t="s">
        <v>12</v>
      </c>
      <c r="BD2" s="6" t="s">
        <v>68</v>
      </c>
      <c r="BE2" s="7" t="s">
        <v>69</v>
      </c>
      <c r="BF2" s="9" t="s">
        <v>70</v>
      </c>
      <c r="BG2" s="14" t="s">
        <v>67</v>
      </c>
      <c r="BH2" s="2" t="s">
        <v>13</v>
      </c>
      <c r="BI2" s="6" t="s">
        <v>68</v>
      </c>
      <c r="BJ2" s="7" t="s">
        <v>69</v>
      </c>
      <c r="BK2" s="9" t="s">
        <v>70</v>
      </c>
      <c r="BL2" s="16" t="s">
        <v>71</v>
      </c>
      <c r="BM2" s="16" t="s">
        <v>72</v>
      </c>
      <c r="BN2" s="16" t="s">
        <v>73</v>
      </c>
      <c r="BO2" s="17" t="s">
        <v>74</v>
      </c>
      <c r="BP2" s="24" t="s">
        <v>75</v>
      </c>
      <c r="BQ2" s="16" t="s">
        <v>76</v>
      </c>
    </row>
    <row r="3" spans="2:69" ht="23.5">
      <c r="B3" s="1">
        <v>2024174</v>
      </c>
      <c r="C3" s="3" t="s">
        <v>14</v>
      </c>
      <c r="D3" s="5">
        <v>1</v>
      </c>
      <c r="E3" s="4">
        <v>99</v>
      </c>
      <c r="F3" s="11">
        <f>VLOOKUP(E3,[1]المرجع!$B$3:$C$12,2)</f>
        <v>5</v>
      </c>
      <c r="G3" s="8" t="str">
        <f>VLOOKUP(F3,[1]المرجع!$D$3:$E$12,2)</f>
        <v xml:space="preserve">أ+ </v>
      </c>
      <c r="H3" s="10">
        <f>F3*D3</f>
        <v>5</v>
      </c>
      <c r="I3" s="5">
        <v>2</v>
      </c>
      <c r="J3" s="4">
        <v>100</v>
      </c>
      <c r="K3" s="11">
        <f>VLOOKUP(J3,[1]المرجع!$B$3:$C$12,2)</f>
        <v>5</v>
      </c>
      <c r="L3" s="8" t="str">
        <f>VLOOKUP(K3,[1]المرجع!$D$3:$E$12,2)</f>
        <v xml:space="preserve">أ+ </v>
      </c>
      <c r="M3" s="10">
        <f>K3*I3</f>
        <v>10</v>
      </c>
      <c r="N3" s="15">
        <v>2</v>
      </c>
      <c r="O3" s="4">
        <v>100</v>
      </c>
      <c r="P3" s="11">
        <f>VLOOKUP(O3,[1]المرجع!$B$3:$C$12,2)</f>
        <v>5</v>
      </c>
      <c r="Q3" s="8" t="str">
        <f>VLOOKUP(P3,[1]المرجع!$D$3:$E$12,2)</f>
        <v xml:space="preserve">أ+ </v>
      </c>
      <c r="R3" s="10">
        <f>P3*N3</f>
        <v>10</v>
      </c>
      <c r="S3" s="15">
        <v>2</v>
      </c>
      <c r="T3" s="4">
        <v>98</v>
      </c>
      <c r="U3" s="11">
        <f>VLOOKUP(T3,[1]المرجع!$B$3:$C$12,2)</f>
        <v>5</v>
      </c>
      <c r="V3" s="8" t="str">
        <f>VLOOKUP(U3,[1]المرجع!$D$3:$E$12,2)</f>
        <v xml:space="preserve">أ+ </v>
      </c>
      <c r="W3" s="10">
        <f>U3*S3</f>
        <v>10</v>
      </c>
      <c r="X3" s="15">
        <v>2</v>
      </c>
      <c r="Y3" s="4">
        <v>100</v>
      </c>
      <c r="Z3" s="11">
        <f>VLOOKUP(Y3,[1]المرجع!$B$3:$C$12,2)</f>
        <v>5</v>
      </c>
      <c r="AA3" s="8" t="str">
        <f>VLOOKUP(Z3,[1]المرجع!$D$3:$E$12,2)</f>
        <v xml:space="preserve">أ+ </v>
      </c>
      <c r="AB3" s="10">
        <f>Z3*X3</f>
        <v>10</v>
      </c>
      <c r="AC3" s="15">
        <v>2</v>
      </c>
      <c r="AD3" s="4">
        <v>100</v>
      </c>
      <c r="AE3" s="11">
        <f>VLOOKUP(AD3,[1]المرجع!$B$3:$C$12,2)</f>
        <v>5</v>
      </c>
      <c r="AF3" s="8" t="str">
        <f>VLOOKUP(AE3,[1]المرجع!$D$3:$E$12,2)</f>
        <v xml:space="preserve">أ+ </v>
      </c>
      <c r="AG3" s="10">
        <f>AE3*AC3</f>
        <v>10</v>
      </c>
      <c r="AH3" s="15">
        <v>2</v>
      </c>
      <c r="AI3" s="4">
        <v>100</v>
      </c>
      <c r="AJ3" s="11">
        <f>VLOOKUP(AI3,[1]المرجع!$B$3:$C$12,2)</f>
        <v>5</v>
      </c>
      <c r="AK3" s="8" t="str">
        <f>VLOOKUP(AJ3,[1]المرجع!$D$3:$E$12,2)</f>
        <v xml:space="preserve">أ+ </v>
      </c>
      <c r="AL3" s="10">
        <f>AJ3*AH3</f>
        <v>10</v>
      </c>
      <c r="AM3" s="15">
        <v>2</v>
      </c>
      <c r="AN3" s="4">
        <v>95</v>
      </c>
      <c r="AO3" s="11">
        <f>VLOOKUP(AN3,[1]المرجع!$B$3:$C$12,2)</f>
        <v>5</v>
      </c>
      <c r="AP3" s="8" t="str">
        <f>VLOOKUP(AO3,[1]المرجع!$D$3:$E$12,2)</f>
        <v xml:space="preserve">أ+ </v>
      </c>
      <c r="AQ3" s="10">
        <f>AO3*AM3</f>
        <v>10</v>
      </c>
      <c r="AR3" s="15">
        <v>2</v>
      </c>
      <c r="AS3" s="4">
        <v>100</v>
      </c>
      <c r="AT3" s="11">
        <f>VLOOKUP(AS3,[1]المرجع!$B$3:$C$12,2)</f>
        <v>5</v>
      </c>
      <c r="AU3" s="8" t="str">
        <f>VLOOKUP(AT3,[1]المرجع!$D$3:$E$12,2)</f>
        <v xml:space="preserve">أ+ </v>
      </c>
      <c r="AV3" s="10">
        <f>AT3*AR3</f>
        <v>10</v>
      </c>
      <c r="AW3" s="15">
        <v>2</v>
      </c>
      <c r="AX3" s="4">
        <v>98</v>
      </c>
      <c r="AY3" s="11">
        <f>VLOOKUP(AX3,[1]المرجع!$B$3:$C$12,2)</f>
        <v>5</v>
      </c>
      <c r="AZ3" s="8" t="str">
        <f>VLOOKUP(AY3,[1]المرجع!$D$3:$E$12,2)</f>
        <v xml:space="preserve">أ+ </v>
      </c>
      <c r="BA3" s="10">
        <f>AY3*AW3</f>
        <v>10</v>
      </c>
      <c r="BB3" s="15">
        <v>2</v>
      </c>
      <c r="BC3" s="4">
        <v>90</v>
      </c>
      <c r="BD3" s="11">
        <f>VLOOKUP(BC3,[1]المرجع!$B$3:$C$12,2)</f>
        <v>4.75</v>
      </c>
      <c r="BE3" s="8" t="str">
        <f>VLOOKUP(BD3,[1]المرجع!$D$3:$E$12,2)</f>
        <v>أ</v>
      </c>
      <c r="BF3" s="10">
        <f>BD3*BB3</f>
        <v>9.5</v>
      </c>
      <c r="BG3" s="15">
        <v>2</v>
      </c>
      <c r="BH3" s="4">
        <v>100</v>
      </c>
      <c r="BI3" s="11">
        <f>VLOOKUP(BH3,[1]المرجع!$B$3:$C$12,2)</f>
        <v>5</v>
      </c>
      <c r="BJ3" s="8" t="str">
        <f>VLOOKUP(BI3,[1]المرجع!$D$3:$E$12,2)</f>
        <v xml:space="preserve">أ+ </v>
      </c>
      <c r="BK3" s="10">
        <f>BI3*BG3</f>
        <v>10</v>
      </c>
      <c r="BL3" s="19">
        <f>BK3+BF3+BA3+AV3+AQ3+AL3+AG3+AB3+W3+R3+M3+H3</f>
        <v>114.5</v>
      </c>
      <c r="BM3" s="20">
        <f>BG3+BB3+AW3+AR3+AM3+AH3+AC3+X3+S3+N3+I3+D3</f>
        <v>23</v>
      </c>
      <c r="BN3" s="21">
        <f>BL3/BM3</f>
        <v>4.9782608695652177</v>
      </c>
      <c r="BO3" s="18"/>
      <c r="BP3" s="23" t="str">
        <f>VLOOKUP(BN3,[1]المرجع!D$3:F$12,3)</f>
        <v xml:space="preserve">ممتاز مرتفع </v>
      </c>
      <c r="BQ3" s="22">
        <f>RANK(BN3,$BN$3:$BN$55)</f>
        <v>1</v>
      </c>
    </row>
    <row r="4" spans="2:69" ht="23.5">
      <c r="B4" s="1">
        <v>2024154</v>
      </c>
      <c r="C4" s="3" t="s">
        <v>15</v>
      </c>
      <c r="D4" s="5">
        <v>1</v>
      </c>
      <c r="E4" s="4">
        <v>97</v>
      </c>
      <c r="F4" s="11">
        <f>VLOOKUP(E4,[1]المرجع!$B$3:$C$12,2)</f>
        <v>5</v>
      </c>
      <c r="G4" s="8" t="str">
        <f>VLOOKUP(F4,[1]المرجع!$D$3:$E$12,2)</f>
        <v xml:space="preserve">أ+ </v>
      </c>
      <c r="H4" s="10">
        <f t="shared" ref="H4:H55" si="0">F4*D4</f>
        <v>5</v>
      </c>
      <c r="I4" s="5">
        <v>2</v>
      </c>
      <c r="J4" s="4">
        <v>98</v>
      </c>
      <c r="K4" s="11">
        <f>VLOOKUP(J4,[1]المرجع!$B$3:$C$12,2)</f>
        <v>5</v>
      </c>
      <c r="L4" s="8" t="str">
        <f>VLOOKUP(K4,[1]المرجع!$D$3:$E$12,2)</f>
        <v xml:space="preserve">أ+ </v>
      </c>
      <c r="M4" s="10">
        <f t="shared" ref="M4:M55" si="1">K4*I4</f>
        <v>10</v>
      </c>
      <c r="N4" s="15">
        <v>2</v>
      </c>
      <c r="O4" s="4">
        <v>99.5</v>
      </c>
      <c r="P4" s="11">
        <f>VLOOKUP(O4,[1]المرجع!$B$3:$C$12,2)</f>
        <v>5</v>
      </c>
      <c r="Q4" s="8" t="str">
        <f>VLOOKUP(P4,[1]المرجع!$D$3:$E$12,2)</f>
        <v xml:space="preserve">أ+ </v>
      </c>
      <c r="R4" s="10">
        <f t="shared" ref="R4:R55" si="2">P4*N4</f>
        <v>10</v>
      </c>
      <c r="S4" s="15">
        <v>2</v>
      </c>
      <c r="T4" s="4">
        <v>94</v>
      </c>
      <c r="U4" s="11">
        <f>VLOOKUP(T4,[1]المرجع!$B$3:$C$12,2)</f>
        <v>4.75</v>
      </c>
      <c r="V4" s="8" t="str">
        <f>VLOOKUP(U4,[1]المرجع!$D$3:$E$12,2)</f>
        <v>أ</v>
      </c>
      <c r="W4" s="10">
        <f t="shared" ref="W4:W55" si="3">U4*S4</f>
        <v>9.5</v>
      </c>
      <c r="X4" s="15">
        <v>2</v>
      </c>
      <c r="Y4" s="4">
        <v>100</v>
      </c>
      <c r="Z4" s="11">
        <f>VLOOKUP(Y4,[1]المرجع!$B$3:$C$12,2)</f>
        <v>5</v>
      </c>
      <c r="AA4" s="8" t="str">
        <f>VLOOKUP(Z4,[1]المرجع!$D$3:$E$12,2)</f>
        <v xml:space="preserve">أ+ </v>
      </c>
      <c r="AB4" s="10">
        <f t="shared" ref="AB4:AB55" si="4">Z4*X4</f>
        <v>10</v>
      </c>
      <c r="AC4" s="15">
        <v>2</v>
      </c>
      <c r="AD4" s="4">
        <v>75</v>
      </c>
      <c r="AE4" s="11">
        <f>VLOOKUP(AD4,[1]المرجع!$B$3:$C$12,2)</f>
        <v>3.5</v>
      </c>
      <c r="AF4" s="8" t="str">
        <f>VLOOKUP(AE4,[1]المرجع!$D$3:$E$12,2)</f>
        <v>ج+</v>
      </c>
      <c r="AG4" s="10">
        <f t="shared" ref="AG4:AG55" si="5">AE4*AC4</f>
        <v>7</v>
      </c>
      <c r="AH4" s="15">
        <v>2</v>
      </c>
      <c r="AI4" s="4">
        <v>97</v>
      </c>
      <c r="AJ4" s="11">
        <f>VLOOKUP(AI4,[1]المرجع!$B$3:$C$12,2)</f>
        <v>5</v>
      </c>
      <c r="AK4" s="8" t="str">
        <f>VLOOKUP(AJ4,[1]المرجع!$D$3:$E$12,2)</f>
        <v xml:space="preserve">أ+ </v>
      </c>
      <c r="AL4" s="10">
        <f t="shared" ref="AL4:AL55" si="6">AJ4*AH4</f>
        <v>10</v>
      </c>
      <c r="AM4" s="15">
        <v>2</v>
      </c>
      <c r="AN4" s="4">
        <v>95</v>
      </c>
      <c r="AO4" s="11">
        <f>VLOOKUP(AN4,[1]المرجع!$B$3:$C$12,2)</f>
        <v>5</v>
      </c>
      <c r="AP4" s="8" t="str">
        <f>VLOOKUP(AO4,[1]المرجع!$D$3:$E$12,2)</f>
        <v xml:space="preserve">أ+ </v>
      </c>
      <c r="AQ4" s="10">
        <f t="shared" ref="AQ4:AQ55" si="7">AO4*AM4</f>
        <v>10</v>
      </c>
      <c r="AR4" s="15">
        <v>2</v>
      </c>
      <c r="AS4" s="4">
        <v>100</v>
      </c>
      <c r="AT4" s="11">
        <f>VLOOKUP(AS4,[1]المرجع!$B$3:$C$12,2)</f>
        <v>5</v>
      </c>
      <c r="AU4" s="8" t="str">
        <f>VLOOKUP(AT4,[1]المرجع!$D$3:$E$12,2)</f>
        <v xml:space="preserve">أ+ </v>
      </c>
      <c r="AV4" s="10">
        <f t="shared" ref="AV4:AV55" si="8">AT4*AR4</f>
        <v>10</v>
      </c>
      <c r="AW4" s="15">
        <v>2</v>
      </c>
      <c r="AX4" s="4">
        <v>75</v>
      </c>
      <c r="AY4" s="11">
        <f>VLOOKUP(AX4,[1]المرجع!$B$3:$C$12,2)</f>
        <v>3.5</v>
      </c>
      <c r="AZ4" s="8" t="str">
        <f>VLOOKUP(AY4,[1]المرجع!$D$3:$E$12,2)</f>
        <v>ج+</v>
      </c>
      <c r="BA4" s="10">
        <f t="shared" ref="BA4:BA55" si="9">AY4*AW4</f>
        <v>7</v>
      </c>
      <c r="BB4" s="15">
        <v>2</v>
      </c>
      <c r="BC4" s="4">
        <v>90</v>
      </c>
      <c r="BD4" s="11">
        <f>VLOOKUP(BC4,[1]المرجع!$B$3:$C$12,2)</f>
        <v>4.75</v>
      </c>
      <c r="BE4" s="8" t="str">
        <f>VLOOKUP(BD4,[1]المرجع!$D$3:$E$12,2)</f>
        <v>أ</v>
      </c>
      <c r="BF4" s="10">
        <f t="shared" ref="BF4:BF55" si="10">BD4*BB4</f>
        <v>9.5</v>
      </c>
      <c r="BG4" s="15">
        <v>2</v>
      </c>
      <c r="BH4" s="4">
        <v>100</v>
      </c>
      <c r="BI4" s="11">
        <f>VLOOKUP(BH4,[1]المرجع!$B$3:$C$12,2)</f>
        <v>5</v>
      </c>
      <c r="BJ4" s="8" t="str">
        <f>VLOOKUP(BI4,[1]المرجع!$D$3:$E$12,2)</f>
        <v xml:space="preserve">أ+ </v>
      </c>
      <c r="BK4" s="10">
        <f t="shared" ref="BK4:BK55" si="11">BI4*BG4</f>
        <v>10</v>
      </c>
      <c r="BL4" s="19">
        <f t="shared" ref="BL4:BL55" si="12">BK4+BF4+BA4+AV4+AQ4+AL4+AG4+AB4+W4+R4+M4+H4</f>
        <v>108</v>
      </c>
      <c r="BM4" s="20">
        <f t="shared" ref="BM4:BM55" si="13">BG4+BB4+AW4+AR4+AM4+AH4+AC4+X4+S4+N4+I4+D4</f>
        <v>23</v>
      </c>
      <c r="BN4" s="21">
        <f t="shared" ref="BN4:BN55" si="14">BL4/BM4</f>
        <v>4.6956521739130439</v>
      </c>
      <c r="BO4" s="18"/>
      <c r="BP4" s="23" t="str">
        <f>VLOOKUP(BN4,[1]المرجع!D$3:F$12,3)</f>
        <v xml:space="preserve">ممتاز </v>
      </c>
      <c r="BQ4" s="22">
        <f t="shared" ref="BQ4:BQ55" si="15">RANK(BN4,$BN$3:$BN$55)</f>
        <v>5</v>
      </c>
    </row>
    <row r="5" spans="2:69" ht="23.5">
      <c r="B5" s="1">
        <v>2024153</v>
      </c>
      <c r="C5" s="3" t="s">
        <v>16</v>
      </c>
      <c r="D5" s="5">
        <v>1</v>
      </c>
      <c r="E5" s="4">
        <v>98</v>
      </c>
      <c r="F5" s="11">
        <f>VLOOKUP(E5,[1]المرجع!$B$3:$C$12,2)</f>
        <v>5</v>
      </c>
      <c r="G5" s="8" t="str">
        <f>VLOOKUP(F5,[1]المرجع!$D$3:$E$12,2)</f>
        <v xml:space="preserve">أ+ </v>
      </c>
      <c r="H5" s="10">
        <f t="shared" si="0"/>
        <v>5</v>
      </c>
      <c r="I5" s="5">
        <v>2</v>
      </c>
      <c r="J5" s="4">
        <v>98</v>
      </c>
      <c r="K5" s="11">
        <f>VLOOKUP(J5,[1]المرجع!$B$3:$C$12,2)</f>
        <v>5</v>
      </c>
      <c r="L5" s="8" t="str">
        <f>VLOOKUP(K5,[1]المرجع!$D$3:$E$12,2)</f>
        <v xml:space="preserve">أ+ </v>
      </c>
      <c r="M5" s="10">
        <f t="shared" si="1"/>
        <v>10</v>
      </c>
      <c r="N5" s="15">
        <v>2</v>
      </c>
      <c r="O5" s="4">
        <v>97</v>
      </c>
      <c r="P5" s="11">
        <f>VLOOKUP(O5,[1]المرجع!$B$3:$C$12,2)</f>
        <v>5</v>
      </c>
      <c r="Q5" s="8" t="str">
        <f>VLOOKUP(P5,[1]المرجع!$D$3:$E$12,2)</f>
        <v xml:space="preserve">أ+ </v>
      </c>
      <c r="R5" s="10">
        <f t="shared" si="2"/>
        <v>10</v>
      </c>
      <c r="S5" s="15">
        <v>2</v>
      </c>
      <c r="T5" s="4">
        <v>94</v>
      </c>
      <c r="U5" s="11">
        <f>VLOOKUP(T5,[1]المرجع!$B$3:$C$12,2)</f>
        <v>4.75</v>
      </c>
      <c r="V5" s="8" t="str">
        <f>VLOOKUP(U5,[1]المرجع!$D$3:$E$12,2)</f>
        <v>أ</v>
      </c>
      <c r="W5" s="10">
        <f t="shared" si="3"/>
        <v>9.5</v>
      </c>
      <c r="X5" s="15">
        <v>2</v>
      </c>
      <c r="Y5" s="4">
        <v>96</v>
      </c>
      <c r="Z5" s="11">
        <f>VLOOKUP(Y5,[1]المرجع!$B$3:$C$12,2)</f>
        <v>5</v>
      </c>
      <c r="AA5" s="8" t="str">
        <f>VLOOKUP(Z5,[1]المرجع!$D$3:$E$12,2)</f>
        <v xml:space="preserve">أ+ </v>
      </c>
      <c r="AB5" s="10">
        <f t="shared" si="4"/>
        <v>10</v>
      </c>
      <c r="AC5" s="15">
        <v>2</v>
      </c>
      <c r="AD5" s="4">
        <v>75</v>
      </c>
      <c r="AE5" s="11">
        <f>VLOOKUP(AD5,[1]المرجع!$B$3:$C$12,2)</f>
        <v>3.5</v>
      </c>
      <c r="AF5" s="8" t="str">
        <f>VLOOKUP(AE5,[1]المرجع!$D$3:$E$12,2)</f>
        <v>ج+</v>
      </c>
      <c r="AG5" s="10">
        <f t="shared" si="5"/>
        <v>7</v>
      </c>
      <c r="AH5" s="15">
        <v>2</v>
      </c>
      <c r="AI5" s="4">
        <v>95</v>
      </c>
      <c r="AJ5" s="11">
        <f>VLOOKUP(AI5,[1]المرجع!$B$3:$C$12,2)</f>
        <v>5</v>
      </c>
      <c r="AK5" s="8" t="str">
        <f>VLOOKUP(AJ5,[1]المرجع!$D$3:$E$12,2)</f>
        <v xml:space="preserve">أ+ </v>
      </c>
      <c r="AL5" s="10">
        <f t="shared" si="6"/>
        <v>10</v>
      </c>
      <c r="AM5" s="15">
        <v>2</v>
      </c>
      <c r="AN5" s="4">
        <v>95</v>
      </c>
      <c r="AO5" s="11">
        <f>VLOOKUP(AN5,[1]المرجع!$B$3:$C$12,2)</f>
        <v>5</v>
      </c>
      <c r="AP5" s="8" t="str">
        <f>VLOOKUP(AO5,[1]المرجع!$D$3:$E$12,2)</f>
        <v xml:space="preserve">أ+ </v>
      </c>
      <c r="AQ5" s="10">
        <f t="shared" si="7"/>
        <v>10</v>
      </c>
      <c r="AR5" s="15">
        <v>2</v>
      </c>
      <c r="AS5" s="4">
        <v>100</v>
      </c>
      <c r="AT5" s="11">
        <f>VLOOKUP(AS5,[1]المرجع!$B$3:$C$12,2)</f>
        <v>5</v>
      </c>
      <c r="AU5" s="8" t="str">
        <f>VLOOKUP(AT5,[1]المرجع!$D$3:$E$12,2)</f>
        <v xml:space="preserve">أ+ </v>
      </c>
      <c r="AV5" s="10">
        <f t="shared" si="8"/>
        <v>10</v>
      </c>
      <c r="AW5" s="15">
        <v>2</v>
      </c>
      <c r="AX5" s="4">
        <v>85</v>
      </c>
      <c r="AY5" s="11">
        <f>VLOOKUP(AX5,[1]المرجع!$B$3:$C$12,2)</f>
        <v>4.5</v>
      </c>
      <c r="AZ5" s="8" t="str">
        <f>VLOOKUP(AY5,[1]المرجع!$D$3:$E$12,2)</f>
        <v>ب+</v>
      </c>
      <c r="BA5" s="10">
        <f t="shared" si="9"/>
        <v>9</v>
      </c>
      <c r="BB5" s="15">
        <v>2</v>
      </c>
      <c r="BC5" s="4">
        <v>90</v>
      </c>
      <c r="BD5" s="11">
        <f>VLOOKUP(BC5,[1]المرجع!$B$3:$C$12,2)</f>
        <v>4.75</v>
      </c>
      <c r="BE5" s="8" t="str">
        <f>VLOOKUP(BD5,[1]المرجع!$D$3:$E$12,2)</f>
        <v>أ</v>
      </c>
      <c r="BF5" s="10">
        <f t="shared" si="10"/>
        <v>9.5</v>
      </c>
      <c r="BG5" s="15">
        <v>2</v>
      </c>
      <c r="BH5" s="4">
        <v>92</v>
      </c>
      <c r="BI5" s="11">
        <f>VLOOKUP(BH5,[1]المرجع!$B$3:$C$12,2)</f>
        <v>4.75</v>
      </c>
      <c r="BJ5" s="8" t="str">
        <f>VLOOKUP(BI5,[1]المرجع!$D$3:$E$12,2)</f>
        <v>أ</v>
      </c>
      <c r="BK5" s="10">
        <f t="shared" si="11"/>
        <v>9.5</v>
      </c>
      <c r="BL5" s="19">
        <f t="shared" si="12"/>
        <v>109.5</v>
      </c>
      <c r="BM5" s="20">
        <f t="shared" si="13"/>
        <v>23</v>
      </c>
      <c r="BN5" s="21">
        <f t="shared" si="14"/>
        <v>4.7608695652173916</v>
      </c>
      <c r="BO5" s="18"/>
      <c r="BP5" s="23" t="str">
        <f>VLOOKUP(BN5,[1]المرجع!D$3:F$12,3)</f>
        <v xml:space="preserve">ممتاز مرتفع </v>
      </c>
      <c r="BQ5" s="22">
        <f t="shared" si="15"/>
        <v>3</v>
      </c>
    </row>
    <row r="6" spans="2:69" ht="23.5">
      <c r="B6" s="1">
        <v>2024155</v>
      </c>
      <c r="C6" s="3" t="s">
        <v>17</v>
      </c>
      <c r="D6" s="5">
        <v>1</v>
      </c>
      <c r="E6" s="4">
        <v>94</v>
      </c>
      <c r="F6" s="11">
        <f>VLOOKUP(E6,[1]المرجع!$B$3:$C$12,2)</f>
        <v>4.75</v>
      </c>
      <c r="G6" s="8" t="str">
        <f>VLOOKUP(F6,[1]المرجع!$D$3:$E$12,2)</f>
        <v>أ</v>
      </c>
      <c r="H6" s="10">
        <f t="shared" si="0"/>
        <v>4.75</v>
      </c>
      <c r="I6" s="5">
        <v>2</v>
      </c>
      <c r="J6" s="4">
        <v>94</v>
      </c>
      <c r="K6" s="11">
        <f>VLOOKUP(J6,[1]المرجع!$B$3:$C$12,2)</f>
        <v>4.75</v>
      </c>
      <c r="L6" s="8" t="str">
        <f>VLOOKUP(K6,[1]المرجع!$D$3:$E$12,2)</f>
        <v>أ</v>
      </c>
      <c r="M6" s="10">
        <f t="shared" si="1"/>
        <v>9.5</v>
      </c>
      <c r="N6" s="15">
        <v>2</v>
      </c>
      <c r="O6" s="4">
        <v>90</v>
      </c>
      <c r="P6" s="11">
        <f>VLOOKUP(O6,[1]المرجع!$B$3:$C$12,2)</f>
        <v>4.75</v>
      </c>
      <c r="Q6" s="8" t="str">
        <f>VLOOKUP(P6,[1]المرجع!$D$3:$E$12,2)</f>
        <v>أ</v>
      </c>
      <c r="R6" s="10">
        <f t="shared" si="2"/>
        <v>9.5</v>
      </c>
      <c r="S6" s="15">
        <v>2</v>
      </c>
      <c r="T6" s="4">
        <v>90</v>
      </c>
      <c r="U6" s="11">
        <f>VLOOKUP(T6,[1]المرجع!$B$3:$C$12,2)</f>
        <v>4.75</v>
      </c>
      <c r="V6" s="8" t="str">
        <f>VLOOKUP(U6,[1]المرجع!$D$3:$E$12,2)</f>
        <v>أ</v>
      </c>
      <c r="W6" s="10">
        <f t="shared" si="3"/>
        <v>9.5</v>
      </c>
      <c r="X6" s="15">
        <v>2</v>
      </c>
      <c r="Y6" s="4">
        <v>95</v>
      </c>
      <c r="Z6" s="11">
        <f>VLOOKUP(Y6,[1]المرجع!$B$3:$C$12,2)</f>
        <v>5</v>
      </c>
      <c r="AA6" s="8" t="str">
        <f>VLOOKUP(Z6,[1]المرجع!$D$3:$E$12,2)</f>
        <v xml:space="preserve">أ+ </v>
      </c>
      <c r="AB6" s="10">
        <f t="shared" si="4"/>
        <v>10</v>
      </c>
      <c r="AC6" s="15">
        <v>2</v>
      </c>
      <c r="AD6" s="4">
        <v>92</v>
      </c>
      <c r="AE6" s="11">
        <f>VLOOKUP(AD6,[1]المرجع!$B$3:$C$12,2)</f>
        <v>4.75</v>
      </c>
      <c r="AF6" s="8" t="str">
        <f>VLOOKUP(AE6,[1]المرجع!$D$3:$E$12,2)</f>
        <v>أ</v>
      </c>
      <c r="AG6" s="10">
        <f t="shared" si="5"/>
        <v>9.5</v>
      </c>
      <c r="AH6" s="15">
        <v>2</v>
      </c>
      <c r="AI6" s="4">
        <v>95</v>
      </c>
      <c r="AJ6" s="11">
        <f>VLOOKUP(AI6,[1]المرجع!$B$3:$C$12,2)</f>
        <v>5</v>
      </c>
      <c r="AK6" s="8" t="str">
        <f>VLOOKUP(AJ6,[1]المرجع!$D$3:$E$12,2)</f>
        <v xml:space="preserve">أ+ </v>
      </c>
      <c r="AL6" s="10">
        <f t="shared" si="6"/>
        <v>10</v>
      </c>
      <c r="AM6" s="15">
        <v>2</v>
      </c>
      <c r="AN6" s="4">
        <v>95</v>
      </c>
      <c r="AO6" s="11">
        <f>VLOOKUP(AN6,[1]المرجع!$B$3:$C$12,2)</f>
        <v>5</v>
      </c>
      <c r="AP6" s="8" t="str">
        <f>VLOOKUP(AO6,[1]المرجع!$D$3:$E$12,2)</f>
        <v xml:space="preserve">أ+ </v>
      </c>
      <c r="AQ6" s="10">
        <f t="shared" si="7"/>
        <v>10</v>
      </c>
      <c r="AR6" s="15">
        <v>2</v>
      </c>
      <c r="AS6" s="4">
        <v>100</v>
      </c>
      <c r="AT6" s="11">
        <f>VLOOKUP(AS6,[1]المرجع!$B$3:$C$12,2)</f>
        <v>5</v>
      </c>
      <c r="AU6" s="8" t="str">
        <f>VLOOKUP(AT6,[1]المرجع!$D$3:$E$12,2)</f>
        <v xml:space="preserve">أ+ </v>
      </c>
      <c r="AV6" s="10">
        <f t="shared" si="8"/>
        <v>10</v>
      </c>
      <c r="AW6" s="15">
        <v>2</v>
      </c>
      <c r="AX6" s="4">
        <v>80</v>
      </c>
      <c r="AY6" s="11">
        <f>VLOOKUP(AX6,[1]المرجع!$B$3:$C$12,2)</f>
        <v>4</v>
      </c>
      <c r="AZ6" s="8" t="str">
        <f>VLOOKUP(AY6,[1]المرجع!$D$3:$E$12,2)</f>
        <v>ب</v>
      </c>
      <c r="BA6" s="10">
        <f t="shared" si="9"/>
        <v>8</v>
      </c>
      <c r="BB6" s="15">
        <v>2</v>
      </c>
      <c r="BC6" s="4">
        <v>87</v>
      </c>
      <c r="BD6" s="11">
        <f>VLOOKUP(BC6,[1]المرجع!$B$3:$C$12,2)</f>
        <v>4.5</v>
      </c>
      <c r="BE6" s="8" t="str">
        <f>VLOOKUP(BD6,[1]المرجع!$D$3:$E$12,2)</f>
        <v>ب+</v>
      </c>
      <c r="BF6" s="10">
        <f t="shared" si="10"/>
        <v>9</v>
      </c>
      <c r="BG6" s="15">
        <v>2</v>
      </c>
      <c r="BH6" s="4">
        <v>100</v>
      </c>
      <c r="BI6" s="11">
        <f>VLOOKUP(BH6,[1]المرجع!$B$3:$C$12,2)</f>
        <v>5</v>
      </c>
      <c r="BJ6" s="8" t="str">
        <f>VLOOKUP(BI6,[1]المرجع!$D$3:$E$12,2)</f>
        <v xml:space="preserve">أ+ </v>
      </c>
      <c r="BK6" s="10">
        <f t="shared" si="11"/>
        <v>10</v>
      </c>
      <c r="BL6" s="19">
        <f t="shared" si="12"/>
        <v>109.75</v>
      </c>
      <c r="BM6" s="20">
        <f t="shared" si="13"/>
        <v>23</v>
      </c>
      <c r="BN6" s="21">
        <f t="shared" si="14"/>
        <v>4.7717391304347823</v>
      </c>
      <c r="BO6" s="18"/>
      <c r="BP6" s="23" t="str">
        <f>VLOOKUP(BN6,[1]المرجع!D$3:F$12,3)</f>
        <v xml:space="preserve">ممتاز مرتفع </v>
      </c>
      <c r="BQ6" s="22">
        <f t="shared" si="15"/>
        <v>2</v>
      </c>
    </row>
    <row r="7" spans="2:69" ht="23.5">
      <c r="B7" s="1">
        <v>2024180</v>
      </c>
      <c r="C7" s="3" t="s">
        <v>18</v>
      </c>
      <c r="D7" s="5">
        <v>1</v>
      </c>
      <c r="E7" s="4">
        <v>88</v>
      </c>
      <c r="F7" s="11">
        <f>VLOOKUP(E7,[1]المرجع!$B$3:$C$12,2)</f>
        <v>4.5</v>
      </c>
      <c r="G7" s="8" t="str">
        <f>VLOOKUP(F7,[1]المرجع!$D$3:$E$12,2)</f>
        <v>ب+</v>
      </c>
      <c r="H7" s="10">
        <f t="shared" si="0"/>
        <v>4.5</v>
      </c>
      <c r="I7" s="5">
        <v>2</v>
      </c>
      <c r="J7" s="4">
        <v>96</v>
      </c>
      <c r="K7" s="11">
        <f>VLOOKUP(J7,[1]المرجع!$B$3:$C$12,2)</f>
        <v>5</v>
      </c>
      <c r="L7" s="8" t="str">
        <f>VLOOKUP(K7,[1]المرجع!$D$3:$E$12,2)</f>
        <v xml:space="preserve">أ+ </v>
      </c>
      <c r="M7" s="10">
        <f t="shared" si="1"/>
        <v>10</v>
      </c>
      <c r="N7" s="15">
        <v>2</v>
      </c>
      <c r="O7" s="4">
        <v>98</v>
      </c>
      <c r="P7" s="11">
        <f>VLOOKUP(O7,[1]المرجع!$B$3:$C$12,2)</f>
        <v>5</v>
      </c>
      <c r="Q7" s="8" t="str">
        <f>VLOOKUP(P7,[1]المرجع!$D$3:$E$12,2)</f>
        <v xml:space="preserve">أ+ </v>
      </c>
      <c r="R7" s="10">
        <f t="shared" si="2"/>
        <v>10</v>
      </c>
      <c r="S7" s="15">
        <v>2</v>
      </c>
      <c r="T7" s="4">
        <v>90</v>
      </c>
      <c r="U7" s="11">
        <f>VLOOKUP(T7,[1]المرجع!$B$3:$C$12,2)</f>
        <v>4.75</v>
      </c>
      <c r="V7" s="8" t="str">
        <f>VLOOKUP(U7,[1]المرجع!$D$3:$E$12,2)</f>
        <v>أ</v>
      </c>
      <c r="W7" s="10">
        <f t="shared" si="3"/>
        <v>9.5</v>
      </c>
      <c r="X7" s="15">
        <v>2</v>
      </c>
      <c r="Y7" s="4">
        <v>95</v>
      </c>
      <c r="Z7" s="11">
        <f>VLOOKUP(Y7,[1]المرجع!$B$3:$C$12,2)</f>
        <v>5</v>
      </c>
      <c r="AA7" s="8" t="str">
        <f>VLOOKUP(Z7,[1]المرجع!$D$3:$E$12,2)</f>
        <v xml:space="preserve">أ+ </v>
      </c>
      <c r="AB7" s="10">
        <f t="shared" si="4"/>
        <v>10</v>
      </c>
      <c r="AC7" s="15">
        <v>2</v>
      </c>
      <c r="AD7" s="4">
        <v>87</v>
      </c>
      <c r="AE7" s="11">
        <f>VLOOKUP(AD7,[1]المرجع!$B$3:$C$12,2)</f>
        <v>4.5</v>
      </c>
      <c r="AF7" s="8" t="str">
        <f>VLOOKUP(AE7,[1]المرجع!$D$3:$E$12,2)</f>
        <v>ب+</v>
      </c>
      <c r="AG7" s="10">
        <f t="shared" si="5"/>
        <v>9</v>
      </c>
      <c r="AH7" s="15">
        <v>2</v>
      </c>
      <c r="AI7" s="4">
        <v>99</v>
      </c>
      <c r="AJ7" s="11">
        <f>VLOOKUP(AI7,[1]المرجع!$B$3:$C$12,2)</f>
        <v>5</v>
      </c>
      <c r="AK7" s="8" t="str">
        <f>VLOOKUP(AJ7,[1]المرجع!$D$3:$E$12,2)</f>
        <v xml:space="preserve">أ+ </v>
      </c>
      <c r="AL7" s="10">
        <f t="shared" si="6"/>
        <v>10</v>
      </c>
      <c r="AM7" s="15">
        <v>2</v>
      </c>
      <c r="AN7" s="4">
        <v>75</v>
      </c>
      <c r="AO7" s="11">
        <f>VLOOKUP(AN7,[1]المرجع!$B$3:$C$12,2)</f>
        <v>3.5</v>
      </c>
      <c r="AP7" s="8" t="str">
        <f>VLOOKUP(AO7,[1]المرجع!$D$3:$E$12,2)</f>
        <v>ج+</v>
      </c>
      <c r="AQ7" s="10">
        <f t="shared" si="7"/>
        <v>7</v>
      </c>
      <c r="AR7" s="15">
        <v>2</v>
      </c>
      <c r="AS7" s="4">
        <v>100</v>
      </c>
      <c r="AT7" s="11">
        <f>VLOOKUP(AS7,[1]المرجع!$B$3:$C$12,2)</f>
        <v>5</v>
      </c>
      <c r="AU7" s="8" t="str">
        <f>VLOOKUP(AT7,[1]المرجع!$D$3:$E$12,2)</f>
        <v xml:space="preserve">أ+ </v>
      </c>
      <c r="AV7" s="10">
        <f t="shared" si="8"/>
        <v>10</v>
      </c>
      <c r="AW7" s="15">
        <v>2</v>
      </c>
      <c r="AX7" s="4">
        <v>95</v>
      </c>
      <c r="AY7" s="11">
        <f>VLOOKUP(AX7,[1]المرجع!$B$3:$C$12,2)</f>
        <v>5</v>
      </c>
      <c r="AZ7" s="8" t="str">
        <f>VLOOKUP(AY7,[1]المرجع!$D$3:$E$12,2)</f>
        <v xml:space="preserve">أ+ </v>
      </c>
      <c r="BA7" s="10">
        <f t="shared" si="9"/>
        <v>10</v>
      </c>
      <c r="BB7" s="15">
        <v>2</v>
      </c>
      <c r="BC7" s="4">
        <v>85</v>
      </c>
      <c r="BD7" s="11">
        <f>VLOOKUP(BC7,[1]المرجع!$B$3:$C$12,2)</f>
        <v>4.5</v>
      </c>
      <c r="BE7" s="8" t="str">
        <f>VLOOKUP(BD7,[1]المرجع!$D$3:$E$12,2)</f>
        <v>ب+</v>
      </c>
      <c r="BF7" s="10">
        <f t="shared" si="10"/>
        <v>9</v>
      </c>
      <c r="BG7" s="15">
        <v>2</v>
      </c>
      <c r="BH7" s="4">
        <v>100</v>
      </c>
      <c r="BI7" s="11">
        <f>VLOOKUP(BH7,[1]المرجع!$B$3:$C$12,2)</f>
        <v>5</v>
      </c>
      <c r="BJ7" s="8" t="str">
        <f>VLOOKUP(BI7,[1]المرجع!$D$3:$E$12,2)</f>
        <v xml:space="preserve">أ+ </v>
      </c>
      <c r="BK7" s="10">
        <f t="shared" si="11"/>
        <v>10</v>
      </c>
      <c r="BL7" s="19">
        <f t="shared" si="12"/>
        <v>109</v>
      </c>
      <c r="BM7" s="20">
        <f t="shared" si="13"/>
        <v>23</v>
      </c>
      <c r="BN7" s="21">
        <f t="shared" si="14"/>
        <v>4.7391304347826084</v>
      </c>
      <c r="BO7" s="18"/>
      <c r="BP7" s="23" t="str">
        <f>VLOOKUP(BN7,[1]المرجع!D$3:F$12,3)</f>
        <v xml:space="preserve">ممتاز </v>
      </c>
      <c r="BQ7" s="22">
        <f t="shared" si="15"/>
        <v>4</v>
      </c>
    </row>
    <row r="8" spans="2:69" ht="23.5">
      <c r="B8" s="1">
        <v>2024152</v>
      </c>
      <c r="C8" s="3" t="s">
        <v>19</v>
      </c>
      <c r="D8" s="5">
        <v>1</v>
      </c>
      <c r="E8" s="4">
        <v>98</v>
      </c>
      <c r="F8" s="11">
        <f>VLOOKUP(E8,[1]المرجع!$B$3:$C$12,2)</f>
        <v>5</v>
      </c>
      <c r="G8" s="8" t="str">
        <f>VLOOKUP(F8,[1]المرجع!$D$3:$E$12,2)</f>
        <v xml:space="preserve">أ+ </v>
      </c>
      <c r="H8" s="10">
        <f t="shared" si="0"/>
        <v>5</v>
      </c>
      <c r="I8" s="5">
        <v>2</v>
      </c>
      <c r="J8" s="4">
        <v>95</v>
      </c>
      <c r="K8" s="11">
        <f>VLOOKUP(J8,[1]المرجع!$B$3:$C$12,2)</f>
        <v>5</v>
      </c>
      <c r="L8" s="8" t="str">
        <f>VLOOKUP(K8,[1]المرجع!$D$3:$E$12,2)</f>
        <v xml:space="preserve">أ+ </v>
      </c>
      <c r="M8" s="10">
        <f t="shared" si="1"/>
        <v>10</v>
      </c>
      <c r="N8" s="15">
        <v>2</v>
      </c>
      <c r="O8" s="4">
        <v>95</v>
      </c>
      <c r="P8" s="11">
        <f>VLOOKUP(O8,[1]المرجع!$B$3:$C$12,2)</f>
        <v>5</v>
      </c>
      <c r="Q8" s="8" t="str">
        <f>VLOOKUP(P8,[1]المرجع!$D$3:$E$12,2)</f>
        <v xml:space="preserve">أ+ </v>
      </c>
      <c r="R8" s="10">
        <f t="shared" si="2"/>
        <v>10</v>
      </c>
      <c r="S8" s="15">
        <v>2</v>
      </c>
      <c r="T8" s="4">
        <v>95</v>
      </c>
      <c r="U8" s="11">
        <f>VLOOKUP(T8,[1]المرجع!$B$3:$C$12,2)</f>
        <v>5</v>
      </c>
      <c r="V8" s="8" t="str">
        <f>VLOOKUP(U8,[1]المرجع!$D$3:$E$12,2)</f>
        <v xml:space="preserve">أ+ </v>
      </c>
      <c r="W8" s="10">
        <f t="shared" si="3"/>
        <v>10</v>
      </c>
      <c r="X8" s="15">
        <v>2</v>
      </c>
      <c r="Y8" s="4">
        <v>93</v>
      </c>
      <c r="Z8" s="11">
        <f>VLOOKUP(Y8,[1]المرجع!$B$3:$C$12,2)</f>
        <v>4.75</v>
      </c>
      <c r="AA8" s="8" t="str">
        <f>VLOOKUP(Z8,[1]المرجع!$D$3:$E$12,2)</f>
        <v>أ</v>
      </c>
      <c r="AB8" s="10">
        <f t="shared" si="4"/>
        <v>9.5</v>
      </c>
      <c r="AC8" s="15">
        <v>2</v>
      </c>
      <c r="AD8" s="4">
        <v>59</v>
      </c>
      <c r="AE8" s="11">
        <f>VLOOKUP(AD8,[1]المرجع!$B$3:$C$12,2)</f>
        <v>2</v>
      </c>
      <c r="AF8" s="8" t="str">
        <f>VLOOKUP(AE8,[1]المرجع!$D$3:$E$12,2)</f>
        <v>د</v>
      </c>
      <c r="AG8" s="10">
        <f t="shared" si="5"/>
        <v>4</v>
      </c>
      <c r="AH8" s="15">
        <v>2</v>
      </c>
      <c r="AI8" s="4">
        <v>100</v>
      </c>
      <c r="AJ8" s="11">
        <f>VLOOKUP(AI8,[1]المرجع!$B$3:$C$12,2)</f>
        <v>5</v>
      </c>
      <c r="AK8" s="8" t="str">
        <f>VLOOKUP(AJ8,[1]المرجع!$D$3:$E$12,2)</f>
        <v xml:space="preserve">أ+ </v>
      </c>
      <c r="AL8" s="10">
        <f t="shared" si="6"/>
        <v>10</v>
      </c>
      <c r="AM8" s="15">
        <v>2</v>
      </c>
      <c r="AN8" s="4">
        <v>96</v>
      </c>
      <c r="AO8" s="11">
        <f>VLOOKUP(AN8,[1]المرجع!$B$3:$C$12,2)</f>
        <v>5</v>
      </c>
      <c r="AP8" s="8" t="str">
        <f>VLOOKUP(AO8,[1]المرجع!$D$3:$E$12,2)</f>
        <v xml:space="preserve">أ+ </v>
      </c>
      <c r="AQ8" s="10">
        <f t="shared" si="7"/>
        <v>10</v>
      </c>
      <c r="AR8" s="15">
        <v>2</v>
      </c>
      <c r="AS8" s="4">
        <v>100</v>
      </c>
      <c r="AT8" s="11">
        <f>VLOOKUP(AS8,[1]المرجع!$B$3:$C$12,2)</f>
        <v>5</v>
      </c>
      <c r="AU8" s="8" t="str">
        <f>VLOOKUP(AT8,[1]المرجع!$D$3:$E$12,2)</f>
        <v xml:space="preserve">أ+ </v>
      </c>
      <c r="AV8" s="10">
        <f t="shared" si="8"/>
        <v>10</v>
      </c>
      <c r="AW8" s="15">
        <v>2</v>
      </c>
      <c r="AX8" s="4">
        <v>75</v>
      </c>
      <c r="AY8" s="11">
        <f>VLOOKUP(AX8,[1]المرجع!$B$3:$C$12,2)</f>
        <v>3.5</v>
      </c>
      <c r="AZ8" s="8" t="str">
        <f>VLOOKUP(AY8,[1]المرجع!$D$3:$E$12,2)</f>
        <v>ج+</v>
      </c>
      <c r="BA8" s="10">
        <f t="shared" si="9"/>
        <v>7</v>
      </c>
      <c r="BB8" s="15">
        <v>2</v>
      </c>
      <c r="BC8" s="4">
        <v>85</v>
      </c>
      <c r="BD8" s="11">
        <f>VLOOKUP(BC8,[1]المرجع!$B$3:$C$12,2)</f>
        <v>4.5</v>
      </c>
      <c r="BE8" s="8" t="str">
        <f>VLOOKUP(BD8,[1]المرجع!$D$3:$E$12,2)</f>
        <v>ب+</v>
      </c>
      <c r="BF8" s="10">
        <f t="shared" si="10"/>
        <v>9</v>
      </c>
      <c r="BG8" s="15">
        <v>2</v>
      </c>
      <c r="BH8" s="4">
        <v>95</v>
      </c>
      <c r="BI8" s="11">
        <f>VLOOKUP(BH8,[1]المرجع!$B$3:$C$12,2)</f>
        <v>5</v>
      </c>
      <c r="BJ8" s="8" t="str">
        <f>VLOOKUP(BI8,[1]المرجع!$D$3:$E$12,2)</f>
        <v xml:space="preserve">أ+ </v>
      </c>
      <c r="BK8" s="10">
        <f t="shared" si="11"/>
        <v>10</v>
      </c>
      <c r="BL8" s="19">
        <f t="shared" si="12"/>
        <v>104.5</v>
      </c>
      <c r="BM8" s="20">
        <f t="shared" si="13"/>
        <v>23</v>
      </c>
      <c r="BN8" s="21">
        <f t="shared" si="14"/>
        <v>4.5434782608695654</v>
      </c>
      <c r="BO8" s="18"/>
      <c r="BP8" s="23" t="str">
        <f>VLOOKUP(BN8,[1]المرجع!D$3:F$12,3)</f>
        <v>جيد جد مرتفع</v>
      </c>
      <c r="BQ8" s="22">
        <f t="shared" si="15"/>
        <v>6</v>
      </c>
    </row>
    <row r="9" spans="2:69" ht="23.5">
      <c r="B9" s="1">
        <v>2024178</v>
      </c>
      <c r="C9" s="3" t="s">
        <v>20</v>
      </c>
      <c r="D9" s="5">
        <v>1</v>
      </c>
      <c r="E9" s="4">
        <v>95</v>
      </c>
      <c r="F9" s="11">
        <f>VLOOKUP(E9,[1]المرجع!$B$3:$C$12,2)</f>
        <v>5</v>
      </c>
      <c r="G9" s="8" t="str">
        <f>VLOOKUP(F9,[1]المرجع!$D$3:$E$12,2)</f>
        <v xml:space="preserve">أ+ </v>
      </c>
      <c r="H9" s="10">
        <f t="shared" si="0"/>
        <v>5</v>
      </c>
      <c r="I9" s="5">
        <v>2</v>
      </c>
      <c r="J9" s="4">
        <v>95</v>
      </c>
      <c r="K9" s="11">
        <f>VLOOKUP(J9,[1]المرجع!$B$3:$C$12,2)</f>
        <v>5</v>
      </c>
      <c r="L9" s="8" t="str">
        <f>VLOOKUP(K9,[1]المرجع!$D$3:$E$12,2)</f>
        <v xml:space="preserve">أ+ </v>
      </c>
      <c r="M9" s="10">
        <f t="shared" si="1"/>
        <v>10</v>
      </c>
      <c r="N9" s="15">
        <v>2</v>
      </c>
      <c r="O9" s="4">
        <v>97</v>
      </c>
      <c r="P9" s="11">
        <f>VLOOKUP(O9,[1]المرجع!$B$3:$C$12,2)</f>
        <v>5</v>
      </c>
      <c r="Q9" s="8" t="str">
        <f>VLOOKUP(P9,[1]المرجع!$D$3:$E$12,2)</f>
        <v xml:space="preserve">أ+ </v>
      </c>
      <c r="R9" s="10">
        <f t="shared" si="2"/>
        <v>10</v>
      </c>
      <c r="S9" s="15">
        <v>2</v>
      </c>
      <c r="T9" s="4">
        <v>90</v>
      </c>
      <c r="U9" s="11">
        <f>VLOOKUP(T9,[1]المرجع!$B$3:$C$12,2)</f>
        <v>4.75</v>
      </c>
      <c r="V9" s="8" t="str">
        <f>VLOOKUP(U9,[1]المرجع!$D$3:$E$12,2)</f>
        <v>أ</v>
      </c>
      <c r="W9" s="10">
        <f t="shared" si="3"/>
        <v>9.5</v>
      </c>
      <c r="X9" s="15">
        <v>2</v>
      </c>
      <c r="Y9" s="4">
        <v>97</v>
      </c>
      <c r="Z9" s="11">
        <f>VLOOKUP(Y9,[1]المرجع!$B$3:$C$12,2)</f>
        <v>5</v>
      </c>
      <c r="AA9" s="8" t="str">
        <f>VLOOKUP(Z9,[1]المرجع!$D$3:$E$12,2)</f>
        <v xml:space="preserve">أ+ </v>
      </c>
      <c r="AB9" s="10">
        <f t="shared" si="4"/>
        <v>10</v>
      </c>
      <c r="AC9" s="15">
        <v>2</v>
      </c>
      <c r="AD9" s="4">
        <v>76</v>
      </c>
      <c r="AE9" s="11">
        <f>VLOOKUP(AD9,[1]المرجع!$B$3:$C$12,2)</f>
        <v>3.5</v>
      </c>
      <c r="AF9" s="8" t="str">
        <f>VLOOKUP(AE9,[1]المرجع!$D$3:$E$12,2)</f>
        <v>ج+</v>
      </c>
      <c r="AG9" s="10">
        <f t="shared" si="5"/>
        <v>7</v>
      </c>
      <c r="AH9" s="15">
        <v>2</v>
      </c>
      <c r="AI9" s="4">
        <v>99</v>
      </c>
      <c r="AJ9" s="11">
        <f>VLOOKUP(AI9,[1]المرجع!$B$3:$C$12,2)</f>
        <v>5</v>
      </c>
      <c r="AK9" s="8" t="str">
        <f>VLOOKUP(AJ9,[1]المرجع!$D$3:$E$12,2)</f>
        <v xml:space="preserve">أ+ </v>
      </c>
      <c r="AL9" s="10">
        <f t="shared" si="6"/>
        <v>10</v>
      </c>
      <c r="AM9" s="15">
        <v>2</v>
      </c>
      <c r="AN9" s="4">
        <v>78</v>
      </c>
      <c r="AO9" s="11">
        <f>VLOOKUP(AN9,[1]المرجع!$B$3:$C$12,2)</f>
        <v>3.5</v>
      </c>
      <c r="AP9" s="8" t="str">
        <f>VLOOKUP(AO9,[1]المرجع!$D$3:$E$12,2)</f>
        <v>ج+</v>
      </c>
      <c r="AQ9" s="10">
        <f t="shared" si="7"/>
        <v>7</v>
      </c>
      <c r="AR9" s="15">
        <v>2</v>
      </c>
      <c r="AS9" s="4">
        <v>100</v>
      </c>
      <c r="AT9" s="11">
        <f>VLOOKUP(AS9,[1]المرجع!$B$3:$C$12,2)</f>
        <v>5</v>
      </c>
      <c r="AU9" s="8" t="str">
        <f>VLOOKUP(AT9,[1]المرجع!$D$3:$E$12,2)</f>
        <v xml:space="preserve">أ+ </v>
      </c>
      <c r="AV9" s="10">
        <f t="shared" si="8"/>
        <v>10</v>
      </c>
      <c r="AW9" s="15">
        <v>2</v>
      </c>
      <c r="AX9" s="4">
        <v>70</v>
      </c>
      <c r="AY9" s="11">
        <f>VLOOKUP(AX9,[1]المرجع!$B$3:$C$12,2)</f>
        <v>3</v>
      </c>
      <c r="AZ9" s="8" t="str">
        <f>VLOOKUP(AY9,[1]المرجع!$D$3:$E$12,2)</f>
        <v>ج</v>
      </c>
      <c r="BA9" s="10">
        <f t="shared" si="9"/>
        <v>6</v>
      </c>
      <c r="BB9" s="15">
        <v>2</v>
      </c>
      <c r="BC9" s="4">
        <v>83</v>
      </c>
      <c r="BD9" s="11">
        <f>VLOOKUP(BC9,[1]المرجع!$B$3:$C$12,2)</f>
        <v>4</v>
      </c>
      <c r="BE9" s="8" t="str">
        <f>VLOOKUP(BD9,[1]المرجع!$D$3:$E$12,2)</f>
        <v>ب</v>
      </c>
      <c r="BF9" s="10">
        <f t="shared" si="10"/>
        <v>8</v>
      </c>
      <c r="BG9" s="15">
        <v>2</v>
      </c>
      <c r="BH9" s="4">
        <v>100</v>
      </c>
      <c r="BI9" s="11">
        <f>VLOOKUP(BH9,[1]المرجع!$B$3:$C$12,2)</f>
        <v>5</v>
      </c>
      <c r="BJ9" s="8" t="str">
        <f>VLOOKUP(BI9,[1]المرجع!$D$3:$E$12,2)</f>
        <v xml:space="preserve">أ+ </v>
      </c>
      <c r="BK9" s="10">
        <f t="shared" si="11"/>
        <v>10</v>
      </c>
      <c r="BL9" s="19">
        <f t="shared" si="12"/>
        <v>102.5</v>
      </c>
      <c r="BM9" s="20">
        <f t="shared" si="13"/>
        <v>23</v>
      </c>
      <c r="BN9" s="21">
        <f t="shared" si="14"/>
        <v>4.4565217391304346</v>
      </c>
      <c r="BO9" s="18"/>
      <c r="BP9" s="23" t="str">
        <f>VLOOKUP(BN9,[1]المرجع!D$3:F$12,3)</f>
        <v>جيد جد مرتفع</v>
      </c>
      <c r="BQ9" s="22">
        <f t="shared" si="15"/>
        <v>8</v>
      </c>
    </row>
    <row r="10" spans="2:69" ht="23.5">
      <c r="B10" s="1">
        <v>2024303</v>
      </c>
      <c r="C10" s="3" t="s">
        <v>21</v>
      </c>
      <c r="D10" s="5">
        <v>1</v>
      </c>
      <c r="E10" s="4">
        <v>96</v>
      </c>
      <c r="F10" s="11">
        <f>VLOOKUP(E10,[1]المرجع!$B$3:$C$12,2)</f>
        <v>5</v>
      </c>
      <c r="G10" s="8" t="str">
        <f>VLOOKUP(F10,[1]المرجع!$D$3:$E$12,2)</f>
        <v xml:space="preserve">أ+ </v>
      </c>
      <c r="H10" s="10">
        <f t="shared" si="0"/>
        <v>5</v>
      </c>
      <c r="I10" s="5">
        <v>2</v>
      </c>
      <c r="J10" s="4">
        <v>98</v>
      </c>
      <c r="K10" s="11">
        <f>VLOOKUP(J10,[1]المرجع!$B$3:$C$12,2)</f>
        <v>5</v>
      </c>
      <c r="L10" s="8" t="str">
        <f>VLOOKUP(K10,[1]المرجع!$D$3:$E$12,2)</f>
        <v xml:space="preserve">أ+ </v>
      </c>
      <c r="M10" s="10">
        <f t="shared" si="1"/>
        <v>10</v>
      </c>
      <c r="N10" s="15">
        <v>2</v>
      </c>
      <c r="O10" s="4">
        <v>88</v>
      </c>
      <c r="P10" s="11">
        <f>VLOOKUP(O10,[1]المرجع!$B$3:$C$12,2)</f>
        <v>4.5</v>
      </c>
      <c r="Q10" s="8" t="str">
        <f>VLOOKUP(P10,[1]المرجع!$D$3:$E$12,2)</f>
        <v>ب+</v>
      </c>
      <c r="R10" s="10">
        <f t="shared" si="2"/>
        <v>9</v>
      </c>
      <c r="S10" s="15">
        <v>2</v>
      </c>
      <c r="T10" s="4">
        <v>90</v>
      </c>
      <c r="U10" s="11">
        <f>VLOOKUP(T10,[1]المرجع!$B$3:$C$12,2)</f>
        <v>4.75</v>
      </c>
      <c r="V10" s="8" t="str">
        <f>VLOOKUP(U10,[1]المرجع!$D$3:$E$12,2)</f>
        <v>أ</v>
      </c>
      <c r="W10" s="10">
        <f t="shared" si="3"/>
        <v>9.5</v>
      </c>
      <c r="X10" s="15">
        <v>2</v>
      </c>
      <c r="Y10" s="4">
        <v>99</v>
      </c>
      <c r="Z10" s="11">
        <f>VLOOKUP(Y10,[1]المرجع!$B$3:$C$12,2)</f>
        <v>5</v>
      </c>
      <c r="AA10" s="8" t="str">
        <f>VLOOKUP(Z10,[1]المرجع!$D$3:$E$12,2)</f>
        <v xml:space="preserve">أ+ </v>
      </c>
      <c r="AB10" s="10">
        <f t="shared" si="4"/>
        <v>10</v>
      </c>
      <c r="AC10" s="15">
        <v>2</v>
      </c>
      <c r="AD10" s="4">
        <v>79</v>
      </c>
      <c r="AE10" s="11">
        <f>VLOOKUP(AD10,[1]المرجع!$B$3:$C$12,2)</f>
        <v>3.5</v>
      </c>
      <c r="AF10" s="8" t="str">
        <f>VLOOKUP(AE10,[1]المرجع!$D$3:$E$12,2)</f>
        <v>ج+</v>
      </c>
      <c r="AG10" s="10">
        <f t="shared" si="5"/>
        <v>7</v>
      </c>
      <c r="AH10" s="15">
        <v>2</v>
      </c>
      <c r="AI10" s="4">
        <v>100</v>
      </c>
      <c r="AJ10" s="11">
        <f>VLOOKUP(AI10,[1]المرجع!$B$3:$C$12,2)</f>
        <v>5</v>
      </c>
      <c r="AK10" s="8" t="str">
        <f>VLOOKUP(AJ10,[1]المرجع!$D$3:$E$12,2)</f>
        <v xml:space="preserve">أ+ </v>
      </c>
      <c r="AL10" s="10">
        <f t="shared" si="6"/>
        <v>10</v>
      </c>
      <c r="AM10" s="15">
        <v>2</v>
      </c>
      <c r="AN10" s="4">
        <v>70</v>
      </c>
      <c r="AO10" s="11">
        <f>VLOOKUP(AN10,[1]المرجع!$B$3:$C$12,2)</f>
        <v>3</v>
      </c>
      <c r="AP10" s="8" t="str">
        <f>VLOOKUP(AO10,[1]المرجع!$D$3:$E$12,2)</f>
        <v>ج</v>
      </c>
      <c r="AQ10" s="10">
        <f t="shared" si="7"/>
        <v>6</v>
      </c>
      <c r="AR10" s="15">
        <v>2</v>
      </c>
      <c r="AS10" s="4">
        <v>100</v>
      </c>
      <c r="AT10" s="11">
        <f>VLOOKUP(AS10,[1]المرجع!$B$3:$C$12,2)</f>
        <v>5</v>
      </c>
      <c r="AU10" s="8" t="str">
        <f>VLOOKUP(AT10,[1]المرجع!$D$3:$E$12,2)</f>
        <v xml:space="preserve">أ+ </v>
      </c>
      <c r="AV10" s="10">
        <f t="shared" si="8"/>
        <v>10</v>
      </c>
      <c r="AW10" s="15">
        <v>2</v>
      </c>
      <c r="AX10" s="4">
        <v>91</v>
      </c>
      <c r="AY10" s="11">
        <f>VLOOKUP(AX10,[1]المرجع!$B$3:$C$12,2)</f>
        <v>4.75</v>
      </c>
      <c r="AZ10" s="8" t="str">
        <f>VLOOKUP(AY10,[1]المرجع!$D$3:$E$12,2)</f>
        <v>أ</v>
      </c>
      <c r="BA10" s="10">
        <f t="shared" si="9"/>
        <v>9.5</v>
      </c>
      <c r="BB10" s="15">
        <v>2</v>
      </c>
      <c r="BC10" s="4">
        <v>85</v>
      </c>
      <c r="BD10" s="11">
        <f>VLOOKUP(BC10,[1]المرجع!$B$3:$C$12,2)</f>
        <v>4.5</v>
      </c>
      <c r="BE10" s="8" t="str">
        <f>VLOOKUP(BD10,[1]المرجع!$D$3:$E$12,2)</f>
        <v>ب+</v>
      </c>
      <c r="BF10" s="10">
        <f t="shared" si="10"/>
        <v>9</v>
      </c>
      <c r="BG10" s="15">
        <v>2</v>
      </c>
      <c r="BH10" s="4">
        <v>82</v>
      </c>
      <c r="BI10" s="11">
        <f>VLOOKUP(BH10,[1]المرجع!$B$3:$C$12,2)</f>
        <v>4</v>
      </c>
      <c r="BJ10" s="8" t="str">
        <f>VLOOKUP(BI10,[1]المرجع!$D$3:$E$12,2)</f>
        <v>ب</v>
      </c>
      <c r="BK10" s="10">
        <f t="shared" si="11"/>
        <v>8</v>
      </c>
      <c r="BL10" s="19">
        <f t="shared" si="12"/>
        <v>103</v>
      </c>
      <c r="BM10" s="20">
        <f t="shared" si="13"/>
        <v>23</v>
      </c>
      <c r="BN10" s="21">
        <f t="shared" si="14"/>
        <v>4.4782608695652177</v>
      </c>
      <c r="BO10" s="18"/>
      <c r="BP10" s="23" t="str">
        <f>VLOOKUP(BN10,[1]المرجع!D$3:F$12,3)</f>
        <v>جيد جد مرتفع</v>
      </c>
      <c r="BQ10" s="22">
        <f t="shared" si="15"/>
        <v>7</v>
      </c>
    </row>
    <row r="11" spans="2:69" ht="23.5">
      <c r="B11" s="1">
        <v>2024162</v>
      </c>
      <c r="C11" s="3" t="s">
        <v>22</v>
      </c>
      <c r="D11" s="5">
        <v>1</v>
      </c>
      <c r="E11" s="4">
        <v>98</v>
      </c>
      <c r="F11" s="11">
        <f>VLOOKUP(E11,[1]المرجع!$B$3:$C$12,2)</f>
        <v>5</v>
      </c>
      <c r="G11" s="8" t="str">
        <f>VLOOKUP(F11,[1]المرجع!$D$3:$E$12,2)</f>
        <v xml:space="preserve">أ+ </v>
      </c>
      <c r="H11" s="10">
        <f t="shared" si="0"/>
        <v>5</v>
      </c>
      <c r="I11" s="5">
        <v>2</v>
      </c>
      <c r="J11" s="4">
        <v>96</v>
      </c>
      <c r="K11" s="11">
        <f>VLOOKUP(J11,[1]المرجع!$B$3:$C$12,2)</f>
        <v>5</v>
      </c>
      <c r="L11" s="8" t="str">
        <f>VLOOKUP(K11,[1]المرجع!$D$3:$E$12,2)</f>
        <v xml:space="preserve">أ+ </v>
      </c>
      <c r="M11" s="10">
        <f t="shared" si="1"/>
        <v>10</v>
      </c>
      <c r="N11" s="15">
        <v>2</v>
      </c>
      <c r="O11" s="4">
        <v>93</v>
      </c>
      <c r="P11" s="11">
        <f>VLOOKUP(O11,[1]المرجع!$B$3:$C$12,2)</f>
        <v>4.75</v>
      </c>
      <c r="Q11" s="8" t="str">
        <f>VLOOKUP(P11,[1]المرجع!$D$3:$E$12,2)</f>
        <v>أ</v>
      </c>
      <c r="R11" s="10">
        <f t="shared" si="2"/>
        <v>9.5</v>
      </c>
      <c r="S11" s="15">
        <v>2</v>
      </c>
      <c r="T11" s="4">
        <v>95</v>
      </c>
      <c r="U11" s="11">
        <f>VLOOKUP(T11,[1]المرجع!$B$3:$C$12,2)</f>
        <v>5</v>
      </c>
      <c r="V11" s="8" t="str">
        <f>VLOOKUP(U11,[1]المرجع!$D$3:$E$12,2)</f>
        <v xml:space="preserve">أ+ </v>
      </c>
      <c r="W11" s="10">
        <f t="shared" si="3"/>
        <v>10</v>
      </c>
      <c r="X11" s="15">
        <v>2</v>
      </c>
      <c r="Y11" s="4">
        <v>96</v>
      </c>
      <c r="Z11" s="11">
        <f>VLOOKUP(Y11,[1]المرجع!$B$3:$C$12,2)</f>
        <v>5</v>
      </c>
      <c r="AA11" s="8" t="str">
        <f>VLOOKUP(Z11,[1]المرجع!$D$3:$E$12,2)</f>
        <v xml:space="preserve">أ+ </v>
      </c>
      <c r="AB11" s="10">
        <f t="shared" si="4"/>
        <v>10</v>
      </c>
      <c r="AC11" s="15">
        <v>2</v>
      </c>
      <c r="AD11" s="4">
        <v>61</v>
      </c>
      <c r="AE11" s="11">
        <f>VLOOKUP(AD11,[1]المرجع!$B$3:$C$12,2)</f>
        <v>2</v>
      </c>
      <c r="AF11" s="8" t="str">
        <f>VLOOKUP(AE11,[1]المرجع!$D$3:$E$12,2)</f>
        <v>د</v>
      </c>
      <c r="AG11" s="10">
        <f t="shared" si="5"/>
        <v>4</v>
      </c>
      <c r="AH11" s="15">
        <v>2</v>
      </c>
      <c r="AI11" s="4">
        <v>90</v>
      </c>
      <c r="AJ11" s="11">
        <f>VLOOKUP(AI11,[1]المرجع!$B$3:$C$12,2)</f>
        <v>4.75</v>
      </c>
      <c r="AK11" s="8" t="str">
        <f>VLOOKUP(AJ11,[1]المرجع!$D$3:$E$12,2)</f>
        <v>أ</v>
      </c>
      <c r="AL11" s="10">
        <f t="shared" si="6"/>
        <v>9.5</v>
      </c>
      <c r="AM11" s="15">
        <v>2</v>
      </c>
      <c r="AN11" s="4">
        <v>95</v>
      </c>
      <c r="AO11" s="11">
        <f>VLOOKUP(AN11,[1]المرجع!$B$3:$C$12,2)</f>
        <v>5</v>
      </c>
      <c r="AP11" s="8" t="str">
        <f>VLOOKUP(AO11,[1]المرجع!$D$3:$E$12,2)</f>
        <v xml:space="preserve">أ+ </v>
      </c>
      <c r="AQ11" s="10">
        <f t="shared" si="7"/>
        <v>10</v>
      </c>
      <c r="AR11" s="15">
        <v>2</v>
      </c>
      <c r="AS11" s="4">
        <v>100</v>
      </c>
      <c r="AT11" s="11">
        <f>VLOOKUP(AS11,[1]المرجع!$B$3:$C$12,2)</f>
        <v>5</v>
      </c>
      <c r="AU11" s="8" t="str">
        <f>VLOOKUP(AT11,[1]المرجع!$D$3:$E$12,2)</f>
        <v xml:space="preserve">أ+ </v>
      </c>
      <c r="AV11" s="10">
        <f t="shared" si="8"/>
        <v>10</v>
      </c>
      <c r="AW11" s="15">
        <v>2</v>
      </c>
      <c r="AX11" s="4">
        <v>81</v>
      </c>
      <c r="AY11" s="11">
        <f>VLOOKUP(AX11,[1]المرجع!$B$3:$C$12,2)</f>
        <v>4</v>
      </c>
      <c r="AZ11" s="8" t="str">
        <f>VLOOKUP(AY11,[1]المرجع!$D$3:$E$12,2)</f>
        <v>ب</v>
      </c>
      <c r="BA11" s="10">
        <f t="shared" si="9"/>
        <v>8</v>
      </c>
      <c r="BB11" s="15">
        <v>2</v>
      </c>
      <c r="BC11" s="4">
        <v>79</v>
      </c>
      <c r="BD11" s="11">
        <f>VLOOKUP(BC11,[1]المرجع!$B$3:$C$12,2)</f>
        <v>3.5</v>
      </c>
      <c r="BE11" s="8" t="str">
        <f>VLOOKUP(BD11,[1]المرجع!$D$3:$E$12,2)</f>
        <v>ج+</v>
      </c>
      <c r="BF11" s="10">
        <f t="shared" si="10"/>
        <v>7</v>
      </c>
      <c r="BG11" s="15">
        <v>2</v>
      </c>
      <c r="BH11" s="4">
        <v>84</v>
      </c>
      <c r="BI11" s="11">
        <f>VLOOKUP(BH11,[1]المرجع!$B$3:$C$12,2)</f>
        <v>4</v>
      </c>
      <c r="BJ11" s="8" t="str">
        <f>VLOOKUP(BI11,[1]المرجع!$D$3:$E$12,2)</f>
        <v>ب</v>
      </c>
      <c r="BK11" s="10">
        <f t="shared" si="11"/>
        <v>8</v>
      </c>
      <c r="BL11" s="19">
        <f t="shared" si="12"/>
        <v>101</v>
      </c>
      <c r="BM11" s="20">
        <f t="shared" si="13"/>
        <v>23</v>
      </c>
      <c r="BN11" s="21">
        <f t="shared" si="14"/>
        <v>4.3913043478260869</v>
      </c>
      <c r="BO11" s="18"/>
      <c r="BP11" s="23" t="str">
        <f>VLOOKUP(BN11,[1]المرجع!D$3:F$12,3)</f>
        <v>جيد جد مرتفع</v>
      </c>
      <c r="BQ11" s="22">
        <f t="shared" si="15"/>
        <v>9</v>
      </c>
    </row>
    <row r="12" spans="2:69" ht="23.5">
      <c r="B12" s="1">
        <v>2024156</v>
      </c>
      <c r="C12" s="3" t="s">
        <v>23</v>
      </c>
      <c r="D12" s="5">
        <v>1</v>
      </c>
      <c r="E12" s="4">
        <v>97</v>
      </c>
      <c r="F12" s="11">
        <f>VLOOKUP(E12,[1]المرجع!$B$3:$C$12,2)</f>
        <v>5</v>
      </c>
      <c r="G12" s="8" t="str">
        <f>VLOOKUP(F12,[1]المرجع!$D$3:$E$12,2)</f>
        <v xml:space="preserve">أ+ </v>
      </c>
      <c r="H12" s="10">
        <f t="shared" si="0"/>
        <v>5</v>
      </c>
      <c r="I12" s="5">
        <v>2</v>
      </c>
      <c r="J12" s="4">
        <v>96</v>
      </c>
      <c r="K12" s="11">
        <f>VLOOKUP(J12,[1]المرجع!$B$3:$C$12,2)</f>
        <v>5</v>
      </c>
      <c r="L12" s="8" t="str">
        <f>VLOOKUP(K12,[1]المرجع!$D$3:$E$12,2)</f>
        <v xml:space="preserve">أ+ </v>
      </c>
      <c r="M12" s="10">
        <f t="shared" si="1"/>
        <v>10</v>
      </c>
      <c r="N12" s="15">
        <v>2</v>
      </c>
      <c r="O12" s="4">
        <v>96</v>
      </c>
      <c r="P12" s="11">
        <f>VLOOKUP(O12,[1]المرجع!$B$3:$C$12,2)</f>
        <v>5</v>
      </c>
      <c r="Q12" s="8" t="str">
        <f>VLOOKUP(P12,[1]المرجع!$D$3:$E$12,2)</f>
        <v xml:space="preserve">أ+ </v>
      </c>
      <c r="R12" s="10">
        <f t="shared" si="2"/>
        <v>10</v>
      </c>
      <c r="S12" s="15">
        <v>2</v>
      </c>
      <c r="T12" s="4">
        <v>91</v>
      </c>
      <c r="U12" s="11">
        <f>VLOOKUP(T12,[1]المرجع!$B$3:$C$12,2)</f>
        <v>4.75</v>
      </c>
      <c r="V12" s="8" t="str">
        <f>VLOOKUP(U12,[1]المرجع!$D$3:$E$12,2)</f>
        <v>أ</v>
      </c>
      <c r="W12" s="10">
        <f t="shared" si="3"/>
        <v>9.5</v>
      </c>
      <c r="X12" s="15">
        <v>2</v>
      </c>
      <c r="Y12" s="4">
        <v>97</v>
      </c>
      <c r="Z12" s="11">
        <f>VLOOKUP(Y12,[1]المرجع!$B$3:$C$12,2)</f>
        <v>5</v>
      </c>
      <c r="AA12" s="8" t="str">
        <f>VLOOKUP(Z12,[1]المرجع!$D$3:$E$12,2)</f>
        <v xml:space="preserve">أ+ </v>
      </c>
      <c r="AB12" s="10">
        <f t="shared" si="4"/>
        <v>10</v>
      </c>
      <c r="AC12" s="15">
        <v>2</v>
      </c>
      <c r="AD12" s="4">
        <v>62</v>
      </c>
      <c r="AE12" s="11">
        <f>VLOOKUP(AD12,[1]المرجع!$B$3:$C$12,2)</f>
        <v>2</v>
      </c>
      <c r="AF12" s="8" t="str">
        <f>VLOOKUP(AE12,[1]المرجع!$D$3:$E$12,2)</f>
        <v>د</v>
      </c>
      <c r="AG12" s="10">
        <f t="shared" si="5"/>
        <v>4</v>
      </c>
      <c r="AH12" s="15">
        <v>2</v>
      </c>
      <c r="AI12" s="4">
        <v>100</v>
      </c>
      <c r="AJ12" s="11">
        <f>VLOOKUP(AI12,[1]المرجع!$B$3:$C$12,2)</f>
        <v>5</v>
      </c>
      <c r="AK12" s="8" t="str">
        <f>VLOOKUP(AJ12,[1]المرجع!$D$3:$E$12,2)</f>
        <v xml:space="preserve">أ+ </v>
      </c>
      <c r="AL12" s="10">
        <f t="shared" si="6"/>
        <v>10</v>
      </c>
      <c r="AM12" s="15">
        <v>2</v>
      </c>
      <c r="AN12" s="4">
        <v>95</v>
      </c>
      <c r="AO12" s="11">
        <f>VLOOKUP(AN12,[1]المرجع!$B$3:$C$12,2)</f>
        <v>5</v>
      </c>
      <c r="AP12" s="8" t="str">
        <f>VLOOKUP(AO12,[1]المرجع!$D$3:$E$12,2)</f>
        <v xml:space="preserve">أ+ </v>
      </c>
      <c r="AQ12" s="10">
        <f t="shared" si="7"/>
        <v>10</v>
      </c>
      <c r="AR12" s="15">
        <v>2</v>
      </c>
      <c r="AS12" s="4">
        <v>100</v>
      </c>
      <c r="AT12" s="11">
        <f>VLOOKUP(AS12,[1]المرجع!$B$3:$C$12,2)</f>
        <v>5</v>
      </c>
      <c r="AU12" s="8" t="str">
        <f>VLOOKUP(AT12,[1]المرجع!$D$3:$E$12,2)</f>
        <v xml:space="preserve">أ+ </v>
      </c>
      <c r="AV12" s="10">
        <f t="shared" si="8"/>
        <v>10</v>
      </c>
      <c r="AW12" s="15">
        <v>2</v>
      </c>
      <c r="AX12" s="4">
        <v>59</v>
      </c>
      <c r="AY12" s="11">
        <f>VLOOKUP(AX12,[1]المرجع!$B$3:$C$12,2)</f>
        <v>2</v>
      </c>
      <c r="AZ12" s="8" t="str">
        <f>VLOOKUP(AY12,[1]المرجع!$D$3:$E$12,2)</f>
        <v>د</v>
      </c>
      <c r="BA12" s="10">
        <f t="shared" si="9"/>
        <v>4</v>
      </c>
      <c r="BB12" s="15">
        <v>2</v>
      </c>
      <c r="BC12" s="4">
        <v>70</v>
      </c>
      <c r="BD12" s="11">
        <f>VLOOKUP(BC12,[1]المرجع!$B$3:$C$12,2)</f>
        <v>3</v>
      </c>
      <c r="BE12" s="8" t="str">
        <f>VLOOKUP(BD12,[1]المرجع!$D$3:$E$12,2)</f>
        <v>ج</v>
      </c>
      <c r="BF12" s="10">
        <f t="shared" si="10"/>
        <v>6</v>
      </c>
      <c r="BG12" s="15">
        <v>2</v>
      </c>
      <c r="BH12" s="4">
        <v>100</v>
      </c>
      <c r="BI12" s="11">
        <f>VLOOKUP(BH12,[1]المرجع!$B$3:$C$12,2)</f>
        <v>5</v>
      </c>
      <c r="BJ12" s="8" t="str">
        <f>VLOOKUP(BI12,[1]المرجع!$D$3:$E$12,2)</f>
        <v xml:space="preserve">أ+ </v>
      </c>
      <c r="BK12" s="10">
        <f t="shared" si="11"/>
        <v>10</v>
      </c>
      <c r="BL12" s="19">
        <f t="shared" si="12"/>
        <v>98.5</v>
      </c>
      <c r="BM12" s="20">
        <f t="shared" si="13"/>
        <v>23</v>
      </c>
      <c r="BN12" s="21">
        <f t="shared" si="14"/>
        <v>4.2826086956521738</v>
      </c>
      <c r="BO12" s="18"/>
      <c r="BP12" s="23" t="str">
        <f>VLOOKUP(BN12,[1]المرجع!D$3:F$12,3)</f>
        <v>جيد جد مرتفع</v>
      </c>
      <c r="BQ12" s="22">
        <f t="shared" si="15"/>
        <v>10</v>
      </c>
    </row>
    <row r="13" spans="2:69" ht="23.5">
      <c r="B13" s="1">
        <v>2024161</v>
      </c>
      <c r="C13" s="3" t="s">
        <v>24</v>
      </c>
      <c r="D13" s="5">
        <v>1</v>
      </c>
      <c r="E13" s="4">
        <v>93</v>
      </c>
      <c r="F13" s="11">
        <f>VLOOKUP(E13,[1]المرجع!$B$3:$C$12,2)</f>
        <v>4.75</v>
      </c>
      <c r="G13" s="8" t="str">
        <f>VLOOKUP(F13,[1]المرجع!$D$3:$E$12,2)</f>
        <v>أ</v>
      </c>
      <c r="H13" s="10">
        <f t="shared" si="0"/>
        <v>4.75</v>
      </c>
      <c r="I13" s="5">
        <v>2</v>
      </c>
      <c r="J13" s="4">
        <v>94</v>
      </c>
      <c r="K13" s="11">
        <f>VLOOKUP(J13,[1]المرجع!$B$3:$C$12,2)</f>
        <v>4.75</v>
      </c>
      <c r="L13" s="8" t="str">
        <f>VLOOKUP(K13,[1]المرجع!$D$3:$E$12,2)</f>
        <v>أ</v>
      </c>
      <c r="M13" s="10">
        <f t="shared" si="1"/>
        <v>9.5</v>
      </c>
      <c r="N13" s="15">
        <v>2</v>
      </c>
      <c r="O13" s="4">
        <v>96</v>
      </c>
      <c r="P13" s="11">
        <f>VLOOKUP(O13,[1]المرجع!$B$3:$C$12,2)</f>
        <v>5</v>
      </c>
      <c r="Q13" s="8" t="str">
        <f>VLOOKUP(P13,[1]المرجع!$D$3:$E$12,2)</f>
        <v xml:space="preserve">أ+ </v>
      </c>
      <c r="R13" s="10">
        <f t="shared" si="2"/>
        <v>10</v>
      </c>
      <c r="S13" s="15">
        <v>2</v>
      </c>
      <c r="T13" s="4">
        <v>89</v>
      </c>
      <c r="U13" s="11">
        <f>VLOOKUP(T13,[1]المرجع!$B$3:$C$12,2)</f>
        <v>4.5</v>
      </c>
      <c r="V13" s="8" t="str">
        <f>VLOOKUP(U13,[1]المرجع!$D$3:$E$12,2)</f>
        <v>ب+</v>
      </c>
      <c r="W13" s="10">
        <f t="shared" si="3"/>
        <v>9</v>
      </c>
      <c r="X13" s="15">
        <v>2</v>
      </c>
      <c r="Y13" s="4">
        <v>95</v>
      </c>
      <c r="Z13" s="11">
        <f>VLOOKUP(Y13,[1]المرجع!$B$3:$C$12,2)</f>
        <v>5</v>
      </c>
      <c r="AA13" s="8" t="str">
        <f>VLOOKUP(Z13,[1]المرجع!$D$3:$E$12,2)</f>
        <v xml:space="preserve">أ+ </v>
      </c>
      <c r="AB13" s="10">
        <f t="shared" si="4"/>
        <v>10</v>
      </c>
      <c r="AC13" s="15">
        <v>2</v>
      </c>
      <c r="AD13" s="4">
        <v>60</v>
      </c>
      <c r="AE13" s="11">
        <f>VLOOKUP(AD13,[1]المرجع!$B$3:$C$12,2)</f>
        <v>2</v>
      </c>
      <c r="AF13" s="8" t="str">
        <f>VLOOKUP(AE13,[1]المرجع!$D$3:$E$12,2)</f>
        <v>د</v>
      </c>
      <c r="AG13" s="10">
        <f t="shared" si="5"/>
        <v>4</v>
      </c>
      <c r="AH13" s="15">
        <v>2</v>
      </c>
      <c r="AI13" s="4">
        <v>100</v>
      </c>
      <c r="AJ13" s="11">
        <f>VLOOKUP(AI13,[1]المرجع!$B$3:$C$12,2)</f>
        <v>5</v>
      </c>
      <c r="AK13" s="8" t="str">
        <f>VLOOKUP(AJ13,[1]المرجع!$D$3:$E$12,2)</f>
        <v xml:space="preserve">أ+ </v>
      </c>
      <c r="AL13" s="10">
        <f t="shared" si="6"/>
        <v>10</v>
      </c>
      <c r="AM13" s="15">
        <v>2</v>
      </c>
      <c r="AN13" s="4">
        <v>80</v>
      </c>
      <c r="AO13" s="11">
        <f>VLOOKUP(AN13,[1]المرجع!$B$3:$C$12,2)</f>
        <v>4</v>
      </c>
      <c r="AP13" s="8" t="str">
        <f>VLOOKUP(AO13,[1]المرجع!$D$3:$E$12,2)</f>
        <v>ب</v>
      </c>
      <c r="AQ13" s="10">
        <f t="shared" si="7"/>
        <v>8</v>
      </c>
      <c r="AR13" s="15">
        <v>2</v>
      </c>
      <c r="AS13" s="4">
        <v>95</v>
      </c>
      <c r="AT13" s="11">
        <f>VLOOKUP(AS13,[1]المرجع!$B$3:$C$12,2)</f>
        <v>5</v>
      </c>
      <c r="AU13" s="8" t="str">
        <f>VLOOKUP(AT13,[1]المرجع!$D$3:$E$12,2)</f>
        <v xml:space="preserve">أ+ </v>
      </c>
      <c r="AV13" s="10">
        <f t="shared" si="8"/>
        <v>10</v>
      </c>
      <c r="AW13" s="15">
        <v>2</v>
      </c>
      <c r="AX13" s="4">
        <v>72</v>
      </c>
      <c r="AY13" s="11">
        <f>VLOOKUP(AX13,[1]المرجع!$B$3:$C$12,2)</f>
        <v>3</v>
      </c>
      <c r="AZ13" s="8" t="str">
        <f>VLOOKUP(AY13,[1]المرجع!$D$3:$E$12,2)</f>
        <v>ج</v>
      </c>
      <c r="BA13" s="10">
        <f t="shared" si="9"/>
        <v>6</v>
      </c>
      <c r="BB13" s="15">
        <v>2</v>
      </c>
      <c r="BC13" s="4">
        <v>75</v>
      </c>
      <c r="BD13" s="11">
        <f>VLOOKUP(BC13,[1]المرجع!$B$3:$C$12,2)</f>
        <v>3.5</v>
      </c>
      <c r="BE13" s="8" t="str">
        <f>VLOOKUP(BD13,[1]المرجع!$D$3:$E$12,2)</f>
        <v>ج+</v>
      </c>
      <c r="BF13" s="10">
        <f t="shared" si="10"/>
        <v>7</v>
      </c>
      <c r="BG13" s="15">
        <v>2</v>
      </c>
      <c r="BH13" s="4">
        <v>90</v>
      </c>
      <c r="BI13" s="11">
        <f>VLOOKUP(BH13,[1]المرجع!$B$3:$C$12,2)</f>
        <v>4.75</v>
      </c>
      <c r="BJ13" s="8" t="str">
        <f>VLOOKUP(BI13,[1]المرجع!$D$3:$E$12,2)</f>
        <v>أ</v>
      </c>
      <c r="BK13" s="10">
        <f t="shared" si="11"/>
        <v>9.5</v>
      </c>
      <c r="BL13" s="19">
        <f t="shared" si="12"/>
        <v>97.75</v>
      </c>
      <c r="BM13" s="20">
        <f t="shared" si="13"/>
        <v>23</v>
      </c>
      <c r="BN13" s="21">
        <f t="shared" si="14"/>
        <v>4.25</v>
      </c>
      <c r="BO13" s="18"/>
      <c r="BP13" s="23" t="str">
        <f>VLOOKUP(BN13,[1]المرجع!D$3:F$12,3)</f>
        <v>جيد جد مرتفع</v>
      </c>
      <c r="BQ13" s="22">
        <f t="shared" si="15"/>
        <v>11</v>
      </c>
    </row>
    <row r="14" spans="2:69" ht="23.5">
      <c r="B14" s="1">
        <v>2024304</v>
      </c>
      <c r="C14" s="3" t="s">
        <v>25</v>
      </c>
      <c r="D14" s="5">
        <v>1</v>
      </c>
      <c r="E14" s="4">
        <v>98</v>
      </c>
      <c r="F14" s="11">
        <f>VLOOKUP(E14,[1]المرجع!$B$3:$C$12,2)</f>
        <v>5</v>
      </c>
      <c r="G14" s="8" t="str">
        <f>VLOOKUP(F14,[1]المرجع!$D$3:$E$12,2)</f>
        <v xml:space="preserve">أ+ </v>
      </c>
      <c r="H14" s="10">
        <f t="shared" si="0"/>
        <v>5</v>
      </c>
      <c r="I14" s="5">
        <v>2</v>
      </c>
      <c r="J14" s="4">
        <v>93</v>
      </c>
      <c r="K14" s="11">
        <f>VLOOKUP(J14,[1]المرجع!$B$3:$C$12,2)</f>
        <v>4.75</v>
      </c>
      <c r="L14" s="8" t="str">
        <f>VLOOKUP(K14,[1]المرجع!$D$3:$E$12,2)</f>
        <v>أ</v>
      </c>
      <c r="M14" s="10">
        <f t="shared" si="1"/>
        <v>9.5</v>
      </c>
      <c r="N14" s="15">
        <v>2</v>
      </c>
      <c r="O14" s="4">
        <v>94.5</v>
      </c>
      <c r="P14" s="11">
        <f>VLOOKUP(O14,[1]المرجع!$B$3:$C$12,2)</f>
        <v>4.75</v>
      </c>
      <c r="Q14" s="8" t="str">
        <f>VLOOKUP(P14,[1]المرجع!$D$3:$E$12,2)</f>
        <v>أ</v>
      </c>
      <c r="R14" s="10">
        <f t="shared" si="2"/>
        <v>9.5</v>
      </c>
      <c r="S14" s="15">
        <v>2</v>
      </c>
      <c r="T14" s="4">
        <v>90</v>
      </c>
      <c r="U14" s="11">
        <f>VLOOKUP(T14,[1]المرجع!$B$3:$C$12,2)</f>
        <v>4.75</v>
      </c>
      <c r="V14" s="8" t="str">
        <f>VLOOKUP(U14,[1]المرجع!$D$3:$E$12,2)</f>
        <v>أ</v>
      </c>
      <c r="W14" s="10">
        <f t="shared" si="3"/>
        <v>9.5</v>
      </c>
      <c r="X14" s="15">
        <v>2</v>
      </c>
      <c r="Y14" s="4">
        <v>97</v>
      </c>
      <c r="Z14" s="11">
        <f>VLOOKUP(Y14,[1]المرجع!$B$3:$C$12,2)</f>
        <v>5</v>
      </c>
      <c r="AA14" s="8" t="str">
        <f>VLOOKUP(Z14,[1]المرجع!$D$3:$E$12,2)</f>
        <v xml:space="preserve">أ+ </v>
      </c>
      <c r="AB14" s="10">
        <f t="shared" si="4"/>
        <v>10</v>
      </c>
      <c r="AC14" s="15">
        <v>2</v>
      </c>
      <c r="AD14" s="4">
        <v>69</v>
      </c>
      <c r="AE14" s="11">
        <f>VLOOKUP(AD14,[1]المرجع!$B$3:$C$12,2)</f>
        <v>2.5</v>
      </c>
      <c r="AF14" s="8" t="str">
        <f>VLOOKUP(AE14,[1]المرجع!$D$3:$E$12,2)</f>
        <v>د+</v>
      </c>
      <c r="AG14" s="10">
        <f t="shared" si="5"/>
        <v>5</v>
      </c>
      <c r="AH14" s="15">
        <v>2</v>
      </c>
      <c r="AI14" s="4">
        <v>99</v>
      </c>
      <c r="AJ14" s="11">
        <f>VLOOKUP(AI14,[1]المرجع!$B$3:$C$12,2)</f>
        <v>5</v>
      </c>
      <c r="AK14" s="8" t="str">
        <f>VLOOKUP(AJ14,[1]المرجع!$D$3:$E$12,2)</f>
        <v xml:space="preserve">أ+ </v>
      </c>
      <c r="AL14" s="10">
        <f t="shared" si="6"/>
        <v>10</v>
      </c>
      <c r="AM14" s="15">
        <v>2</v>
      </c>
      <c r="AN14" s="4">
        <v>70</v>
      </c>
      <c r="AO14" s="11">
        <f>VLOOKUP(AN14,[1]المرجع!$B$3:$C$12,2)</f>
        <v>3</v>
      </c>
      <c r="AP14" s="8" t="str">
        <f>VLOOKUP(AO14,[1]المرجع!$D$3:$E$12,2)</f>
        <v>ج</v>
      </c>
      <c r="AQ14" s="10">
        <f t="shared" si="7"/>
        <v>6</v>
      </c>
      <c r="AR14" s="15">
        <v>2</v>
      </c>
      <c r="AS14" s="4">
        <v>100</v>
      </c>
      <c r="AT14" s="11">
        <f>VLOOKUP(AS14,[1]المرجع!$B$3:$C$12,2)</f>
        <v>5</v>
      </c>
      <c r="AU14" s="8" t="str">
        <f>VLOOKUP(AT14,[1]المرجع!$D$3:$E$12,2)</f>
        <v xml:space="preserve">أ+ </v>
      </c>
      <c r="AV14" s="10">
        <f t="shared" si="8"/>
        <v>10</v>
      </c>
      <c r="AW14" s="15">
        <v>2</v>
      </c>
      <c r="AX14" s="4">
        <v>68</v>
      </c>
      <c r="AY14" s="11">
        <f>VLOOKUP(AX14,[1]المرجع!$B$3:$C$12,2)</f>
        <v>2.5</v>
      </c>
      <c r="AZ14" s="8" t="str">
        <f>VLOOKUP(AY14,[1]المرجع!$D$3:$E$12,2)</f>
        <v>د+</v>
      </c>
      <c r="BA14" s="10">
        <f t="shared" si="9"/>
        <v>5</v>
      </c>
      <c r="BB14" s="15">
        <v>2</v>
      </c>
      <c r="BC14" s="4">
        <v>75</v>
      </c>
      <c r="BD14" s="11">
        <f>VLOOKUP(BC14,[1]المرجع!$B$3:$C$12,2)</f>
        <v>3.5</v>
      </c>
      <c r="BE14" s="8" t="str">
        <f>VLOOKUP(BD14,[1]المرجع!$D$3:$E$12,2)</f>
        <v>ج+</v>
      </c>
      <c r="BF14" s="10">
        <f t="shared" si="10"/>
        <v>7</v>
      </c>
      <c r="BG14" s="15">
        <v>2</v>
      </c>
      <c r="BH14" s="4">
        <v>84</v>
      </c>
      <c r="BI14" s="11">
        <f>VLOOKUP(BH14,[1]المرجع!$B$3:$C$12,2)</f>
        <v>4</v>
      </c>
      <c r="BJ14" s="8" t="str">
        <f>VLOOKUP(BI14,[1]المرجع!$D$3:$E$12,2)</f>
        <v>ب</v>
      </c>
      <c r="BK14" s="10">
        <f t="shared" si="11"/>
        <v>8</v>
      </c>
      <c r="BL14" s="19">
        <f t="shared" si="12"/>
        <v>94.5</v>
      </c>
      <c r="BM14" s="20">
        <f t="shared" si="13"/>
        <v>23</v>
      </c>
      <c r="BN14" s="21">
        <f t="shared" si="14"/>
        <v>4.1086956521739131</v>
      </c>
      <c r="BO14" s="18"/>
      <c r="BP14" s="23" t="str">
        <f>VLOOKUP(BN14,[1]المرجع!D$3:F$12,3)</f>
        <v>جيد جد مرتفع</v>
      </c>
      <c r="BQ14" s="22">
        <f t="shared" si="15"/>
        <v>17</v>
      </c>
    </row>
    <row r="15" spans="2:69" ht="23.5">
      <c r="B15" s="1">
        <v>2024209</v>
      </c>
      <c r="C15" s="3" t="s">
        <v>26</v>
      </c>
      <c r="D15" s="5">
        <v>1</v>
      </c>
      <c r="E15" s="4">
        <v>100</v>
      </c>
      <c r="F15" s="11">
        <f>VLOOKUP(E15,[1]المرجع!$B$3:$C$12,2)</f>
        <v>5</v>
      </c>
      <c r="G15" s="8" t="str">
        <f>VLOOKUP(F15,[1]المرجع!$D$3:$E$12,2)</f>
        <v xml:space="preserve">أ+ </v>
      </c>
      <c r="H15" s="10">
        <f t="shared" si="0"/>
        <v>5</v>
      </c>
      <c r="I15" s="5">
        <v>2</v>
      </c>
      <c r="J15" s="4">
        <v>75</v>
      </c>
      <c r="K15" s="11">
        <f>VLOOKUP(J15,[1]المرجع!$B$3:$C$12,2)</f>
        <v>3.5</v>
      </c>
      <c r="L15" s="8" t="str">
        <f>VLOOKUP(K15,[1]المرجع!$D$3:$E$12,2)</f>
        <v>ج+</v>
      </c>
      <c r="M15" s="10">
        <f t="shared" si="1"/>
        <v>7</v>
      </c>
      <c r="N15" s="15">
        <v>2</v>
      </c>
      <c r="O15" s="4">
        <v>79</v>
      </c>
      <c r="P15" s="11">
        <f>VLOOKUP(O15,[1]المرجع!$B$3:$C$12,2)</f>
        <v>3.5</v>
      </c>
      <c r="Q15" s="8" t="str">
        <f>VLOOKUP(P15,[1]المرجع!$D$3:$E$12,2)</f>
        <v>ج+</v>
      </c>
      <c r="R15" s="10">
        <f t="shared" si="2"/>
        <v>7</v>
      </c>
      <c r="S15" s="15">
        <v>2</v>
      </c>
      <c r="T15" s="4">
        <v>90</v>
      </c>
      <c r="U15" s="11">
        <f>VLOOKUP(T15,[1]المرجع!$B$3:$C$12,2)</f>
        <v>4.75</v>
      </c>
      <c r="V15" s="8" t="str">
        <f>VLOOKUP(U15,[1]المرجع!$D$3:$E$12,2)</f>
        <v>أ</v>
      </c>
      <c r="W15" s="10">
        <f t="shared" si="3"/>
        <v>9.5</v>
      </c>
      <c r="X15" s="15">
        <v>2</v>
      </c>
      <c r="Y15" s="4">
        <v>94</v>
      </c>
      <c r="Z15" s="11">
        <f>VLOOKUP(Y15,[1]المرجع!$B$3:$C$12,2)</f>
        <v>4.75</v>
      </c>
      <c r="AA15" s="8" t="str">
        <f>VLOOKUP(Z15,[1]المرجع!$D$3:$E$12,2)</f>
        <v>أ</v>
      </c>
      <c r="AB15" s="10">
        <f t="shared" si="4"/>
        <v>9.5</v>
      </c>
      <c r="AC15" s="15">
        <v>2</v>
      </c>
      <c r="AD15" s="4">
        <v>88</v>
      </c>
      <c r="AE15" s="11">
        <f>VLOOKUP(AD15,[1]المرجع!$B$3:$C$12,2)</f>
        <v>4.5</v>
      </c>
      <c r="AF15" s="8" t="str">
        <f>VLOOKUP(AE15,[1]المرجع!$D$3:$E$12,2)</f>
        <v>ب+</v>
      </c>
      <c r="AG15" s="10">
        <f t="shared" si="5"/>
        <v>9</v>
      </c>
      <c r="AH15" s="15">
        <v>2</v>
      </c>
      <c r="AI15" s="4">
        <v>95</v>
      </c>
      <c r="AJ15" s="11">
        <f>VLOOKUP(AI15,[1]المرجع!$B$3:$C$12,2)</f>
        <v>5</v>
      </c>
      <c r="AK15" s="8" t="str">
        <f>VLOOKUP(AJ15,[1]المرجع!$D$3:$E$12,2)</f>
        <v xml:space="preserve">أ+ </v>
      </c>
      <c r="AL15" s="10">
        <f t="shared" si="6"/>
        <v>10</v>
      </c>
      <c r="AM15" s="15">
        <v>2</v>
      </c>
      <c r="AN15" s="4">
        <v>70</v>
      </c>
      <c r="AO15" s="11">
        <f>VLOOKUP(AN15,[1]المرجع!$B$3:$C$12,2)</f>
        <v>3</v>
      </c>
      <c r="AP15" s="8" t="str">
        <f>VLOOKUP(AO15,[1]المرجع!$D$3:$E$12,2)</f>
        <v>ج</v>
      </c>
      <c r="AQ15" s="10">
        <f t="shared" si="7"/>
        <v>6</v>
      </c>
      <c r="AR15" s="15">
        <v>2</v>
      </c>
      <c r="AS15" s="4">
        <v>95</v>
      </c>
      <c r="AT15" s="11">
        <f>VLOOKUP(AS15,[1]المرجع!$B$3:$C$12,2)</f>
        <v>5</v>
      </c>
      <c r="AU15" s="8" t="str">
        <f>VLOOKUP(AT15,[1]المرجع!$D$3:$E$12,2)</f>
        <v xml:space="preserve">أ+ </v>
      </c>
      <c r="AV15" s="10">
        <f t="shared" si="8"/>
        <v>10</v>
      </c>
      <c r="AW15" s="15">
        <v>2</v>
      </c>
      <c r="AX15" s="4">
        <v>88</v>
      </c>
      <c r="AY15" s="11">
        <f>VLOOKUP(AX15,[1]المرجع!$B$3:$C$12,2)</f>
        <v>4.5</v>
      </c>
      <c r="AZ15" s="8" t="str">
        <f>VLOOKUP(AY15,[1]المرجع!$D$3:$E$12,2)</f>
        <v>ب+</v>
      </c>
      <c r="BA15" s="10">
        <f t="shared" si="9"/>
        <v>9</v>
      </c>
      <c r="BB15" s="15">
        <v>2</v>
      </c>
      <c r="BC15" s="4">
        <v>75</v>
      </c>
      <c r="BD15" s="11">
        <f>VLOOKUP(BC15,[1]المرجع!$B$3:$C$12,2)</f>
        <v>3.5</v>
      </c>
      <c r="BE15" s="8" t="str">
        <f>VLOOKUP(BD15,[1]المرجع!$D$3:$E$12,2)</f>
        <v>ج+</v>
      </c>
      <c r="BF15" s="10">
        <f t="shared" si="10"/>
        <v>7</v>
      </c>
      <c r="BG15" s="15">
        <v>2</v>
      </c>
      <c r="BH15" s="4">
        <v>76</v>
      </c>
      <c r="BI15" s="11">
        <f>VLOOKUP(BH15,[1]المرجع!$B$3:$C$12,2)</f>
        <v>3.5</v>
      </c>
      <c r="BJ15" s="8" t="str">
        <f>VLOOKUP(BI15,[1]المرجع!$D$3:$E$12,2)</f>
        <v>ج+</v>
      </c>
      <c r="BK15" s="10">
        <f t="shared" si="11"/>
        <v>7</v>
      </c>
      <c r="BL15" s="19">
        <f t="shared" si="12"/>
        <v>96</v>
      </c>
      <c r="BM15" s="20">
        <f t="shared" si="13"/>
        <v>23</v>
      </c>
      <c r="BN15" s="21">
        <f t="shared" si="14"/>
        <v>4.1739130434782608</v>
      </c>
      <c r="BO15" s="18"/>
      <c r="BP15" s="23" t="str">
        <f>VLOOKUP(BN15,[1]المرجع!D$3:F$12,3)</f>
        <v>جيد جد مرتفع</v>
      </c>
      <c r="BQ15" s="22">
        <f t="shared" si="15"/>
        <v>15</v>
      </c>
    </row>
    <row r="16" spans="2:69" ht="23.5">
      <c r="B16" s="1">
        <v>2024176</v>
      </c>
      <c r="C16" s="3" t="s">
        <v>27</v>
      </c>
      <c r="D16" s="5">
        <v>1</v>
      </c>
      <c r="E16" s="4">
        <v>75</v>
      </c>
      <c r="F16" s="11">
        <f>VLOOKUP(E16,[1]المرجع!$B$3:$C$12,2)</f>
        <v>3.5</v>
      </c>
      <c r="G16" s="8" t="str">
        <f>VLOOKUP(F16,[1]المرجع!$D$3:$E$12,2)</f>
        <v>ج+</v>
      </c>
      <c r="H16" s="10">
        <f t="shared" si="0"/>
        <v>3.5</v>
      </c>
      <c r="I16" s="5">
        <v>2</v>
      </c>
      <c r="J16" s="4">
        <v>95</v>
      </c>
      <c r="K16" s="11">
        <f>VLOOKUP(J16,[1]المرجع!$B$3:$C$12,2)</f>
        <v>5</v>
      </c>
      <c r="L16" s="8" t="str">
        <f>VLOOKUP(K16,[1]المرجع!$D$3:$E$12,2)</f>
        <v xml:space="preserve">أ+ </v>
      </c>
      <c r="M16" s="10">
        <f t="shared" si="1"/>
        <v>10</v>
      </c>
      <c r="N16" s="15">
        <v>2</v>
      </c>
      <c r="O16" s="4">
        <v>93</v>
      </c>
      <c r="P16" s="11">
        <f>VLOOKUP(O16,[1]المرجع!$B$3:$C$12,2)</f>
        <v>4.75</v>
      </c>
      <c r="Q16" s="8" t="str">
        <f>VLOOKUP(P16,[1]المرجع!$D$3:$E$12,2)</f>
        <v>أ</v>
      </c>
      <c r="R16" s="10">
        <f t="shared" si="2"/>
        <v>9.5</v>
      </c>
      <c r="S16" s="15">
        <v>2</v>
      </c>
      <c r="T16" s="4">
        <v>90</v>
      </c>
      <c r="U16" s="11">
        <f>VLOOKUP(T16,[1]المرجع!$B$3:$C$12,2)</f>
        <v>4.75</v>
      </c>
      <c r="V16" s="8" t="str">
        <f>VLOOKUP(U16,[1]المرجع!$D$3:$E$12,2)</f>
        <v>أ</v>
      </c>
      <c r="W16" s="10">
        <f t="shared" si="3"/>
        <v>9.5</v>
      </c>
      <c r="X16" s="15">
        <v>2</v>
      </c>
      <c r="Y16" s="4">
        <v>96</v>
      </c>
      <c r="Z16" s="11">
        <f>VLOOKUP(Y16,[1]المرجع!$B$3:$C$12,2)</f>
        <v>5</v>
      </c>
      <c r="AA16" s="8" t="str">
        <f>VLOOKUP(Z16,[1]المرجع!$D$3:$E$12,2)</f>
        <v xml:space="preserve">أ+ </v>
      </c>
      <c r="AB16" s="10">
        <f t="shared" si="4"/>
        <v>10</v>
      </c>
      <c r="AC16" s="15">
        <v>2</v>
      </c>
      <c r="AD16" s="4">
        <v>54</v>
      </c>
      <c r="AE16" s="11">
        <f>VLOOKUP(AD16,[1]المرجع!$B$3:$C$12,2)</f>
        <v>2</v>
      </c>
      <c r="AF16" s="8" t="str">
        <f>VLOOKUP(AE16,[1]المرجع!$D$3:$E$12,2)</f>
        <v>د</v>
      </c>
      <c r="AG16" s="10">
        <f t="shared" si="5"/>
        <v>4</v>
      </c>
      <c r="AH16" s="15">
        <v>2</v>
      </c>
      <c r="AI16" s="4">
        <v>99</v>
      </c>
      <c r="AJ16" s="11">
        <f>VLOOKUP(AI16,[1]المرجع!$B$3:$C$12,2)</f>
        <v>5</v>
      </c>
      <c r="AK16" s="8" t="str">
        <f>VLOOKUP(AJ16,[1]المرجع!$D$3:$E$12,2)</f>
        <v xml:space="preserve">أ+ </v>
      </c>
      <c r="AL16" s="10">
        <f t="shared" si="6"/>
        <v>10</v>
      </c>
      <c r="AM16" s="15">
        <v>2</v>
      </c>
      <c r="AN16" s="4">
        <v>75</v>
      </c>
      <c r="AO16" s="11">
        <f>VLOOKUP(AN16,[1]المرجع!$B$3:$C$12,2)</f>
        <v>3.5</v>
      </c>
      <c r="AP16" s="8" t="str">
        <f>VLOOKUP(AO16,[1]المرجع!$D$3:$E$12,2)</f>
        <v>ج+</v>
      </c>
      <c r="AQ16" s="10">
        <f t="shared" si="7"/>
        <v>7</v>
      </c>
      <c r="AR16" s="15">
        <v>2</v>
      </c>
      <c r="AS16" s="4">
        <v>100</v>
      </c>
      <c r="AT16" s="11">
        <f>VLOOKUP(AS16,[1]المرجع!$B$3:$C$12,2)</f>
        <v>5</v>
      </c>
      <c r="AU16" s="8" t="str">
        <f>VLOOKUP(AT16,[1]المرجع!$D$3:$E$12,2)</f>
        <v xml:space="preserve">أ+ </v>
      </c>
      <c r="AV16" s="10">
        <f t="shared" si="8"/>
        <v>10</v>
      </c>
      <c r="AW16" s="15">
        <v>2</v>
      </c>
      <c r="AX16" s="4">
        <v>74</v>
      </c>
      <c r="AY16" s="11">
        <f>VLOOKUP(AX16,[1]المرجع!$B$3:$C$12,2)</f>
        <v>3</v>
      </c>
      <c r="AZ16" s="8" t="str">
        <f>VLOOKUP(AY16,[1]المرجع!$D$3:$E$12,2)</f>
        <v>ج</v>
      </c>
      <c r="BA16" s="10">
        <f t="shared" si="9"/>
        <v>6</v>
      </c>
      <c r="BB16" s="15">
        <v>2</v>
      </c>
      <c r="BC16" s="4">
        <v>75</v>
      </c>
      <c r="BD16" s="11">
        <f>VLOOKUP(BC16,[1]المرجع!$B$3:$C$12,2)</f>
        <v>3.5</v>
      </c>
      <c r="BE16" s="8" t="str">
        <f>VLOOKUP(BD16,[1]المرجع!$D$3:$E$12,2)</f>
        <v>ج+</v>
      </c>
      <c r="BF16" s="10">
        <f t="shared" si="10"/>
        <v>7</v>
      </c>
      <c r="BG16" s="15">
        <v>2</v>
      </c>
      <c r="BH16" s="4">
        <v>96</v>
      </c>
      <c r="BI16" s="11">
        <f>VLOOKUP(BH16,[1]المرجع!$B$3:$C$12,2)</f>
        <v>5</v>
      </c>
      <c r="BJ16" s="8" t="str">
        <f>VLOOKUP(BI16,[1]المرجع!$D$3:$E$12,2)</f>
        <v xml:space="preserve">أ+ </v>
      </c>
      <c r="BK16" s="10">
        <f t="shared" si="11"/>
        <v>10</v>
      </c>
      <c r="BL16" s="19">
        <f t="shared" si="12"/>
        <v>96.5</v>
      </c>
      <c r="BM16" s="20">
        <f t="shared" si="13"/>
        <v>23</v>
      </c>
      <c r="BN16" s="21">
        <f t="shared" si="14"/>
        <v>4.1956521739130439</v>
      </c>
      <c r="BO16" s="18"/>
      <c r="BP16" s="23" t="str">
        <f>VLOOKUP(BN16,[1]المرجع!D$3:F$12,3)</f>
        <v>جيد جد مرتفع</v>
      </c>
      <c r="BQ16" s="22">
        <f t="shared" si="15"/>
        <v>12</v>
      </c>
    </row>
    <row r="17" spans="2:69" ht="23.5">
      <c r="B17" s="1">
        <v>2024210</v>
      </c>
      <c r="C17" s="3" t="s">
        <v>28</v>
      </c>
      <c r="D17" s="5">
        <v>1</v>
      </c>
      <c r="E17" s="4">
        <v>93</v>
      </c>
      <c r="F17" s="11">
        <f>VLOOKUP(E17,[1]المرجع!$B$3:$C$12,2)</f>
        <v>4.75</v>
      </c>
      <c r="G17" s="8" t="str">
        <f>VLOOKUP(F17,[1]المرجع!$D$3:$E$12,2)</f>
        <v>أ</v>
      </c>
      <c r="H17" s="10">
        <f t="shared" si="0"/>
        <v>4.75</v>
      </c>
      <c r="I17" s="5">
        <v>2</v>
      </c>
      <c r="J17" s="4">
        <v>83</v>
      </c>
      <c r="K17" s="11">
        <f>VLOOKUP(J17,[1]المرجع!$B$3:$C$12,2)</f>
        <v>4</v>
      </c>
      <c r="L17" s="8" t="str">
        <f>VLOOKUP(K17,[1]المرجع!$D$3:$E$12,2)</f>
        <v>ب</v>
      </c>
      <c r="M17" s="10">
        <f t="shared" si="1"/>
        <v>8</v>
      </c>
      <c r="N17" s="15">
        <v>2</v>
      </c>
      <c r="O17" s="4">
        <v>85</v>
      </c>
      <c r="P17" s="11">
        <f>VLOOKUP(O17,[1]المرجع!$B$3:$C$12,2)</f>
        <v>4.5</v>
      </c>
      <c r="Q17" s="8" t="str">
        <f>VLOOKUP(P17,[1]المرجع!$D$3:$E$12,2)</f>
        <v>ب+</v>
      </c>
      <c r="R17" s="10">
        <f t="shared" si="2"/>
        <v>9</v>
      </c>
      <c r="S17" s="15">
        <v>2</v>
      </c>
      <c r="T17" s="4">
        <v>90</v>
      </c>
      <c r="U17" s="11">
        <f>VLOOKUP(T17,[1]المرجع!$B$3:$C$12,2)</f>
        <v>4.75</v>
      </c>
      <c r="V17" s="8" t="str">
        <f>VLOOKUP(U17,[1]المرجع!$D$3:$E$12,2)</f>
        <v>أ</v>
      </c>
      <c r="W17" s="10">
        <f t="shared" si="3"/>
        <v>9.5</v>
      </c>
      <c r="X17" s="15">
        <v>2</v>
      </c>
      <c r="Y17" s="4">
        <v>98</v>
      </c>
      <c r="Z17" s="11">
        <f>VLOOKUP(Y17,[1]المرجع!$B$3:$C$12,2)</f>
        <v>5</v>
      </c>
      <c r="AA17" s="8" t="str">
        <f>VLOOKUP(Z17,[1]المرجع!$D$3:$E$12,2)</f>
        <v xml:space="preserve">أ+ </v>
      </c>
      <c r="AB17" s="10">
        <f t="shared" si="4"/>
        <v>10</v>
      </c>
      <c r="AC17" s="15">
        <v>2</v>
      </c>
      <c r="AD17" s="4">
        <v>75</v>
      </c>
      <c r="AE17" s="11">
        <f>VLOOKUP(AD17,[1]المرجع!$B$3:$C$12,2)</f>
        <v>3.5</v>
      </c>
      <c r="AF17" s="8" t="str">
        <f>VLOOKUP(AE17,[1]المرجع!$D$3:$E$12,2)</f>
        <v>ج+</v>
      </c>
      <c r="AG17" s="10">
        <f t="shared" si="5"/>
        <v>7</v>
      </c>
      <c r="AH17" s="15">
        <v>2</v>
      </c>
      <c r="AI17" s="4">
        <v>100</v>
      </c>
      <c r="AJ17" s="11">
        <f>VLOOKUP(AI17,[1]المرجع!$B$3:$C$12,2)</f>
        <v>5</v>
      </c>
      <c r="AK17" s="8" t="str">
        <f>VLOOKUP(AJ17,[1]المرجع!$D$3:$E$12,2)</f>
        <v xml:space="preserve">أ+ </v>
      </c>
      <c r="AL17" s="10">
        <f t="shared" si="6"/>
        <v>10</v>
      </c>
      <c r="AM17" s="15">
        <v>2</v>
      </c>
      <c r="AN17" s="4">
        <v>95</v>
      </c>
      <c r="AO17" s="11">
        <f>VLOOKUP(AN17,[1]المرجع!$B$3:$C$12,2)</f>
        <v>5</v>
      </c>
      <c r="AP17" s="8" t="str">
        <f>VLOOKUP(AO17,[1]المرجع!$D$3:$E$12,2)</f>
        <v xml:space="preserve">أ+ </v>
      </c>
      <c r="AQ17" s="10">
        <f t="shared" si="7"/>
        <v>10</v>
      </c>
      <c r="AR17" s="15">
        <v>2</v>
      </c>
      <c r="AS17" s="4">
        <v>100</v>
      </c>
      <c r="AT17" s="11">
        <f>VLOOKUP(AS17,[1]المرجع!$B$3:$C$12,2)</f>
        <v>5</v>
      </c>
      <c r="AU17" s="8" t="str">
        <f>VLOOKUP(AT17,[1]المرجع!$D$3:$E$12,2)</f>
        <v xml:space="preserve">أ+ </v>
      </c>
      <c r="AV17" s="10">
        <f t="shared" si="8"/>
        <v>10</v>
      </c>
      <c r="AW17" s="15">
        <v>2</v>
      </c>
      <c r="AX17" s="4">
        <v>77</v>
      </c>
      <c r="AY17" s="11">
        <f>VLOOKUP(AX17,[1]المرجع!$B$3:$C$12,2)</f>
        <v>3.5</v>
      </c>
      <c r="AZ17" s="8" t="str">
        <f>VLOOKUP(AY17,[1]المرجع!$D$3:$E$12,2)</f>
        <v>ج+</v>
      </c>
      <c r="BA17" s="10">
        <f t="shared" si="9"/>
        <v>7</v>
      </c>
      <c r="BB17" s="15">
        <v>2</v>
      </c>
      <c r="BC17" s="4">
        <v>75</v>
      </c>
      <c r="BD17" s="11">
        <f>VLOOKUP(BC17,[1]المرجع!$B$3:$C$12,2)</f>
        <v>3.5</v>
      </c>
      <c r="BE17" s="8" t="str">
        <f>VLOOKUP(BD17,[1]المرجع!$D$3:$E$12,2)</f>
        <v>ج+</v>
      </c>
      <c r="BF17" s="10">
        <f t="shared" si="10"/>
        <v>7</v>
      </c>
      <c r="BG17" s="15">
        <v>2</v>
      </c>
      <c r="BH17" s="4">
        <v>50</v>
      </c>
      <c r="BI17" s="11">
        <f>VLOOKUP(BH17,[1]المرجع!$B$3:$C$12,2)</f>
        <v>2</v>
      </c>
      <c r="BJ17" s="8" t="str">
        <f>VLOOKUP(BI17,[1]المرجع!$D$3:$E$12,2)</f>
        <v>د</v>
      </c>
      <c r="BK17" s="10">
        <f t="shared" si="11"/>
        <v>4</v>
      </c>
      <c r="BL17" s="19">
        <f t="shared" si="12"/>
        <v>96.25</v>
      </c>
      <c r="BM17" s="20">
        <f t="shared" si="13"/>
        <v>23</v>
      </c>
      <c r="BN17" s="21">
        <f t="shared" si="14"/>
        <v>4.1847826086956523</v>
      </c>
      <c r="BO17" s="18"/>
      <c r="BP17" s="23" t="str">
        <f>VLOOKUP(BN17,[1]المرجع!D$3:F$12,3)</f>
        <v>جيد جد مرتفع</v>
      </c>
      <c r="BQ17" s="22">
        <f t="shared" si="15"/>
        <v>13</v>
      </c>
    </row>
    <row r="18" spans="2:69" ht="23.5">
      <c r="B18" s="1">
        <v>2024208</v>
      </c>
      <c r="C18" s="3" t="s">
        <v>29</v>
      </c>
      <c r="D18" s="5">
        <v>1</v>
      </c>
      <c r="E18" s="4">
        <v>92</v>
      </c>
      <c r="F18" s="11">
        <f>VLOOKUP(E18,[1]المرجع!$B$3:$C$12,2)</f>
        <v>4.75</v>
      </c>
      <c r="G18" s="8" t="str">
        <f>VLOOKUP(F18,[1]المرجع!$D$3:$E$12,2)</f>
        <v>أ</v>
      </c>
      <c r="H18" s="10">
        <f t="shared" si="0"/>
        <v>4.75</v>
      </c>
      <c r="I18" s="5">
        <v>2</v>
      </c>
      <c r="J18" s="4">
        <v>95</v>
      </c>
      <c r="K18" s="11">
        <f>VLOOKUP(J18,[1]المرجع!$B$3:$C$12,2)</f>
        <v>5</v>
      </c>
      <c r="L18" s="8" t="str">
        <f>VLOOKUP(K18,[1]المرجع!$D$3:$E$12,2)</f>
        <v xml:space="preserve">أ+ </v>
      </c>
      <c r="M18" s="10">
        <f t="shared" si="1"/>
        <v>10</v>
      </c>
      <c r="N18" s="15">
        <v>2</v>
      </c>
      <c r="O18" s="4">
        <v>89</v>
      </c>
      <c r="P18" s="11">
        <f>VLOOKUP(O18,[1]المرجع!$B$3:$C$12,2)</f>
        <v>4.5</v>
      </c>
      <c r="Q18" s="8" t="str">
        <f>VLOOKUP(P18,[1]المرجع!$D$3:$E$12,2)</f>
        <v>ب+</v>
      </c>
      <c r="R18" s="10">
        <f t="shared" si="2"/>
        <v>9</v>
      </c>
      <c r="S18" s="15">
        <v>2</v>
      </c>
      <c r="T18" s="4">
        <v>90</v>
      </c>
      <c r="U18" s="11">
        <f>VLOOKUP(T18,[1]المرجع!$B$3:$C$12,2)</f>
        <v>4.75</v>
      </c>
      <c r="V18" s="8" t="str">
        <f>VLOOKUP(U18,[1]المرجع!$D$3:$E$12,2)</f>
        <v>أ</v>
      </c>
      <c r="W18" s="10">
        <f t="shared" si="3"/>
        <v>9.5</v>
      </c>
      <c r="X18" s="15">
        <v>2</v>
      </c>
      <c r="Y18" s="4">
        <v>95</v>
      </c>
      <c r="Z18" s="11">
        <f>VLOOKUP(Y18,[1]المرجع!$B$3:$C$12,2)</f>
        <v>5</v>
      </c>
      <c r="AA18" s="8" t="str">
        <f>VLOOKUP(Z18,[1]المرجع!$D$3:$E$12,2)</f>
        <v xml:space="preserve">أ+ </v>
      </c>
      <c r="AB18" s="10">
        <f t="shared" si="4"/>
        <v>10</v>
      </c>
      <c r="AC18" s="15">
        <v>2</v>
      </c>
      <c r="AD18" s="4">
        <v>53</v>
      </c>
      <c r="AE18" s="11">
        <f>VLOOKUP(AD18,[1]المرجع!$B$3:$C$12,2)</f>
        <v>2</v>
      </c>
      <c r="AF18" s="8" t="str">
        <f>VLOOKUP(AE18,[1]المرجع!$D$3:$E$12,2)</f>
        <v>د</v>
      </c>
      <c r="AG18" s="10">
        <f t="shared" si="5"/>
        <v>4</v>
      </c>
      <c r="AH18" s="15">
        <v>2</v>
      </c>
      <c r="AI18" s="4">
        <v>95</v>
      </c>
      <c r="AJ18" s="11">
        <f>VLOOKUP(AI18,[1]المرجع!$B$3:$C$12,2)</f>
        <v>5</v>
      </c>
      <c r="AK18" s="8" t="str">
        <f>VLOOKUP(AJ18,[1]المرجع!$D$3:$E$12,2)</f>
        <v xml:space="preserve">أ+ </v>
      </c>
      <c r="AL18" s="10">
        <f t="shared" si="6"/>
        <v>10</v>
      </c>
      <c r="AM18" s="15">
        <v>2</v>
      </c>
      <c r="AN18" s="4">
        <v>95</v>
      </c>
      <c r="AO18" s="11">
        <f>VLOOKUP(AN18,[1]المرجع!$B$3:$C$12,2)</f>
        <v>5</v>
      </c>
      <c r="AP18" s="8" t="str">
        <f>VLOOKUP(AO18,[1]المرجع!$D$3:$E$12,2)</f>
        <v xml:space="preserve">أ+ </v>
      </c>
      <c r="AQ18" s="10">
        <f t="shared" si="7"/>
        <v>10</v>
      </c>
      <c r="AR18" s="15">
        <v>2</v>
      </c>
      <c r="AS18" s="4">
        <v>95</v>
      </c>
      <c r="AT18" s="11">
        <f>VLOOKUP(AS18,[1]المرجع!$B$3:$C$12,2)</f>
        <v>5</v>
      </c>
      <c r="AU18" s="8" t="str">
        <f>VLOOKUP(AT18,[1]المرجع!$D$3:$E$12,2)</f>
        <v xml:space="preserve">أ+ </v>
      </c>
      <c r="AV18" s="10">
        <f t="shared" si="8"/>
        <v>10</v>
      </c>
      <c r="AW18" s="15">
        <v>2</v>
      </c>
      <c r="AX18" s="4">
        <v>87</v>
      </c>
      <c r="AY18" s="11">
        <f>VLOOKUP(AX18,[1]المرجع!$B$3:$C$12,2)</f>
        <v>4.5</v>
      </c>
      <c r="AZ18" s="8" t="str">
        <f>VLOOKUP(AY18,[1]المرجع!$D$3:$E$12,2)</f>
        <v>ب+</v>
      </c>
      <c r="BA18" s="10">
        <f t="shared" si="9"/>
        <v>9</v>
      </c>
      <c r="BB18" s="15">
        <v>2</v>
      </c>
      <c r="BC18" s="4">
        <v>70</v>
      </c>
      <c r="BD18" s="11">
        <f>VLOOKUP(BC18,[1]المرجع!$B$3:$C$12,2)</f>
        <v>3</v>
      </c>
      <c r="BE18" s="8" t="str">
        <f>VLOOKUP(BD18,[1]المرجع!$D$3:$E$12,2)</f>
        <v>ج</v>
      </c>
      <c r="BF18" s="10">
        <f t="shared" si="10"/>
        <v>6</v>
      </c>
      <c r="BG18" s="15">
        <v>2</v>
      </c>
      <c r="BH18" s="4">
        <v>54</v>
      </c>
      <c r="BI18" s="11">
        <f>VLOOKUP(BH18,[1]المرجع!$B$3:$C$12,2)</f>
        <v>2</v>
      </c>
      <c r="BJ18" s="8" t="str">
        <f>VLOOKUP(BI18,[1]المرجع!$D$3:$E$12,2)</f>
        <v>د</v>
      </c>
      <c r="BK18" s="10">
        <f t="shared" si="11"/>
        <v>4</v>
      </c>
      <c r="BL18" s="19">
        <f t="shared" si="12"/>
        <v>96.25</v>
      </c>
      <c r="BM18" s="20">
        <f t="shared" si="13"/>
        <v>23</v>
      </c>
      <c r="BN18" s="21">
        <f t="shared" si="14"/>
        <v>4.1847826086956523</v>
      </c>
      <c r="BO18" s="18"/>
      <c r="BP18" s="23" t="str">
        <f>VLOOKUP(BN18,[1]المرجع!D$3:F$12,3)</f>
        <v>جيد جد مرتفع</v>
      </c>
      <c r="BQ18" s="22">
        <f t="shared" si="15"/>
        <v>13</v>
      </c>
    </row>
    <row r="19" spans="2:69" ht="23.5">
      <c r="B19" s="1">
        <v>2024205</v>
      </c>
      <c r="C19" s="3" t="s">
        <v>30</v>
      </c>
      <c r="D19" s="5">
        <v>1</v>
      </c>
      <c r="E19" s="4">
        <v>92</v>
      </c>
      <c r="F19" s="11">
        <f>VLOOKUP(E19,[1]المرجع!$B$3:$C$12,2)</f>
        <v>4.75</v>
      </c>
      <c r="G19" s="8" t="str">
        <f>VLOOKUP(F19,[1]المرجع!$D$3:$E$12,2)</f>
        <v>أ</v>
      </c>
      <c r="H19" s="10">
        <f t="shared" si="0"/>
        <v>4.75</v>
      </c>
      <c r="I19" s="5">
        <v>2</v>
      </c>
      <c r="J19" s="4">
        <v>71</v>
      </c>
      <c r="K19" s="11">
        <f>VLOOKUP(J19,[1]المرجع!$B$3:$C$12,2)</f>
        <v>3</v>
      </c>
      <c r="L19" s="8" t="str">
        <f>VLOOKUP(K19,[1]المرجع!$D$3:$E$12,2)</f>
        <v>ج</v>
      </c>
      <c r="M19" s="10">
        <f t="shared" si="1"/>
        <v>6</v>
      </c>
      <c r="N19" s="15">
        <v>2</v>
      </c>
      <c r="O19" s="4">
        <v>79</v>
      </c>
      <c r="P19" s="11">
        <f>VLOOKUP(O19,[1]المرجع!$B$3:$C$12,2)</f>
        <v>3.5</v>
      </c>
      <c r="Q19" s="8" t="str">
        <f>VLOOKUP(P19,[1]المرجع!$D$3:$E$12,2)</f>
        <v>ج+</v>
      </c>
      <c r="R19" s="10">
        <f t="shared" si="2"/>
        <v>7</v>
      </c>
      <c r="S19" s="15">
        <v>2</v>
      </c>
      <c r="T19" s="4">
        <v>90</v>
      </c>
      <c r="U19" s="11">
        <f>VLOOKUP(T19,[1]المرجع!$B$3:$C$12,2)</f>
        <v>4.75</v>
      </c>
      <c r="V19" s="8" t="str">
        <f>VLOOKUP(U19,[1]المرجع!$D$3:$E$12,2)</f>
        <v>أ</v>
      </c>
      <c r="W19" s="10">
        <f t="shared" si="3"/>
        <v>9.5</v>
      </c>
      <c r="X19" s="15">
        <v>2</v>
      </c>
      <c r="Y19" s="4">
        <v>81</v>
      </c>
      <c r="Z19" s="11">
        <f>VLOOKUP(Y19,[1]المرجع!$B$3:$C$12,2)</f>
        <v>4</v>
      </c>
      <c r="AA19" s="8" t="str">
        <f>VLOOKUP(Z19,[1]المرجع!$D$3:$E$12,2)</f>
        <v>ب</v>
      </c>
      <c r="AB19" s="10">
        <f t="shared" si="4"/>
        <v>8</v>
      </c>
      <c r="AC19" s="15">
        <v>2</v>
      </c>
      <c r="AD19" s="4">
        <v>77</v>
      </c>
      <c r="AE19" s="11">
        <f>VLOOKUP(AD19,[1]المرجع!$B$3:$C$12,2)</f>
        <v>3.5</v>
      </c>
      <c r="AF19" s="8" t="str">
        <f>VLOOKUP(AE19,[1]المرجع!$D$3:$E$12,2)</f>
        <v>ج+</v>
      </c>
      <c r="AG19" s="10">
        <f t="shared" si="5"/>
        <v>7</v>
      </c>
      <c r="AH19" s="15">
        <v>2</v>
      </c>
      <c r="AI19" s="4">
        <v>98</v>
      </c>
      <c r="AJ19" s="11">
        <f>VLOOKUP(AI19,[1]المرجع!$B$3:$C$12,2)</f>
        <v>5</v>
      </c>
      <c r="AK19" s="8" t="str">
        <f>VLOOKUP(AJ19,[1]المرجع!$D$3:$E$12,2)</f>
        <v xml:space="preserve">أ+ </v>
      </c>
      <c r="AL19" s="10">
        <f t="shared" si="6"/>
        <v>10</v>
      </c>
      <c r="AM19" s="15">
        <v>2</v>
      </c>
      <c r="AN19" s="4">
        <v>89</v>
      </c>
      <c r="AO19" s="11">
        <f>VLOOKUP(AN19,[1]المرجع!$B$3:$C$12,2)</f>
        <v>4.5</v>
      </c>
      <c r="AP19" s="8" t="str">
        <f>VLOOKUP(AO19,[1]المرجع!$D$3:$E$12,2)</f>
        <v>ب+</v>
      </c>
      <c r="AQ19" s="10">
        <f t="shared" si="7"/>
        <v>9</v>
      </c>
      <c r="AR19" s="15">
        <v>2</v>
      </c>
      <c r="AS19" s="4">
        <v>100</v>
      </c>
      <c r="AT19" s="11">
        <f>VLOOKUP(AS19,[1]المرجع!$B$3:$C$12,2)</f>
        <v>5</v>
      </c>
      <c r="AU19" s="8" t="str">
        <f>VLOOKUP(AT19,[1]المرجع!$D$3:$E$12,2)</f>
        <v xml:space="preserve">أ+ </v>
      </c>
      <c r="AV19" s="10">
        <f t="shared" si="8"/>
        <v>10</v>
      </c>
      <c r="AW19" s="15">
        <v>2</v>
      </c>
      <c r="AX19" s="4">
        <v>80</v>
      </c>
      <c r="AY19" s="11">
        <f>VLOOKUP(AX19,[1]المرجع!$B$3:$C$12,2)</f>
        <v>4</v>
      </c>
      <c r="AZ19" s="8" t="str">
        <f>VLOOKUP(AY19,[1]المرجع!$D$3:$E$12,2)</f>
        <v>ب</v>
      </c>
      <c r="BA19" s="10">
        <f t="shared" si="9"/>
        <v>8</v>
      </c>
      <c r="BB19" s="15">
        <v>2</v>
      </c>
      <c r="BC19" s="4">
        <v>70</v>
      </c>
      <c r="BD19" s="11">
        <f>VLOOKUP(BC19,[1]المرجع!$B$3:$C$12,2)</f>
        <v>3</v>
      </c>
      <c r="BE19" s="8" t="str">
        <f>VLOOKUP(BD19,[1]المرجع!$D$3:$E$12,2)</f>
        <v>ج</v>
      </c>
      <c r="BF19" s="10">
        <f t="shared" si="10"/>
        <v>6</v>
      </c>
      <c r="BG19" s="15">
        <v>2</v>
      </c>
      <c r="BH19" s="4">
        <v>70</v>
      </c>
      <c r="BI19" s="11">
        <f>VLOOKUP(BH19,[1]المرجع!$B$3:$C$12,2)</f>
        <v>3</v>
      </c>
      <c r="BJ19" s="8" t="str">
        <f>VLOOKUP(BI19,[1]المرجع!$D$3:$E$12,2)</f>
        <v>ج</v>
      </c>
      <c r="BK19" s="10">
        <f t="shared" si="11"/>
        <v>6</v>
      </c>
      <c r="BL19" s="19">
        <f t="shared" si="12"/>
        <v>91.25</v>
      </c>
      <c r="BM19" s="20">
        <f t="shared" si="13"/>
        <v>23</v>
      </c>
      <c r="BN19" s="21">
        <f t="shared" si="14"/>
        <v>3.9673913043478262</v>
      </c>
      <c r="BO19" s="18"/>
      <c r="BP19" s="23" t="str">
        <f>VLOOKUP(BN19,[1]المرجع!D$3:F$12,3)</f>
        <v xml:space="preserve">جيد جدا </v>
      </c>
      <c r="BQ19" s="22">
        <f t="shared" si="15"/>
        <v>18</v>
      </c>
    </row>
    <row r="20" spans="2:69" ht="23.5">
      <c r="B20" s="1">
        <v>2024158</v>
      </c>
      <c r="C20" s="3" t="s">
        <v>31</v>
      </c>
      <c r="D20" s="5">
        <v>1</v>
      </c>
      <c r="E20" s="4">
        <v>95</v>
      </c>
      <c r="F20" s="11">
        <f>VLOOKUP(E20,[1]المرجع!$B$3:$C$12,2)</f>
        <v>5</v>
      </c>
      <c r="G20" s="8" t="str">
        <f>VLOOKUP(F20,[1]المرجع!$D$3:$E$12,2)</f>
        <v xml:space="preserve">أ+ </v>
      </c>
      <c r="H20" s="10">
        <f t="shared" si="0"/>
        <v>5</v>
      </c>
      <c r="I20" s="5">
        <v>2</v>
      </c>
      <c r="J20" s="4">
        <v>77</v>
      </c>
      <c r="K20" s="11">
        <f>VLOOKUP(J20,[1]المرجع!$B$3:$C$12,2)</f>
        <v>3.5</v>
      </c>
      <c r="L20" s="8" t="str">
        <f>VLOOKUP(K20,[1]المرجع!$D$3:$E$12,2)</f>
        <v>ج+</v>
      </c>
      <c r="M20" s="10">
        <f t="shared" si="1"/>
        <v>7</v>
      </c>
      <c r="N20" s="15">
        <v>2</v>
      </c>
      <c r="O20" s="4">
        <v>85</v>
      </c>
      <c r="P20" s="11">
        <f>VLOOKUP(O20,[1]المرجع!$B$3:$C$12,2)</f>
        <v>4.5</v>
      </c>
      <c r="Q20" s="8" t="str">
        <f>VLOOKUP(P20,[1]المرجع!$D$3:$E$12,2)</f>
        <v>ب+</v>
      </c>
      <c r="R20" s="10">
        <f t="shared" si="2"/>
        <v>9</v>
      </c>
      <c r="S20" s="15">
        <v>2</v>
      </c>
      <c r="T20" s="4">
        <v>94</v>
      </c>
      <c r="U20" s="11">
        <f>VLOOKUP(T20,[1]المرجع!$B$3:$C$12,2)</f>
        <v>4.75</v>
      </c>
      <c r="V20" s="8" t="str">
        <f>VLOOKUP(U20,[1]المرجع!$D$3:$E$12,2)</f>
        <v>أ</v>
      </c>
      <c r="W20" s="10">
        <f t="shared" si="3"/>
        <v>9.5</v>
      </c>
      <c r="X20" s="15">
        <v>2</v>
      </c>
      <c r="Y20" s="4">
        <v>96</v>
      </c>
      <c r="Z20" s="11">
        <f>VLOOKUP(Y20,[1]المرجع!$B$3:$C$12,2)</f>
        <v>5</v>
      </c>
      <c r="AA20" s="8" t="str">
        <f>VLOOKUP(Z20,[1]المرجع!$D$3:$E$12,2)</f>
        <v xml:space="preserve">أ+ </v>
      </c>
      <c r="AB20" s="10">
        <f t="shared" si="4"/>
        <v>10</v>
      </c>
      <c r="AC20" s="15">
        <v>2</v>
      </c>
      <c r="AD20" s="4">
        <v>60</v>
      </c>
      <c r="AE20" s="11">
        <f>VLOOKUP(AD20,[1]المرجع!$B$3:$C$12,2)</f>
        <v>2</v>
      </c>
      <c r="AF20" s="8" t="str">
        <f>VLOOKUP(AE20,[1]المرجع!$D$3:$E$12,2)</f>
        <v>د</v>
      </c>
      <c r="AG20" s="10">
        <f t="shared" si="5"/>
        <v>4</v>
      </c>
      <c r="AH20" s="15">
        <v>2</v>
      </c>
      <c r="AI20" s="4">
        <v>55</v>
      </c>
      <c r="AJ20" s="11">
        <f>VLOOKUP(AI20,[1]المرجع!$B$3:$C$12,2)</f>
        <v>2</v>
      </c>
      <c r="AK20" s="8" t="str">
        <f>VLOOKUP(AJ20,[1]المرجع!$D$3:$E$12,2)</f>
        <v>د</v>
      </c>
      <c r="AL20" s="10">
        <f t="shared" si="6"/>
        <v>4</v>
      </c>
      <c r="AM20" s="15">
        <v>2</v>
      </c>
      <c r="AN20" s="4">
        <v>92</v>
      </c>
      <c r="AO20" s="11">
        <f>VLOOKUP(AN20,[1]المرجع!$B$3:$C$12,2)</f>
        <v>4.75</v>
      </c>
      <c r="AP20" s="8" t="str">
        <f>VLOOKUP(AO20,[1]المرجع!$D$3:$E$12,2)</f>
        <v>أ</v>
      </c>
      <c r="AQ20" s="10">
        <f t="shared" si="7"/>
        <v>9.5</v>
      </c>
      <c r="AR20" s="15">
        <v>2</v>
      </c>
      <c r="AS20" s="4">
        <v>100</v>
      </c>
      <c r="AT20" s="11">
        <f>VLOOKUP(AS20,[1]المرجع!$B$3:$C$12,2)</f>
        <v>5</v>
      </c>
      <c r="AU20" s="8" t="str">
        <f>VLOOKUP(AT20,[1]المرجع!$D$3:$E$12,2)</f>
        <v xml:space="preserve">أ+ </v>
      </c>
      <c r="AV20" s="10">
        <f t="shared" si="8"/>
        <v>10</v>
      </c>
      <c r="AW20" s="15">
        <v>2</v>
      </c>
      <c r="AX20" s="4">
        <v>72</v>
      </c>
      <c r="AY20" s="11">
        <f>VLOOKUP(AX20,[1]المرجع!$B$3:$C$12,2)</f>
        <v>3</v>
      </c>
      <c r="AZ20" s="8" t="str">
        <f>VLOOKUP(AY20,[1]المرجع!$D$3:$E$12,2)</f>
        <v>ج</v>
      </c>
      <c r="BA20" s="10">
        <f t="shared" si="9"/>
        <v>6</v>
      </c>
      <c r="BB20" s="15">
        <v>2</v>
      </c>
      <c r="BC20" s="4">
        <v>71</v>
      </c>
      <c r="BD20" s="11">
        <f>VLOOKUP(BC20,[1]المرجع!$B$3:$C$12,2)</f>
        <v>3</v>
      </c>
      <c r="BE20" s="8" t="str">
        <f>VLOOKUP(BD20,[1]المرجع!$D$3:$E$12,2)</f>
        <v>ج</v>
      </c>
      <c r="BF20" s="10">
        <f t="shared" si="10"/>
        <v>6</v>
      </c>
      <c r="BG20" s="15">
        <v>2</v>
      </c>
      <c r="BH20" s="4">
        <v>82</v>
      </c>
      <c r="BI20" s="11">
        <f>VLOOKUP(BH20,[1]المرجع!$B$3:$C$12,2)</f>
        <v>4</v>
      </c>
      <c r="BJ20" s="8" t="str">
        <f>VLOOKUP(BI20,[1]المرجع!$D$3:$E$12,2)</f>
        <v>ب</v>
      </c>
      <c r="BK20" s="10">
        <f t="shared" si="11"/>
        <v>8</v>
      </c>
      <c r="BL20" s="19">
        <f t="shared" si="12"/>
        <v>88</v>
      </c>
      <c r="BM20" s="20">
        <f t="shared" si="13"/>
        <v>23</v>
      </c>
      <c r="BN20" s="21">
        <f t="shared" si="14"/>
        <v>3.8260869565217392</v>
      </c>
      <c r="BO20" s="18"/>
      <c r="BP20" s="23" t="str">
        <f>VLOOKUP(BN20,[1]المرجع!D$3:F$12,3)</f>
        <v xml:space="preserve">جيد جدا </v>
      </c>
      <c r="BQ20" s="22">
        <f t="shared" si="15"/>
        <v>19</v>
      </c>
    </row>
    <row r="21" spans="2:69" ht="23.5">
      <c r="B21" s="1">
        <v>2024157</v>
      </c>
      <c r="C21" s="3" t="s">
        <v>32</v>
      </c>
      <c r="D21" s="5">
        <v>1</v>
      </c>
      <c r="E21" s="4">
        <v>87</v>
      </c>
      <c r="F21" s="11">
        <f>VLOOKUP(E21,[1]المرجع!$B$3:$C$12,2)</f>
        <v>4.5</v>
      </c>
      <c r="G21" s="8" t="str">
        <f>VLOOKUP(F21,[1]المرجع!$D$3:$E$12,2)</f>
        <v>ب+</v>
      </c>
      <c r="H21" s="10">
        <f t="shared" si="0"/>
        <v>4.5</v>
      </c>
      <c r="I21" s="5">
        <v>2</v>
      </c>
      <c r="J21" s="4">
        <v>94</v>
      </c>
      <c r="K21" s="11">
        <f>VLOOKUP(J21,[1]المرجع!$B$3:$C$12,2)</f>
        <v>4.75</v>
      </c>
      <c r="L21" s="8" t="str">
        <f>VLOOKUP(K21,[1]المرجع!$D$3:$E$12,2)</f>
        <v>أ</v>
      </c>
      <c r="M21" s="10">
        <f t="shared" si="1"/>
        <v>9.5</v>
      </c>
      <c r="N21" s="15">
        <v>2</v>
      </c>
      <c r="O21" s="4">
        <v>79</v>
      </c>
      <c r="P21" s="11">
        <f>VLOOKUP(O21,[1]المرجع!$B$3:$C$12,2)</f>
        <v>3.5</v>
      </c>
      <c r="Q21" s="8" t="str">
        <f>VLOOKUP(P21,[1]المرجع!$D$3:$E$12,2)</f>
        <v>ج+</v>
      </c>
      <c r="R21" s="10">
        <f t="shared" si="2"/>
        <v>7</v>
      </c>
      <c r="S21" s="15">
        <v>2</v>
      </c>
      <c r="T21" s="4">
        <v>90</v>
      </c>
      <c r="U21" s="11">
        <f>VLOOKUP(T21,[1]المرجع!$B$3:$C$12,2)</f>
        <v>4.75</v>
      </c>
      <c r="V21" s="8" t="str">
        <f>VLOOKUP(U21,[1]المرجع!$D$3:$E$12,2)</f>
        <v>أ</v>
      </c>
      <c r="W21" s="10">
        <f t="shared" si="3"/>
        <v>9.5</v>
      </c>
      <c r="X21" s="15">
        <v>2</v>
      </c>
      <c r="Y21" s="4">
        <v>83</v>
      </c>
      <c r="Z21" s="11">
        <f>VLOOKUP(Y21,[1]المرجع!$B$3:$C$12,2)</f>
        <v>4</v>
      </c>
      <c r="AA21" s="8" t="str">
        <f>VLOOKUP(Z21,[1]المرجع!$D$3:$E$12,2)</f>
        <v>ب</v>
      </c>
      <c r="AB21" s="10">
        <f t="shared" si="4"/>
        <v>8</v>
      </c>
      <c r="AC21" s="15">
        <v>2</v>
      </c>
      <c r="AD21" s="4">
        <v>62</v>
      </c>
      <c r="AE21" s="11">
        <f>VLOOKUP(AD21,[1]المرجع!$B$3:$C$12,2)</f>
        <v>2</v>
      </c>
      <c r="AF21" s="8" t="str">
        <f>VLOOKUP(AE21,[1]المرجع!$D$3:$E$12,2)</f>
        <v>د</v>
      </c>
      <c r="AG21" s="10">
        <f t="shared" si="5"/>
        <v>4</v>
      </c>
      <c r="AH21" s="15">
        <v>2</v>
      </c>
      <c r="AI21" s="4">
        <v>100</v>
      </c>
      <c r="AJ21" s="11">
        <f>VLOOKUP(AI21,[1]المرجع!$B$3:$C$12,2)</f>
        <v>5</v>
      </c>
      <c r="AK21" s="8" t="str">
        <f>VLOOKUP(AJ21,[1]المرجع!$D$3:$E$12,2)</f>
        <v xml:space="preserve">أ+ </v>
      </c>
      <c r="AL21" s="10">
        <f t="shared" si="6"/>
        <v>10</v>
      </c>
      <c r="AM21" s="15">
        <v>2</v>
      </c>
      <c r="AN21" s="4">
        <v>85</v>
      </c>
      <c r="AO21" s="11">
        <f>VLOOKUP(AN21,[1]المرجع!$B$3:$C$12,2)</f>
        <v>4.5</v>
      </c>
      <c r="AP21" s="8" t="str">
        <f>VLOOKUP(AO21,[1]المرجع!$D$3:$E$12,2)</f>
        <v>ب+</v>
      </c>
      <c r="AQ21" s="10">
        <f t="shared" si="7"/>
        <v>9</v>
      </c>
      <c r="AR21" s="15">
        <v>2</v>
      </c>
      <c r="AS21" s="4">
        <v>100</v>
      </c>
      <c r="AT21" s="11">
        <f>VLOOKUP(AS21,[1]المرجع!$B$3:$C$12,2)</f>
        <v>5</v>
      </c>
      <c r="AU21" s="8" t="str">
        <f>VLOOKUP(AT21,[1]المرجع!$D$3:$E$12,2)</f>
        <v xml:space="preserve">أ+ </v>
      </c>
      <c r="AV21" s="10">
        <f t="shared" si="8"/>
        <v>10</v>
      </c>
      <c r="AW21" s="15">
        <v>2</v>
      </c>
      <c r="AX21" s="4">
        <v>73</v>
      </c>
      <c r="AY21" s="11">
        <f>VLOOKUP(AX21,[1]المرجع!$B$3:$C$12,2)</f>
        <v>3</v>
      </c>
      <c r="AZ21" s="8" t="str">
        <f>VLOOKUP(AY21,[1]المرجع!$D$3:$E$12,2)</f>
        <v>ج</v>
      </c>
      <c r="BA21" s="10">
        <f t="shared" si="9"/>
        <v>6</v>
      </c>
      <c r="BB21" s="15">
        <v>2</v>
      </c>
      <c r="BC21" s="4">
        <v>70</v>
      </c>
      <c r="BD21" s="11">
        <f>VLOOKUP(BC21,[1]المرجع!$B$3:$C$12,2)</f>
        <v>3</v>
      </c>
      <c r="BE21" s="8" t="str">
        <f>VLOOKUP(BD21,[1]المرجع!$D$3:$E$12,2)</f>
        <v>ج</v>
      </c>
      <c r="BF21" s="10">
        <f t="shared" si="10"/>
        <v>6</v>
      </c>
      <c r="BG21" s="15">
        <v>2</v>
      </c>
      <c r="BH21" s="4">
        <v>50</v>
      </c>
      <c r="BI21" s="11">
        <f>VLOOKUP(BH21,[1]المرجع!$B$3:$C$12,2)</f>
        <v>2</v>
      </c>
      <c r="BJ21" s="8" t="str">
        <f>VLOOKUP(BI21,[1]المرجع!$D$3:$E$12,2)</f>
        <v>د</v>
      </c>
      <c r="BK21" s="10">
        <f t="shared" si="11"/>
        <v>4</v>
      </c>
      <c r="BL21" s="19">
        <f t="shared" si="12"/>
        <v>87.5</v>
      </c>
      <c r="BM21" s="20">
        <f t="shared" si="13"/>
        <v>23</v>
      </c>
      <c r="BN21" s="21">
        <f t="shared" si="14"/>
        <v>3.8043478260869565</v>
      </c>
      <c r="BO21" s="18"/>
      <c r="BP21" s="23" t="str">
        <f>VLOOKUP(BN21,[1]المرجع!D$3:F$12,3)</f>
        <v xml:space="preserve">جيد جدا </v>
      </c>
      <c r="BQ21" s="22">
        <f t="shared" si="15"/>
        <v>21</v>
      </c>
    </row>
    <row r="22" spans="2:69" ht="23.5">
      <c r="B22" s="1">
        <v>2024160</v>
      </c>
      <c r="C22" s="3" t="s">
        <v>33</v>
      </c>
      <c r="D22" s="5">
        <v>1</v>
      </c>
      <c r="E22" s="4">
        <v>92</v>
      </c>
      <c r="F22" s="11">
        <f>VLOOKUP(E22,[1]المرجع!$B$3:$C$12,2)</f>
        <v>4.75</v>
      </c>
      <c r="G22" s="8" t="str">
        <f>VLOOKUP(F22,[1]المرجع!$D$3:$E$12,2)</f>
        <v>أ</v>
      </c>
      <c r="H22" s="10">
        <f t="shared" si="0"/>
        <v>4.75</v>
      </c>
      <c r="I22" s="5">
        <v>2</v>
      </c>
      <c r="J22" s="4">
        <v>79</v>
      </c>
      <c r="K22" s="11">
        <f>VLOOKUP(J22,[1]المرجع!$B$3:$C$12,2)</f>
        <v>3.5</v>
      </c>
      <c r="L22" s="8" t="str">
        <f>VLOOKUP(K22,[1]المرجع!$D$3:$E$12,2)</f>
        <v>ج+</v>
      </c>
      <c r="M22" s="10">
        <f t="shared" si="1"/>
        <v>7</v>
      </c>
      <c r="N22" s="15">
        <v>2</v>
      </c>
      <c r="O22" s="4">
        <v>62</v>
      </c>
      <c r="P22" s="11">
        <f>VLOOKUP(O22,[1]المرجع!$B$3:$C$12,2)</f>
        <v>2</v>
      </c>
      <c r="Q22" s="8" t="str">
        <f>VLOOKUP(P22,[1]المرجع!$D$3:$E$12,2)</f>
        <v>د</v>
      </c>
      <c r="R22" s="10">
        <f t="shared" si="2"/>
        <v>4</v>
      </c>
      <c r="S22" s="15">
        <v>2</v>
      </c>
      <c r="T22" s="4">
        <v>92</v>
      </c>
      <c r="U22" s="11">
        <f>VLOOKUP(T22,[1]المرجع!$B$3:$C$12,2)</f>
        <v>4.75</v>
      </c>
      <c r="V22" s="8" t="str">
        <f>VLOOKUP(U22,[1]المرجع!$D$3:$E$12,2)</f>
        <v>أ</v>
      </c>
      <c r="W22" s="10">
        <f t="shared" si="3"/>
        <v>9.5</v>
      </c>
      <c r="X22" s="15">
        <v>2</v>
      </c>
      <c r="Y22" s="4">
        <v>94</v>
      </c>
      <c r="Z22" s="11">
        <f>VLOOKUP(Y22,[1]المرجع!$B$3:$C$12,2)</f>
        <v>4.75</v>
      </c>
      <c r="AA22" s="8" t="str">
        <f>VLOOKUP(Z22,[1]المرجع!$D$3:$E$12,2)</f>
        <v>أ</v>
      </c>
      <c r="AB22" s="10">
        <f t="shared" si="4"/>
        <v>9.5</v>
      </c>
      <c r="AC22" s="15">
        <v>2</v>
      </c>
      <c r="AD22" s="4">
        <v>59</v>
      </c>
      <c r="AE22" s="11">
        <f>VLOOKUP(AD22,[1]المرجع!$B$3:$C$12,2)</f>
        <v>2</v>
      </c>
      <c r="AF22" s="8" t="str">
        <f>VLOOKUP(AE22,[1]المرجع!$D$3:$E$12,2)</f>
        <v>د</v>
      </c>
      <c r="AG22" s="10">
        <f t="shared" si="5"/>
        <v>4</v>
      </c>
      <c r="AH22" s="15">
        <v>2</v>
      </c>
      <c r="AI22" s="4">
        <v>92</v>
      </c>
      <c r="AJ22" s="11">
        <f>VLOOKUP(AI22,[1]المرجع!$B$3:$C$12,2)</f>
        <v>4.75</v>
      </c>
      <c r="AK22" s="8" t="str">
        <f>VLOOKUP(AJ22,[1]المرجع!$D$3:$E$12,2)</f>
        <v>أ</v>
      </c>
      <c r="AL22" s="10">
        <f t="shared" si="6"/>
        <v>9.5</v>
      </c>
      <c r="AM22" s="15">
        <v>2</v>
      </c>
      <c r="AN22" s="4">
        <v>80</v>
      </c>
      <c r="AO22" s="11">
        <f>VLOOKUP(AN22,[1]المرجع!$B$3:$C$12,2)</f>
        <v>4</v>
      </c>
      <c r="AP22" s="8" t="str">
        <f>VLOOKUP(AO22,[1]المرجع!$D$3:$E$12,2)</f>
        <v>ب</v>
      </c>
      <c r="AQ22" s="10">
        <f t="shared" si="7"/>
        <v>8</v>
      </c>
      <c r="AR22" s="15">
        <v>2</v>
      </c>
      <c r="AS22" s="4">
        <v>100</v>
      </c>
      <c r="AT22" s="11">
        <f>VLOOKUP(AS22,[1]المرجع!$B$3:$C$12,2)</f>
        <v>5</v>
      </c>
      <c r="AU22" s="8" t="str">
        <f>VLOOKUP(AT22,[1]المرجع!$D$3:$E$12,2)</f>
        <v xml:space="preserve">أ+ </v>
      </c>
      <c r="AV22" s="10">
        <f t="shared" si="8"/>
        <v>10</v>
      </c>
      <c r="AW22" s="15">
        <v>2</v>
      </c>
      <c r="AX22" s="4">
        <v>63</v>
      </c>
      <c r="AY22" s="11">
        <f>VLOOKUP(AX22,[1]المرجع!$B$3:$C$12,2)</f>
        <v>2</v>
      </c>
      <c r="AZ22" s="8" t="str">
        <f>VLOOKUP(AY22,[1]المرجع!$D$3:$E$12,2)</f>
        <v>د</v>
      </c>
      <c r="BA22" s="10">
        <f t="shared" si="9"/>
        <v>4</v>
      </c>
      <c r="BB22" s="15">
        <v>2</v>
      </c>
      <c r="BC22" s="4">
        <v>66</v>
      </c>
      <c r="BD22" s="11">
        <f>VLOOKUP(BC22,[1]المرجع!$B$3:$C$12,2)</f>
        <v>2.5</v>
      </c>
      <c r="BE22" s="8" t="str">
        <f>VLOOKUP(BD22,[1]المرجع!$D$3:$E$12,2)</f>
        <v>د+</v>
      </c>
      <c r="BF22" s="10">
        <f t="shared" si="10"/>
        <v>5</v>
      </c>
      <c r="BG22" s="15">
        <v>2</v>
      </c>
      <c r="BH22" s="4">
        <v>81</v>
      </c>
      <c r="BI22" s="11">
        <f>VLOOKUP(BH22,[1]المرجع!$B$3:$C$12,2)</f>
        <v>4</v>
      </c>
      <c r="BJ22" s="8" t="str">
        <f>VLOOKUP(BI22,[1]المرجع!$D$3:$E$12,2)</f>
        <v>ب</v>
      </c>
      <c r="BK22" s="10">
        <f t="shared" si="11"/>
        <v>8</v>
      </c>
      <c r="BL22" s="19">
        <f t="shared" si="12"/>
        <v>83.25</v>
      </c>
      <c r="BM22" s="20">
        <f t="shared" si="13"/>
        <v>23</v>
      </c>
      <c r="BN22" s="21">
        <f t="shared" si="14"/>
        <v>3.6195652173913042</v>
      </c>
      <c r="BO22" s="18"/>
      <c r="BP22" s="23" t="str">
        <f>VLOOKUP(BN22,[1]المرجع!D$3:F$12,3)</f>
        <v xml:space="preserve">جيد جدا </v>
      </c>
      <c r="BQ22" s="22">
        <f t="shared" si="15"/>
        <v>26</v>
      </c>
    </row>
    <row r="23" spans="2:69" ht="23.5">
      <c r="B23" s="1">
        <v>2024212</v>
      </c>
      <c r="C23" s="3" t="s">
        <v>34</v>
      </c>
      <c r="D23" s="5">
        <v>1</v>
      </c>
      <c r="E23" s="4">
        <v>91</v>
      </c>
      <c r="F23" s="11">
        <f>VLOOKUP(E23,[1]المرجع!$B$3:$C$12,2)</f>
        <v>4.75</v>
      </c>
      <c r="G23" s="8" t="str">
        <f>VLOOKUP(F23,[1]المرجع!$D$3:$E$12,2)</f>
        <v>أ</v>
      </c>
      <c r="H23" s="10">
        <f t="shared" si="0"/>
        <v>4.75</v>
      </c>
      <c r="I23" s="5">
        <v>2</v>
      </c>
      <c r="J23" s="4">
        <v>91</v>
      </c>
      <c r="K23" s="11">
        <f>VLOOKUP(J23,[1]المرجع!$B$3:$C$12,2)</f>
        <v>4.75</v>
      </c>
      <c r="L23" s="8" t="str">
        <f>VLOOKUP(K23,[1]المرجع!$D$3:$E$12,2)</f>
        <v>أ</v>
      </c>
      <c r="M23" s="10">
        <f t="shared" si="1"/>
        <v>9.5</v>
      </c>
      <c r="N23" s="15">
        <v>2</v>
      </c>
      <c r="O23" s="4">
        <v>88</v>
      </c>
      <c r="P23" s="11">
        <f>VLOOKUP(O23,[1]المرجع!$B$3:$C$12,2)</f>
        <v>4.5</v>
      </c>
      <c r="Q23" s="8" t="str">
        <f>VLOOKUP(P23,[1]المرجع!$D$3:$E$12,2)</f>
        <v>ب+</v>
      </c>
      <c r="R23" s="10">
        <f t="shared" si="2"/>
        <v>9</v>
      </c>
      <c r="S23" s="15">
        <v>2</v>
      </c>
      <c r="T23" s="4">
        <v>82</v>
      </c>
      <c r="U23" s="11">
        <f>VLOOKUP(T23,[1]المرجع!$B$3:$C$12,2)</f>
        <v>4</v>
      </c>
      <c r="V23" s="8" t="str">
        <f>VLOOKUP(U23,[1]المرجع!$D$3:$E$12,2)</f>
        <v>ب</v>
      </c>
      <c r="W23" s="10">
        <f t="shared" si="3"/>
        <v>8</v>
      </c>
      <c r="X23" s="15">
        <v>2</v>
      </c>
      <c r="Y23" s="4">
        <v>97</v>
      </c>
      <c r="Z23" s="11">
        <f>VLOOKUP(Y23,[1]المرجع!$B$3:$C$12,2)</f>
        <v>5</v>
      </c>
      <c r="AA23" s="8" t="str">
        <f>VLOOKUP(Z23,[1]المرجع!$D$3:$E$12,2)</f>
        <v xml:space="preserve">أ+ </v>
      </c>
      <c r="AB23" s="10">
        <f t="shared" si="4"/>
        <v>10</v>
      </c>
      <c r="AC23" s="15">
        <v>2</v>
      </c>
      <c r="AD23" s="4">
        <v>50</v>
      </c>
      <c r="AE23" s="11">
        <f>VLOOKUP(AD23,[1]المرجع!$B$3:$C$12,2)</f>
        <v>2</v>
      </c>
      <c r="AF23" s="8" t="str">
        <f>VLOOKUP(AE23,[1]المرجع!$D$3:$E$12,2)</f>
        <v>د</v>
      </c>
      <c r="AG23" s="10">
        <f t="shared" si="5"/>
        <v>4</v>
      </c>
      <c r="AH23" s="15">
        <v>2</v>
      </c>
      <c r="AI23" s="4">
        <v>100</v>
      </c>
      <c r="AJ23" s="11">
        <f>VLOOKUP(AI23,[1]المرجع!$B$3:$C$12,2)</f>
        <v>5</v>
      </c>
      <c r="AK23" s="8" t="str">
        <f>VLOOKUP(AJ23,[1]المرجع!$D$3:$E$12,2)</f>
        <v xml:space="preserve">أ+ </v>
      </c>
      <c r="AL23" s="10">
        <f t="shared" si="6"/>
        <v>10</v>
      </c>
      <c r="AM23" s="15">
        <v>2</v>
      </c>
      <c r="AN23" s="4">
        <v>75</v>
      </c>
      <c r="AO23" s="11">
        <f>VLOOKUP(AN23,[1]المرجع!$B$3:$C$12,2)</f>
        <v>3.5</v>
      </c>
      <c r="AP23" s="8" t="str">
        <f>VLOOKUP(AO23,[1]المرجع!$D$3:$E$12,2)</f>
        <v>ج+</v>
      </c>
      <c r="AQ23" s="10">
        <f t="shared" si="7"/>
        <v>7</v>
      </c>
      <c r="AR23" s="15">
        <v>2</v>
      </c>
      <c r="AS23" s="4">
        <v>100</v>
      </c>
      <c r="AT23" s="11">
        <f>VLOOKUP(AS23,[1]المرجع!$B$3:$C$12,2)</f>
        <v>5</v>
      </c>
      <c r="AU23" s="8" t="str">
        <f>VLOOKUP(AT23,[1]المرجع!$D$3:$E$12,2)</f>
        <v xml:space="preserve">أ+ </v>
      </c>
      <c r="AV23" s="10">
        <f t="shared" si="8"/>
        <v>10</v>
      </c>
      <c r="AW23" s="15">
        <v>2</v>
      </c>
      <c r="AX23" s="4">
        <v>73</v>
      </c>
      <c r="AY23" s="11">
        <f>VLOOKUP(AX23,[1]المرجع!$B$3:$C$12,2)</f>
        <v>3</v>
      </c>
      <c r="AZ23" s="8" t="str">
        <f>VLOOKUP(AY23,[1]المرجع!$D$3:$E$12,2)</f>
        <v>ج</v>
      </c>
      <c r="BA23" s="10">
        <f t="shared" si="9"/>
        <v>6</v>
      </c>
      <c r="BB23" s="15">
        <v>2</v>
      </c>
      <c r="BC23" s="4">
        <v>60</v>
      </c>
      <c r="BD23" s="11">
        <f>VLOOKUP(BC23,[1]المرجع!$B$3:$C$12,2)</f>
        <v>2</v>
      </c>
      <c r="BE23" s="8" t="str">
        <f>VLOOKUP(BD23,[1]المرجع!$D$3:$E$12,2)</f>
        <v>د</v>
      </c>
      <c r="BF23" s="10">
        <f t="shared" si="10"/>
        <v>4</v>
      </c>
      <c r="BG23" s="15">
        <v>2</v>
      </c>
      <c r="BH23" s="4">
        <v>50</v>
      </c>
      <c r="BI23" s="11">
        <f>VLOOKUP(BH23,[1]المرجع!$B$3:$C$12,2)</f>
        <v>2</v>
      </c>
      <c r="BJ23" s="8" t="str">
        <f>VLOOKUP(BI23,[1]المرجع!$D$3:$E$12,2)</f>
        <v>د</v>
      </c>
      <c r="BK23" s="10">
        <f t="shared" si="11"/>
        <v>4</v>
      </c>
      <c r="BL23" s="19">
        <f t="shared" si="12"/>
        <v>86.25</v>
      </c>
      <c r="BM23" s="20">
        <f t="shared" si="13"/>
        <v>23</v>
      </c>
      <c r="BN23" s="21">
        <f t="shared" si="14"/>
        <v>3.75</v>
      </c>
      <c r="BO23" s="18"/>
      <c r="BP23" s="23" t="str">
        <f>VLOOKUP(BN23,[1]المرجع!D$3:F$12,3)</f>
        <v xml:space="preserve">جيد جدا </v>
      </c>
      <c r="BQ23" s="22">
        <f t="shared" si="15"/>
        <v>22</v>
      </c>
    </row>
    <row r="24" spans="2:69" ht="23.5">
      <c r="B24" s="1">
        <v>2024187</v>
      </c>
      <c r="C24" s="3" t="s">
        <v>35</v>
      </c>
      <c r="D24" s="5">
        <v>1</v>
      </c>
      <c r="E24" s="4">
        <v>93</v>
      </c>
      <c r="F24" s="11">
        <f>VLOOKUP(E24,[1]المرجع!$B$3:$C$12,2)</f>
        <v>4.75</v>
      </c>
      <c r="G24" s="8" t="str">
        <f>VLOOKUP(F24,[1]المرجع!$D$3:$E$12,2)</f>
        <v>أ</v>
      </c>
      <c r="H24" s="10">
        <f t="shared" si="0"/>
        <v>4.75</v>
      </c>
      <c r="I24" s="5">
        <v>2</v>
      </c>
      <c r="J24" s="4">
        <v>74</v>
      </c>
      <c r="K24" s="11">
        <f>VLOOKUP(J24,[1]المرجع!$B$3:$C$12,2)</f>
        <v>3</v>
      </c>
      <c r="L24" s="8" t="str">
        <f>VLOOKUP(K24,[1]المرجع!$D$3:$E$12,2)</f>
        <v>ج</v>
      </c>
      <c r="M24" s="10">
        <f t="shared" si="1"/>
        <v>6</v>
      </c>
      <c r="N24" s="15">
        <v>2</v>
      </c>
      <c r="O24" s="4">
        <v>50</v>
      </c>
      <c r="P24" s="11">
        <f>VLOOKUP(O24,[1]المرجع!$B$3:$C$12,2)</f>
        <v>2</v>
      </c>
      <c r="Q24" s="8" t="str">
        <f>VLOOKUP(P24,[1]المرجع!$D$3:$E$12,2)</f>
        <v>د</v>
      </c>
      <c r="R24" s="10">
        <f t="shared" si="2"/>
        <v>4</v>
      </c>
      <c r="S24" s="15">
        <v>2</v>
      </c>
      <c r="T24" s="4">
        <v>80</v>
      </c>
      <c r="U24" s="11">
        <f>VLOOKUP(T24,[1]المرجع!$B$3:$C$12,2)</f>
        <v>4</v>
      </c>
      <c r="V24" s="8" t="str">
        <f>VLOOKUP(U24,[1]المرجع!$D$3:$E$12,2)</f>
        <v>ب</v>
      </c>
      <c r="W24" s="10">
        <f t="shared" si="3"/>
        <v>8</v>
      </c>
      <c r="X24" s="15">
        <v>2</v>
      </c>
      <c r="Y24" s="4">
        <v>96</v>
      </c>
      <c r="Z24" s="11">
        <f>VLOOKUP(Y24,[1]المرجع!$B$3:$C$12,2)</f>
        <v>5</v>
      </c>
      <c r="AA24" s="8" t="str">
        <f>VLOOKUP(Z24,[1]المرجع!$D$3:$E$12,2)</f>
        <v xml:space="preserve">أ+ </v>
      </c>
      <c r="AB24" s="10">
        <f t="shared" si="4"/>
        <v>10</v>
      </c>
      <c r="AC24" s="15">
        <v>2</v>
      </c>
      <c r="AD24" s="4">
        <v>50</v>
      </c>
      <c r="AE24" s="11">
        <f>VLOOKUP(AD24,[1]المرجع!$B$3:$C$12,2)</f>
        <v>2</v>
      </c>
      <c r="AF24" s="8" t="str">
        <f>VLOOKUP(AE24,[1]المرجع!$D$3:$E$12,2)</f>
        <v>د</v>
      </c>
      <c r="AG24" s="10">
        <f t="shared" si="5"/>
        <v>4</v>
      </c>
      <c r="AH24" s="15">
        <v>2</v>
      </c>
      <c r="AI24" s="4">
        <v>99</v>
      </c>
      <c r="AJ24" s="11">
        <f>VLOOKUP(AI24,[1]المرجع!$B$3:$C$12,2)</f>
        <v>5</v>
      </c>
      <c r="AK24" s="8" t="str">
        <f>VLOOKUP(AJ24,[1]المرجع!$D$3:$E$12,2)</f>
        <v xml:space="preserve">أ+ </v>
      </c>
      <c r="AL24" s="10">
        <f t="shared" si="6"/>
        <v>10</v>
      </c>
      <c r="AM24" s="15">
        <v>2</v>
      </c>
      <c r="AN24" s="4">
        <v>65</v>
      </c>
      <c r="AO24" s="11">
        <f>VLOOKUP(AN24,[1]المرجع!$B$3:$C$12,2)</f>
        <v>2.5</v>
      </c>
      <c r="AP24" s="8" t="str">
        <f>VLOOKUP(AO24,[1]المرجع!$D$3:$E$12,2)</f>
        <v>د+</v>
      </c>
      <c r="AQ24" s="10">
        <f t="shared" si="7"/>
        <v>5</v>
      </c>
      <c r="AR24" s="15">
        <v>2</v>
      </c>
      <c r="AS24" s="4">
        <v>100</v>
      </c>
      <c r="AT24" s="11">
        <f>VLOOKUP(AS24,[1]المرجع!$B$3:$C$12,2)</f>
        <v>5</v>
      </c>
      <c r="AU24" s="8" t="str">
        <f>VLOOKUP(AT24,[1]المرجع!$D$3:$E$12,2)</f>
        <v xml:space="preserve">أ+ </v>
      </c>
      <c r="AV24" s="10">
        <f t="shared" si="8"/>
        <v>10</v>
      </c>
      <c r="AW24" s="15">
        <v>2</v>
      </c>
      <c r="AX24" s="4">
        <v>88</v>
      </c>
      <c r="AY24" s="11">
        <f>VLOOKUP(AX24,[1]المرجع!$B$3:$C$12,2)</f>
        <v>4.5</v>
      </c>
      <c r="AZ24" s="8" t="str">
        <f>VLOOKUP(AY24,[1]المرجع!$D$3:$E$12,2)</f>
        <v>ب+</v>
      </c>
      <c r="BA24" s="10">
        <f t="shared" si="9"/>
        <v>9</v>
      </c>
      <c r="BB24" s="15">
        <v>2</v>
      </c>
      <c r="BC24" s="4">
        <v>85</v>
      </c>
      <c r="BD24" s="11">
        <f>VLOOKUP(BC24,[1]المرجع!$B$3:$C$12,2)</f>
        <v>4.5</v>
      </c>
      <c r="BE24" s="8" t="str">
        <f>VLOOKUP(BD24,[1]المرجع!$D$3:$E$12,2)</f>
        <v>ب+</v>
      </c>
      <c r="BF24" s="10">
        <f t="shared" si="10"/>
        <v>9</v>
      </c>
      <c r="BG24" s="15">
        <v>2</v>
      </c>
      <c r="BH24" s="4">
        <v>84</v>
      </c>
      <c r="BI24" s="11">
        <f>VLOOKUP(BH24,[1]المرجع!$B$3:$C$12,2)</f>
        <v>4</v>
      </c>
      <c r="BJ24" s="8" t="str">
        <f>VLOOKUP(BI24,[1]المرجع!$D$3:$E$12,2)</f>
        <v>ب</v>
      </c>
      <c r="BK24" s="10">
        <f t="shared" si="11"/>
        <v>8</v>
      </c>
      <c r="BL24" s="19">
        <f t="shared" si="12"/>
        <v>87.75</v>
      </c>
      <c r="BM24" s="20">
        <f t="shared" si="13"/>
        <v>23</v>
      </c>
      <c r="BN24" s="21">
        <f t="shared" si="14"/>
        <v>3.8152173913043477</v>
      </c>
      <c r="BO24" s="18"/>
      <c r="BP24" s="23" t="str">
        <f>VLOOKUP(BN24,[1]المرجع!D$3:F$12,3)</f>
        <v xml:space="preserve">جيد جدا </v>
      </c>
      <c r="BQ24" s="22">
        <f t="shared" si="15"/>
        <v>20</v>
      </c>
    </row>
    <row r="25" spans="2:69" ht="23.5">
      <c r="B25" s="1">
        <v>2024196</v>
      </c>
      <c r="C25" s="3" t="s">
        <v>36</v>
      </c>
      <c r="D25" s="5">
        <v>1</v>
      </c>
      <c r="E25" s="4">
        <v>81</v>
      </c>
      <c r="F25" s="11">
        <f>VLOOKUP(E25,[1]المرجع!$B$3:$C$12,2)</f>
        <v>4</v>
      </c>
      <c r="G25" s="8" t="str">
        <f>VLOOKUP(F25,[1]المرجع!$D$3:$E$12,2)</f>
        <v>ب</v>
      </c>
      <c r="H25" s="10">
        <f t="shared" si="0"/>
        <v>4</v>
      </c>
      <c r="I25" s="5">
        <v>2</v>
      </c>
      <c r="J25" s="4">
        <v>75</v>
      </c>
      <c r="K25" s="11">
        <f>VLOOKUP(J25,[1]المرجع!$B$3:$C$12,2)</f>
        <v>3.5</v>
      </c>
      <c r="L25" s="8" t="str">
        <f>VLOOKUP(K25,[1]المرجع!$D$3:$E$12,2)</f>
        <v>ج+</v>
      </c>
      <c r="M25" s="10">
        <f t="shared" si="1"/>
        <v>7</v>
      </c>
      <c r="N25" s="15">
        <v>2</v>
      </c>
      <c r="O25" s="4">
        <v>76</v>
      </c>
      <c r="P25" s="11">
        <f>VLOOKUP(O25,[1]المرجع!$B$3:$C$12,2)</f>
        <v>3.5</v>
      </c>
      <c r="Q25" s="8" t="str">
        <f>VLOOKUP(P25,[1]المرجع!$D$3:$E$12,2)</f>
        <v>ج+</v>
      </c>
      <c r="R25" s="10">
        <f t="shared" si="2"/>
        <v>7</v>
      </c>
      <c r="S25" s="15">
        <v>2</v>
      </c>
      <c r="T25" s="4">
        <v>83</v>
      </c>
      <c r="U25" s="11">
        <f>VLOOKUP(T25,[1]المرجع!$B$3:$C$12,2)</f>
        <v>4</v>
      </c>
      <c r="V25" s="8" t="str">
        <f>VLOOKUP(U25,[1]المرجع!$D$3:$E$12,2)</f>
        <v>ب</v>
      </c>
      <c r="W25" s="10">
        <f t="shared" si="3"/>
        <v>8</v>
      </c>
      <c r="X25" s="15">
        <v>2</v>
      </c>
      <c r="Y25" s="4">
        <v>98</v>
      </c>
      <c r="Z25" s="11">
        <f>VLOOKUP(Y25,[1]المرجع!$B$3:$C$12,2)</f>
        <v>5</v>
      </c>
      <c r="AA25" s="8" t="str">
        <f>VLOOKUP(Z25,[1]المرجع!$D$3:$E$12,2)</f>
        <v xml:space="preserve">أ+ </v>
      </c>
      <c r="AB25" s="10">
        <f t="shared" si="4"/>
        <v>10</v>
      </c>
      <c r="AC25" s="15">
        <v>2</v>
      </c>
      <c r="AD25" s="4">
        <v>50</v>
      </c>
      <c r="AE25" s="11">
        <f>VLOOKUP(AD25,[1]المرجع!$B$3:$C$12,2)</f>
        <v>2</v>
      </c>
      <c r="AF25" s="8" t="str">
        <f>VLOOKUP(AE25,[1]المرجع!$D$3:$E$12,2)</f>
        <v>د</v>
      </c>
      <c r="AG25" s="10">
        <f t="shared" si="5"/>
        <v>4</v>
      </c>
      <c r="AH25" s="15">
        <v>2</v>
      </c>
      <c r="AI25" s="4">
        <v>95</v>
      </c>
      <c r="AJ25" s="11">
        <f>VLOOKUP(AI25,[1]المرجع!$B$3:$C$12,2)</f>
        <v>5</v>
      </c>
      <c r="AK25" s="8" t="str">
        <f>VLOOKUP(AJ25,[1]المرجع!$D$3:$E$12,2)</f>
        <v xml:space="preserve">أ+ </v>
      </c>
      <c r="AL25" s="10">
        <f t="shared" si="6"/>
        <v>10</v>
      </c>
      <c r="AM25" s="15">
        <v>2</v>
      </c>
      <c r="AN25" s="4">
        <v>70</v>
      </c>
      <c r="AO25" s="11">
        <f>VLOOKUP(AN25,[1]المرجع!$B$3:$C$12,2)</f>
        <v>3</v>
      </c>
      <c r="AP25" s="8" t="str">
        <f>VLOOKUP(AO25,[1]المرجع!$D$3:$E$12,2)</f>
        <v>ج</v>
      </c>
      <c r="AQ25" s="10">
        <f t="shared" si="7"/>
        <v>6</v>
      </c>
      <c r="AR25" s="15">
        <v>2</v>
      </c>
      <c r="AS25" s="4">
        <v>100</v>
      </c>
      <c r="AT25" s="11">
        <f>VLOOKUP(AS25,[1]المرجع!$B$3:$C$12,2)</f>
        <v>5</v>
      </c>
      <c r="AU25" s="8" t="str">
        <f>VLOOKUP(AT25,[1]المرجع!$D$3:$E$12,2)</f>
        <v xml:space="preserve">أ+ </v>
      </c>
      <c r="AV25" s="10">
        <f t="shared" si="8"/>
        <v>10</v>
      </c>
      <c r="AW25" s="15">
        <v>2</v>
      </c>
      <c r="AX25" s="4">
        <v>67</v>
      </c>
      <c r="AY25" s="11">
        <f>VLOOKUP(AX25,[1]المرجع!$B$3:$C$12,2)</f>
        <v>2.5</v>
      </c>
      <c r="AZ25" s="8" t="str">
        <f>VLOOKUP(AY25,[1]المرجع!$D$3:$E$12,2)</f>
        <v>د+</v>
      </c>
      <c r="BA25" s="10">
        <f t="shared" si="9"/>
        <v>5</v>
      </c>
      <c r="BB25" s="15">
        <v>2</v>
      </c>
      <c r="BC25" s="4">
        <v>70</v>
      </c>
      <c r="BD25" s="11">
        <f>VLOOKUP(BC25,[1]المرجع!$B$3:$C$12,2)</f>
        <v>3</v>
      </c>
      <c r="BE25" s="8" t="str">
        <f>VLOOKUP(BD25,[1]المرجع!$D$3:$E$12,2)</f>
        <v>ج</v>
      </c>
      <c r="BF25" s="10">
        <f t="shared" si="10"/>
        <v>6</v>
      </c>
      <c r="BG25" s="15">
        <v>2</v>
      </c>
      <c r="BH25" s="4">
        <v>77</v>
      </c>
      <c r="BI25" s="11">
        <f>VLOOKUP(BH25,[1]المرجع!$B$3:$C$12,2)</f>
        <v>3.5</v>
      </c>
      <c r="BJ25" s="8" t="str">
        <f>VLOOKUP(BI25,[1]المرجع!$D$3:$E$12,2)</f>
        <v>ج+</v>
      </c>
      <c r="BK25" s="10">
        <f t="shared" si="11"/>
        <v>7</v>
      </c>
      <c r="BL25" s="19">
        <f t="shared" si="12"/>
        <v>84</v>
      </c>
      <c r="BM25" s="20">
        <f t="shared" si="13"/>
        <v>23</v>
      </c>
      <c r="BN25" s="21">
        <f t="shared" si="14"/>
        <v>3.652173913043478</v>
      </c>
      <c r="BO25" s="18"/>
      <c r="BP25" s="23" t="str">
        <f>VLOOKUP(BN25,[1]المرجع!D$3:F$12,3)</f>
        <v xml:space="preserve">جيد جدا </v>
      </c>
      <c r="BQ25" s="22">
        <f t="shared" si="15"/>
        <v>25</v>
      </c>
    </row>
    <row r="26" spans="2:69" ht="23.5">
      <c r="B26" s="1">
        <v>2024207</v>
      </c>
      <c r="C26" s="3" t="s">
        <v>37</v>
      </c>
      <c r="D26" s="5">
        <v>1</v>
      </c>
      <c r="E26" s="4">
        <v>90</v>
      </c>
      <c r="F26" s="11">
        <f>VLOOKUP(E26,[1]المرجع!$B$3:$C$12,2)</f>
        <v>4.75</v>
      </c>
      <c r="G26" s="8" t="str">
        <f>VLOOKUP(F26,[1]المرجع!$D$3:$E$12,2)</f>
        <v>أ</v>
      </c>
      <c r="H26" s="10">
        <f t="shared" si="0"/>
        <v>4.75</v>
      </c>
      <c r="I26" s="5">
        <v>2</v>
      </c>
      <c r="J26" s="4">
        <v>77</v>
      </c>
      <c r="K26" s="11">
        <f>VLOOKUP(J26,[1]المرجع!$B$3:$C$12,2)</f>
        <v>3.5</v>
      </c>
      <c r="L26" s="8" t="str">
        <f>VLOOKUP(K26,[1]المرجع!$D$3:$E$12,2)</f>
        <v>ج+</v>
      </c>
      <c r="M26" s="10">
        <f t="shared" si="1"/>
        <v>7</v>
      </c>
      <c r="N26" s="15">
        <v>2</v>
      </c>
      <c r="O26" s="4">
        <v>72</v>
      </c>
      <c r="P26" s="11">
        <f>VLOOKUP(O26,[1]المرجع!$B$3:$C$12,2)</f>
        <v>3</v>
      </c>
      <c r="Q26" s="8" t="str">
        <f>VLOOKUP(P26,[1]المرجع!$D$3:$E$12,2)</f>
        <v>ج</v>
      </c>
      <c r="R26" s="10">
        <f t="shared" si="2"/>
        <v>6</v>
      </c>
      <c r="S26" s="15">
        <v>2</v>
      </c>
      <c r="T26" s="4">
        <v>81</v>
      </c>
      <c r="U26" s="11">
        <f>VLOOKUP(T26,[1]المرجع!$B$3:$C$12,2)</f>
        <v>4</v>
      </c>
      <c r="V26" s="8" t="str">
        <f>VLOOKUP(U26,[1]المرجع!$D$3:$E$12,2)</f>
        <v>ب</v>
      </c>
      <c r="W26" s="10">
        <f t="shared" si="3"/>
        <v>8</v>
      </c>
      <c r="X26" s="15">
        <v>2</v>
      </c>
      <c r="Y26" s="4">
        <v>90</v>
      </c>
      <c r="Z26" s="11">
        <f>VLOOKUP(Y26,[1]المرجع!$B$3:$C$12,2)</f>
        <v>4.75</v>
      </c>
      <c r="AA26" s="8" t="str">
        <f>VLOOKUP(Z26,[1]المرجع!$D$3:$E$12,2)</f>
        <v>أ</v>
      </c>
      <c r="AB26" s="10">
        <f t="shared" si="4"/>
        <v>9.5</v>
      </c>
      <c r="AC26" s="15">
        <v>2</v>
      </c>
      <c r="AD26" s="4">
        <v>50</v>
      </c>
      <c r="AE26" s="11">
        <f>VLOOKUP(AD26,[1]المرجع!$B$3:$C$12,2)</f>
        <v>2</v>
      </c>
      <c r="AF26" s="8" t="str">
        <f>VLOOKUP(AE26,[1]المرجع!$D$3:$E$12,2)</f>
        <v>د</v>
      </c>
      <c r="AG26" s="10">
        <f t="shared" si="5"/>
        <v>4</v>
      </c>
      <c r="AH26" s="15">
        <v>2</v>
      </c>
      <c r="AI26" s="4">
        <v>100</v>
      </c>
      <c r="AJ26" s="11">
        <f>VLOOKUP(AI26,[1]المرجع!$B$3:$C$12,2)</f>
        <v>5</v>
      </c>
      <c r="AK26" s="8" t="str">
        <f>VLOOKUP(AJ26,[1]المرجع!$D$3:$E$12,2)</f>
        <v xml:space="preserve">أ+ </v>
      </c>
      <c r="AL26" s="10">
        <f t="shared" si="6"/>
        <v>10</v>
      </c>
      <c r="AM26" s="15">
        <v>2</v>
      </c>
      <c r="AN26" s="4">
        <v>95</v>
      </c>
      <c r="AO26" s="11">
        <f>VLOOKUP(AN26,[1]المرجع!$B$3:$C$12,2)</f>
        <v>5</v>
      </c>
      <c r="AP26" s="8" t="str">
        <f>VLOOKUP(AO26,[1]المرجع!$D$3:$E$12,2)</f>
        <v xml:space="preserve">أ+ </v>
      </c>
      <c r="AQ26" s="10">
        <f t="shared" si="7"/>
        <v>10</v>
      </c>
      <c r="AR26" s="15">
        <v>2</v>
      </c>
      <c r="AS26" s="4">
        <v>85</v>
      </c>
      <c r="AT26" s="11">
        <f>VLOOKUP(AS26,[1]المرجع!$B$3:$C$12,2)</f>
        <v>4.5</v>
      </c>
      <c r="AU26" s="8" t="str">
        <f>VLOOKUP(AT26,[1]المرجع!$D$3:$E$12,2)</f>
        <v>ب+</v>
      </c>
      <c r="AV26" s="10">
        <f t="shared" si="8"/>
        <v>9</v>
      </c>
      <c r="AW26" s="15">
        <v>2</v>
      </c>
      <c r="AX26" s="4">
        <v>76</v>
      </c>
      <c r="AY26" s="11">
        <f>VLOOKUP(AX26,[1]المرجع!$B$3:$C$12,2)</f>
        <v>3.5</v>
      </c>
      <c r="AZ26" s="8" t="str">
        <f>VLOOKUP(AY26,[1]المرجع!$D$3:$E$12,2)</f>
        <v>ج+</v>
      </c>
      <c r="BA26" s="10">
        <f t="shared" si="9"/>
        <v>7</v>
      </c>
      <c r="BB26" s="15">
        <v>2</v>
      </c>
      <c r="BC26" s="4">
        <v>70</v>
      </c>
      <c r="BD26" s="11">
        <f>VLOOKUP(BC26,[1]المرجع!$B$3:$C$12,2)</f>
        <v>3</v>
      </c>
      <c r="BE26" s="8" t="str">
        <f>VLOOKUP(BD26,[1]المرجع!$D$3:$E$12,2)</f>
        <v>ج</v>
      </c>
      <c r="BF26" s="10">
        <f t="shared" si="10"/>
        <v>6</v>
      </c>
      <c r="BG26" s="15">
        <v>2</v>
      </c>
      <c r="BH26" s="4">
        <v>54</v>
      </c>
      <c r="BI26" s="11">
        <f>VLOOKUP(BH26,[1]المرجع!$B$3:$C$12,2)</f>
        <v>2</v>
      </c>
      <c r="BJ26" s="8" t="str">
        <f>VLOOKUP(BI26,[1]المرجع!$D$3:$E$12,2)</f>
        <v>د</v>
      </c>
      <c r="BK26" s="10">
        <f t="shared" si="11"/>
        <v>4</v>
      </c>
      <c r="BL26" s="19">
        <f t="shared" si="12"/>
        <v>85.25</v>
      </c>
      <c r="BM26" s="20">
        <f t="shared" si="13"/>
        <v>23</v>
      </c>
      <c r="BN26" s="21">
        <f t="shared" si="14"/>
        <v>3.7065217391304346</v>
      </c>
      <c r="BO26" s="18"/>
      <c r="BP26" s="23" t="str">
        <f>VLOOKUP(BN26,[1]المرجع!D$3:F$12,3)</f>
        <v xml:space="preserve">جيد جدا </v>
      </c>
      <c r="BQ26" s="22">
        <f t="shared" si="15"/>
        <v>24</v>
      </c>
    </row>
    <row r="27" spans="2:69" ht="23.5">
      <c r="B27" s="1">
        <v>2024194</v>
      </c>
      <c r="C27" s="3" t="s">
        <v>38</v>
      </c>
      <c r="D27" s="5">
        <v>1</v>
      </c>
      <c r="E27" s="4">
        <v>91</v>
      </c>
      <c r="F27" s="11">
        <f>VLOOKUP(E27,[1]المرجع!$B$3:$C$12,2)</f>
        <v>4.75</v>
      </c>
      <c r="G27" s="8" t="str">
        <f>VLOOKUP(F27,[1]المرجع!$D$3:$E$12,2)</f>
        <v>أ</v>
      </c>
      <c r="H27" s="10">
        <f t="shared" si="0"/>
        <v>4.75</v>
      </c>
      <c r="I27" s="5">
        <v>2</v>
      </c>
      <c r="J27" s="4">
        <v>86</v>
      </c>
      <c r="K27" s="11">
        <f>VLOOKUP(J27,[1]المرجع!$B$3:$C$12,2)</f>
        <v>4.5</v>
      </c>
      <c r="L27" s="8" t="str">
        <f>VLOOKUP(K27,[1]المرجع!$D$3:$E$12,2)</f>
        <v>ب+</v>
      </c>
      <c r="M27" s="10">
        <f t="shared" si="1"/>
        <v>9</v>
      </c>
      <c r="N27" s="15">
        <v>2</v>
      </c>
      <c r="O27" s="4">
        <v>50</v>
      </c>
      <c r="P27" s="11">
        <f>VLOOKUP(O27,[1]المرجع!$B$3:$C$12,2)</f>
        <v>2</v>
      </c>
      <c r="Q27" s="8" t="str">
        <f>VLOOKUP(P27,[1]المرجع!$D$3:$E$12,2)</f>
        <v>د</v>
      </c>
      <c r="R27" s="10">
        <f t="shared" si="2"/>
        <v>4</v>
      </c>
      <c r="S27" s="15">
        <v>2</v>
      </c>
      <c r="T27" s="4">
        <v>91</v>
      </c>
      <c r="U27" s="11">
        <f>VLOOKUP(T27,[1]المرجع!$B$3:$C$12,2)</f>
        <v>4.75</v>
      </c>
      <c r="V27" s="8" t="str">
        <f>VLOOKUP(U27,[1]المرجع!$D$3:$E$12,2)</f>
        <v>أ</v>
      </c>
      <c r="W27" s="10">
        <f t="shared" si="3"/>
        <v>9.5</v>
      </c>
      <c r="X27" s="15">
        <v>2</v>
      </c>
      <c r="Y27" s="4">
        <v>68</v>
      </c>
      <c r="Z27" s="11">
        <f>VLOOKUP(Y27,[1]المرجع!$B$3:$C$12,2)</f>
        <v>2.5</v>
      </c>
      <c r="AA27" s="8" t="str">
        <f>VLOOKUP(Z27,[1]المرجع!$D$3:$E$12,2)</f>
        <v>د+</v>
      </c>
      <c r="AB27" s="10">
        <f t="shared" si="4"/>
        <v>5</v>
      </c>
      <c r="AC27" s="15">
        <v>2</v>
      </c>
      <c r="AD27" s="4">
        <v>56</v>
      </c>
      <c r="AE27" s="11">
        <f>VLOOKUP(AD27,[1]المرجع!$B$3:$C$12,2)</f>
        <v>2</v>
      </c>
      <c r="AF27" s="8" t="str">
        <f>VLOOKUP(AE27,[1]المرجع!$D$3:$E$12,2)</f>
        <v>د</v>
      </c>
      <c r="AG27" s="10">
        <f t="shared" si="5"/>
        <v>4</v>
      </c>
      <c r="AH27" s="15">
        <v>2</v>
      </c>
      <c r="AI27" s="4">
        <v>70</v>
      </c>
      <c r="AJ27" s="11">
        <f>VLOOKUP(AI27,[1]المرجع!$B$3:$C$12,2)</f>
        <v>3</v>
      </c>
      <c r="AK27" s="8" t="str">
        <f>VLOOKUP(AJ27,[1]المرجع!$D$3:$E$12,2)</f>
        <v>ج</v>
      </c>
      <c r="AL27" s="10">
        <f t="shared" si="6"/>
        <v>6</v>
      </c>
      <c r="AM27" s="15">
        <v>2</v>
      </c>
      <c r="AN27" s="4">
        <v>95</v>
      </c>
      <c r="AO27" s="11">
        <f>VLOOKUP(AN27,[1]المرجع!$B$3:$C$12,2)</f>
        <v>5</v>
      </c>
      <c r="AP27" s="8" t="str">
        <f>VLOOKUP(AO27,[1]المرجع!$D$3:$E$12,2)</f>
        <v xml:space="preserve">أ+ </v>
      </c>
      <c r="AQ27" s="10">
        <f t="shared" si="7"/>
        <v>10</v>
      </c>
      <c r="AR27" s="15">
        <v>2</v>
      </c>
      <c r="AS27" s="4">
        <v>100</v>
      </c>
      <c r="AT27" s="11">
        <f>VLOOKUP(AS27,[1]المرجع!$B$3:$C$12,2)</f>
        <v>5</v>
      </c>
      <c r="AU27" s="8" t="str">
        <f>VLOOKUP(AT27,[1]المرجع!$D$3:$E$12,2)</f>
        <v xml:space="preserve">أ+ </v>
      </c>
      <c r="AV27" s="10">
        <f t="shared" si="8"/>
        <v>10</v>
      </c>
      <c r="AW27" s="15">
        <v>2</v>
      </c>
      <c r="AX27" s="4">
        <v>64</v>
      </c>
      <c r="AY27" s="11">
        <f>VLOOKUP(AX27,[1]المرجع!$B$3:$C$12,2)</f>
        <v>2</v>
      </c>
      <c r="AZ27" s="8" t="str">
        <f>VLOOKUP(AY27,[1]المرجع!$D$3:$E$12,2)</f>
        <v>د</v>
      </c>
      <c r="BA27" s="10">
        <f t="shared" si="9"/>
        <v>4</v>
      </c>
      <c r="BB27" s="15">
        <v>2</v>
      </c>
      <c r="BC27" s="4">
        <v>70</v>
      </c>
      <c r="BD27" s="11">
        <f>VLOOKUP(BC27,[1]المرجع!$B$3:$C$12,2)</f>
        <v>3</v>
      </c>
      <c r="BE27" s="8" t="str">
        <f>VLOOKUP(BD27,[1]المرجع!$D$3:$E$12,2)</f>
        <v>ج</v>
      </c>
      <c r="BF27" s="10">
        <f t="shared" si="10"/>
        <v>6</v>
      </c>
      <c r="BG27" s="15">
        <v>2</v>
      </c>
      <c r="BH27" s="4">
        <v>96</v>
      </c>
      <c r="BI27" s="11">
        <f>VLOOKUP(BH27,[1]المرجع!$B$3:$C$12,2)</f>
        <v>5</v>
      </c>
      <c r="BJ27" s="8" t="str">
        <f>VLOOKUP(BI27,[1]المرجع!$D$3:$E$12,2)</f>
        <v xml:space="preserve">أ+ </v>
      </c>
      <c r="BK27" s="10">
        <f t="shared" si="11"/>
        <v>10</v>
      </c>
      <c r="BL27" s="19">
        <f t="shared" si="12"/>
        <v>82.25</v>
      </c>
      <c r="BM27" s="20">
        <f t="shared" si="13"/>
        <v>23</v>
      </c>
      <c r="BN27" s="21">
        <f t="shared" si="14"/>
        <v>3.5760869565217392</v>
      </c>
      <c r="BO27" s="18"/>
      <c r="BP27" s="23" t="str">
        <f>VLOOKUP(BN27,[1]المرجع!D$3:F$12,3)</f>
        <v xml:space="preserve">جيد مرتفع </v>
      </c>
      <c r="BQ27" s="22">
        <f t="shared" si="15"/>
        <v>27</v>
      </c>
    </row>
    <row r="28" spans="2:69" ht="23.5">
      <c r="B28" s="1">
        <v>2024193</v>
      </c>
      <c r="C28" s="3" t="s">
        <v>39</v>
      </c>
      <c r="D28" s="5">
        <v>1</v>
      </c>
      <c r="E28" s="4">
        <v>95</v>
      </c>
      <c r="F28" s="11">
        <f>VLOOKUP(E28,[1]المرجع!$B$3:$C$12,2)</f>
        <v>5</v>
      </c>
      <c r="G28" s="8" t="str">
        <f>VLOOKUP(F28,[1]المرجع!$D$3:$E$12,2)</f>
        <v xml:space="preserve">أ+ </v>
      </c>
      <c r="H28" s="10">
        <f t="shared" si="0"/>
        <v>5</v>
      </c>
      <c r="I28" s="5">
        <v>2</v>
      </c>
      <c r="J28" s="4">
        <v>78</v>
      </c>
      <c r="K28" s="11">
        <f>VLOOKUP(J28,[1]المرجع!$B$3:$C$12,2)</f>
        <v>3.5</v>
      </c>
      <c r="L28" s="8" t="str">
        <f>VLOOKUP(K28,[1]المرجع!$D$3:$E$12,2)</f>
        <v>ج+</v>
      </c>
      <c r="M28" s="10">
        <f t="shared" si="1"/>
        <v>7</v>
      </c>
      <c r="N28" s="15">
        <v>2</v>
      </c>
      <c r="O28" s="4">
        <v>82</v>
      </c>
      <c r="P28" s="11">
        <f>VLOOKUP(O28,[1]المرجع!$B$3:$C$12,2)</f>
        <v>4</v>
      </c>
      <c r="Q28" s="8" t="str">
        <f>VLOOKUP(P28,[1]المرجع!$D$3:$E$12,2)</f>
        <v>ب</v>
      </c>
      <c r="R28" s="10">
        <f t="shared" si="2"/>
        <v>8</v>
      </c>
      <c r="S28" s="15">
        <v>2</v>
      </c>
      <c r="T28" s="4">
        <v>90</v>
      </c>
      <c r="U28" s="11">
        <f>VLOOKUP(T28,[1]المرجع!$B$3:$C$12,2)</f>
        <v>4.75</v>
      </c>
      <c r="V28" s="8" t="str">
        <f>VLOOKUP(U28,[1]المرجع!$D$3:$E$12,2)</f>
        <v>أ</v>
      </c>
      <c r="W28" s="10">
        <f t="shared" si="3"/>
        <v>9.5</v>
      </c>
      <c r="X28" s="15">
        <v>2</v>
      </c>
      <c r="Y28" s="4">
        <v>95</v>
      </c>
      <c r="Z28" s="11">
        <f>VLOOKUP(Y28,[1]المرجع!$B$3:$C$12,2)</f>
        <v>5</v>
      </c>
      <c r="AA28" s="8" t="str">
        <f>VLOOKUP(Z28,[1]المرجع!$D$3:$E$12,2)</f>
        <v xml:space="preserve">أ+ </v>
      </c>
      <c r="AB28" s="10">
        <f t="shared" si="4"/>
        <v>10</v>
      </c>
      <c r="AC28" s="15">
        <v>2</v>
      </c>
      <c r="AD28" s="4">
        <v>78</v>
      </c>
      <c r="AE28" s="11">
        <f>VLOOKUP(AD28,[1]المرجع!$B$3:$C$12,2)</f>
        <v>3.5</v>
      </c>
      <c r="AF28" s="8" t="str">
        <f>VLOOKUP(AE28,[1]المرجع!$D$3:$E$12,2)</f>
        <v>ج+</v>
      </c>
      <c r="AG28" s="10">
        <f t="shared" si="5"/>
        <v>7</v>
      </c>
      <c r="AH28" s="15">
        <v>2</v>
      </c>
      <c r="AI28" s="4">
        <v>100</v>
      </c>
      <c r="AJ28" s="11">
        <f>VLOOKUP(AI28,[1]المرجع!$B$3:$C$12,2)</f>
        <v>5</v>
      </c>
      <c r="AK28" s="8" t="str">
        <f>VLOOKUP(AJ28,[1]المرجع!$D$3:$E$12,2)</f>
        <v xml:space="preserve">أ+ </v>
      </c>
      <c r="AL28" s="10">
        <f t="shared" si="6"/>
        <v>10</v>
      </c>
      <c r="AM28" s="15">
        <v>2</v>
      </c>
      <c r="AN28" s="4">
        <v>70</v>
      </c>
      <c r="AO28" s="11">
        <f>VLOOKUP(AN28,[1]المرجع!$B$3:$C$12,2)</f>
        <v>3</v>
      </c>
      <c r="AP28" s="8" t="str">
        <f>VLOOKUP(AO28,[1]المرجع!$D$3:$E$12,2)</f>
        <v>ج</v>
      </c>
      <c r="AQ28" s="10">
        <f t="shared" si="7"/>
        <v>6</v>
      </c>
      <c r="AR28" s="15">
        <v>2</v>
      </c>
      <c r="AS28" s="4">
        <v>100</v>
      </c>
      <c r="AT28" s="11">
        <f>VLOOKUP(AS28,[1]المرجع!$B$3:$C$12,2)</f>
        <v>5</v>
      </c>
      <c r="AU28" s="8" t="str">
        <f>VLOOKUP(AT28,[1]المرجع!$D$3:$E$12,2)</f>
        <v xml:space="preserve">أ+ </v>
      </c>
      <c r="AV28" s="10">
        <f t="shared" si="8"/>
        <v>10</v>
      </c>
      <c r="AW28" s="15">
        <v>2</v>
      </c>
      <c r="AX28" s="4">
        <v>63</v>
      </c>
      <c r="AY28" s="11">
        <f>VLOOKUP(AX28,[1]المرجع!$B$3:$C$12,2)</f>
        <v>2</v>
      </c>
      <c r="AZ28" s="8" t="str">
        <f>VLOOKUP(AY28,[1]المرجع!$D$3:$E$12,2)</f>
        <v>د</v>
      </c>
      <c r="BA28" s="10">
        <f t="shared" si="9"/>
        <v>4</v>
      </c>
      <c r="BB28" s="15">
        <v>2</v>
      </c>
      <c r="BC28" s="4">
        <v>65</v>
      </c>
      <c r="BD28" s="11">
        <f>VLOOKUP(BC28,[1]المرجع!$B$3:$C$12,2)</f>
        <v>2.5</v>
      </c>
      <c r="BE28" s="8" t="str">
        <f>VLOOKUP(BD28,[1]المرجع!$D$3:$E$12,2)</f>
        <v>د+</v>
      </c>
      <c r="BF28" s="10">
        <f t="shared" si="10"/>
        <v>5</v>
      </c>
      <c r="BG28" s="15">
        <v>2</v>
      </c>
      <c r="BH28" s="4">
        <v>58</v>
      </c>
      <c r="BI28" s="11">
        <f>VLOOKUP(BH28,[1]المرجع!$B$3:$C$12,2)</f>
        <v>2</v>
      </c>
      <c r="BJ28" s="8" t="str">
        <f>VLOOKUP(BI28,[1]المرجع!$D$3:$E$12,2)</f>
        <v>د</v>
      </c>
      <c r="BK28" s="10">
        <f t="shared" si="11"/>
        <v>4</v>
      </c>
      <c r="BL28" s="19">
        <f t="shared" si="12"/>
        <v>85.5</v>
      </c>
      <c r="BM28" s="20">
        <f t="shared" si="13"/>
        <v>23</v>
      </c>
      <c r="BN28" s="21">
        <f t="shared" si="14"/>
        <v>3.7173913043478262</v>
      </c>
      <c r="BO28" s="18"/>
      <c r="BP28" s="23" t="str">
        <f>VLOOKUP(BN28,[1]المرجع!D$3:F$12,3)</f>
        <v xml:space="preserve">جيد جدا </v>
      </c>
      <c r="BQ28" s="22">
        <f t="shared" si="15"/>
        <v>23</v>
      </c>
    </row>
    <row r="29" spans="2:69" ht="23.5">
      <c r="B29" s="1">
        <v>2024206</v>
      </c>
      <c r="C29" s="3" t="s">
        <v>40</v>
      </c>
      <c r="D29" s="5">
        <v>1</v>
      </c>
      <c r="E29" s="4">
        <v>89</v>
      </c>
      <c r="F29" s="11">
        <f>VLOOKUP(E29,[1]المرجع!$B$3:$C$12,2)</f>
        <v>4.5</v>
      </c>
      <c r="G29" s="8" t="str">
        <f>VLOOKUP(F29,[1]المرجع!$D$3:$E$12,2)</f>
        <v>ب+</v>
      </c>
      <c r="H29" s="10">
        <f t="shared" si="0"/>
        <v>4.5</v>
      </c>
      <c r="I29" s="5">
        <v>2</v>
      </c>
      <c r="J29" s="4">
        <v>75</v>
      </c>
      <c r="K29" s="11">
        <f>VLOOKUP(J29,[1]المرجع!$B$3:$C$12,2)</f>
        <v>3.5</v>
      </c>
      <c r="L29" s="8" t="str">
        <f>VLOOKUP(K29,[1]المرجع!$D$3:$E$12,2)</f>
        <v>ج+</v>
      </c>
      <c r="M29" s="10">
        <f t="shared" si="1"/>
        <v>7</v>
      </c>
      <c r="N29" s="15">
        <v>2</v>
      </c>
      <c r="O29" s="4">
        <v>69</v>
      </c>
      <c r="P29" s="11">
        <f>VLOOKUP(O29,[1]المرجع!$B$3:$C$12,2)</f>
        <v>2.5</v>
      </c>
      <c r="Q29" s="8" t="str">
        <f>VLOOKUP(P29,[1]المرجع!$D$3:$E$12,2)</f>
        <v>د+</v>
      </c>
      <c r="R29" s="10">
        <f t="shared" si="2"/>
        <v>5</v>
      </c>
      <c r="S29" s="15">
        <v>2</v>
      </c>
      <c r="T29" s="4">
        <v>90</v>
      </c>
      <c r="U29" s="11">
        <f>VLOOKUP(T29,[1]المرجع!$B$3:$C$12,2)</f>
        <v>4.75</v>
      </c>
      <c r="V29" s="8" t="str">
        <f>VLOOKUP(U29,[1]المرجع!$D$3:$E$12,2)</f>
        <v>أ</v>
      </c>
      <c r="W29" s="10">
        <f t="shared" si="3"/>
        <v>9.5</v>
      </c>
      <c r="X29" s="15">
        <v>2</v>
      </c>
      <c r="Y29" s="4">
        <v>67</v>
      </c>
      <c r="Z29" s="11">
        <f>VLOOKUP(Y29,[1]المرجع!$B$3:$C$12,2)</f>
        <v>2.5</v>
      </c>
      <c r="AA29" s="8" t="str">
        <f>VLOOKUP(Z29,[1]المرجع!$D$3:$E$12,2)</f>
        <v>د+</v>
      </c>
      <c r="AB29" s="10">
        <f t="shared" si="4"/>
        <v>5</v>
      </c>
      <c r="AC29" s="15">
        <v>2</v>
      </c>
      <c r="AD29" s="4">
        <v>40</v>
      </c>
      <c r="AE29" s="11">
        <f>VLOOKUP(AD29,[1]المرجع!$B$3:$C$12,2)</f>
        <v>0</v>
      </c>
      <c r="AF29" s="8" t="str">
        <f>VLOOKUP(AE29,[1]المرجع!$D$3:$E$12,2)</f>
        <v>ه</v>
      </c>
      <c r="AG29" s="10">
        <f t="shared" si="5"/>
        <v>0</v>
      </c>
      <c r="AH29" s="15">
        <v>2</v>
      </c>
      <c r="AI29" s="4">
        <v>100</v>
      </c>
      <c r="AJ29" s="11">
        <f>VLOOKUP(AI29,[1]المرجع!$B$3:$C$12,2)</f>
        <v>5</v>
      </c>
      <c r="AK29" s="8" t="str">
        <f>VLOOKUP(AJ29,[1]المرجع!$D$3:$E$12,2)</f>
        <v xml:space="preserve">أ+ </v>
      </c>
      <c r="AL29" s="10">
        <f t="shared" si="6"/>
        <v>10</v>
      </c>
      <c r="AM29" s="15">
        <v>2</v>
      </c>
      <c r="AN29" s="4">
        <v>95</v>
      </c>
      <c r="AO29" s="11">
        <f>VLOOKUP(AN29,[1]المرجع!$B$3:$C$12,2)</f>
        <v>5</v>
      </c>
      <c r="AP29" s="8" t="str">
        <f>VLOOKUP(AO29,[1]المرجع!$D$3:$E$12,2)</f>
        <v xml:space="preserve">أ+ </v>
      </c>
      <c r="AQ29" s="10">
        <f t="shared" si="7"/>
        <v>10</v>
      </c>
      <c r="AR29" s="15">
        <v>2</v>
      </c>
      <c r="AS29" s="4">
        <v>95</v>
      </c>
      <c r="AT29" s="11">
        <f>VLOOKUP(AS29,[1]المرجع!$B$3:$C$12,2)</f>
        <v>5</v>
      </c>
      <c r="AU29" s="8" t="str">
        <f>VLOOKUP(AT29,[1]المرجع!$D$3:$E$12,2)</f>
        <v xml:space="preserve">أ+ </v>
      </c>
      <c r="AV29" s="10">
        <f t="shared" si="8"/>
        <v>10</v>
      </c>
      <c r="AW29" s="15">
        <v>2</v>
      </c>
      <c r="AX29" s="4">
        <v>68</v>
      </c>
      <c r="AY29" s="11">
        <f>VLOOKUP(AX29,[1]المرجع!$B$3:$C$12,2)</f>
        <v>2.5</v>
      </c>
      <c r="AZ29" s="8" t="str">
        <f>VLOOKUP(AY29,[1]المرجع!$D$3:$E$12,2)</f>
        <v>د+</v>
      </c>
      <c r="BA29" s="10">
        <f t="shared" si="9"/>
        <v>5</v>
      </c>
      <c r="BB29" s="15">
        <v>2</v>
      </c>
      <c r="BC29" s="4">
        <v>90</v>
      </c>
      <c r="BD29" s="11">
        <f>VLOOKUP(BC29,[1]المرجع!$B$3:$C$12,2)</f>
        <v>4.75</v>
      </c>
      <c r="BE29" s="8" t="str">
        <f>VLOOKUP(BD29,[1]المرجع!$D$3:$E$12,2)</f>
        <v>أ</v>
      </c>
      <c r="BF29" s="10">
        <f t="shared" si="10"/>
        <v>9.5</v>
      </c>
      <c r="BG29" s="15">
        <v>2</v>
      </c>
      <c r="BH29" s="4">
        <v>55</v>
      </c>
      <c r="BI29" s="11">
        <f>VLOOKUP(BH29,[1]المرجع!$B$3:$C$12,2)</f>
        <v>2</v>
      </c>
      <c r="BJ29" s="8" t="str">
        <f>VLOOKUP(BI29,[1]المرجع!$D$3:$E$12,2)</f>
        <v>د</v>
      </c>
      <c r="BK29" s="10">
        <f t="shared" si="11"/>
        <v>4</v>
      </c>
      <c r="BL29" s="19">
        <f t="shared" si="12"/>
        <v>79.5</v>
      </c>
      <c r="BM29" s="20">
        <f t="shared" si="13"/>
        <v>23</v>
      </c>
      <c r="BN29" s="21">
        <f t="shared" si="14"/>
        <v>3.4565217391304346</v>
      </c>
      <c r="BO29" s="18"/>
      <c r="BP29" s="23" t="str">
        <f>VLOOKUP(BN29,[1]المرجع!D$3:F$12,3)</f>
        <v xml:space="preserve">جيد مرتفع </v>
      </c>
      <c r="BQ29" s="22">
        <f t="shared" si="15"/>
        <v>30</v>
      </c>
    </row>
    <row r="30" spans="2:69" ht="23.5">
      <c r="B30" s="1">
        <v>2024164</v>
      </c>
      <c r="C30" s="3" t="s">
        <v>41</v>
      </c>
      <c r="D30" s="5">
        <v>1</v>
      </c>
      <c r="E30" s="4">
        <v>88</v>
      </c>
      <c r="F30" s="11">
        <f>VLOOKUP(E30,[1]المرجع!$B$3:$C$12,2)</f>
        <v>4.5</v>
      </c>
      <c r="G30" s="8" t="str">
        <f>VLOOKUP(F30,[1]المرجع!$D$3:$E$12,2)</f>
        <v>ب+</v>
      </c>
      <c r="H30" s="10">
        <f t="shared" si="0"/>
        <v>4.5</v>
      </c>
      <c r="I30" s="5">
        <v>2</v>
      </c>
      <c r="J30" s="4">
        <v>92</v>
      </c>
      <c r="K30" s="11">
        <f>VLOOKUP(J30,[1]المرجع!$B$3:$C$12,2)</f>
        <v>4.75</v>
      </c>
      <c r="L30" s="8" t="str">
        <f>VLOOKUP(K30,[1]المرجع!$D$3:$E$12,2)</f>
        <v>أ</v>
      </c>
      <c r="M30" s="10">
        <f t="shared" si="1"/>
        <v>9.5</v>
      </c>
      <c r="N30" s="15">
        <v>2</v>
      </c>
      <c r="O30" s="4">
        <v>71</v>
      </c>
      <c r="P30" s="11">
        <f>VLOOKUP(O30,[1]المرجع!$B$3:$C$12,2)</f>
        <v>3</v>
      </c>
      <c r="Q30" s="8" t="str">
        <f>VLOOKUP(P30,[1]المرجع!$D$3:$E$12,2)</f>
        <v>ج</v>
      </c>
      <c r="R30" s="10">
        <f t="shared" si="2"/>
        <v>6</v>
      </c>
      <c r="S30" s="15">
        <v>2</v>
      </c>
      <c r="T30" s="4">
        <v>80</v>
      </c>
      <c r="U30" s="11">
        <f>VLOOKUP(T30,[1]المرجع!$B$3:$C$12,2)</f>
        <v>4</v>
      </c>
      <c r="V30" s="8" t="str">
        <f>VLOOKUP(U30,[1]المرجع!$D$3:$E$12,2)</f>
        <v>ب</v>
      </c>
      <c r="W30" s="10">
        <f t="shared" si="3"/>
        <v>8</v>
      </c>
      <c r="X30" s="15">
        <v>2</v>
      </c>
      <c r="Y30" s="4">
        <v>88</v>
      </c>
      <c r="Z30" s="11">
        <f>VLOOKUP(Y30,[1]المرجع!$B$3:$C$12,2)</f>
        <v>4.5</v>
      </c>
      <c r="AA30" s="8" t="str">
        <f>VLOOKUP(Z30,[1]المرجع!$D$3:$E$12,2)</f>
        <v>ب+</v>
      </c>
      <c r="AB30" s="10">
        <f t="shared" si="4"/>
        <v>9</v>
      </c>
      <c r="AC30" s="15">
        <v>2</v>
      </c>
      <c r="AD30" s="4">
        <v>54</v>
      </c>
      <c r="AE30" s="11">
        <f>VLOOKUP(AD30,[1]المرجع!$B$3:$C$12,2)</f>
        <v>2</v>
      </c>
      <c r="AF30" s="8" t="str">
        <f>VLOOKUP(AE30,[1]المرجع!$D$3:$E$12,2)</f>
        <v>د</v>
      </c>
      <c r="AG30" s="10">
        <f t="shared" si="5"/>
        <v>4</v>
      </c>
      <c r="AH30" s="15">
        <v>2</v>
      </c>
      <c r="AI30" s="4">
        <v>94</v>
      </c>
      <c r="AJ30" s="11">
        <f>VLOOKUP(AI30,[1]المرجع!$B$3:$C$12,2)</f>
        <v>4.75</v>
      </c>
      <c r="AK30" s="8" t="str">
        <f>VLOOKUP(AJ30,[1]المرجع!$D$3:$E$12,2)</f>
        <v>أ</v>
      </c>
      <c r="AL30" s="10">
        <f t="shared" si="6"/>
        <v>9.5</v>
      </c>
      <c r="AM30" s="15">
        <v>2</v>
      </c>
      <c r="AN30" s="4">
        <v>70</v>
      </c>
      <c r="AO30" s="11">
        <f>VLOOKUP(AN30,[1]المرجع!$B$3:$C$12,2)</f>
        <v>3</v>
      </c>
      <c r="AP30" s="8" t="str">
        <f>VLOOKUP(AO30,[1]المرجع!$D$3:$E$12,2)</f>
        <v>ج</v>
      </c>
      <c r="AQ30" s="10">
        <f t="shared" si="7"/>
        <v>6</v>
      </c>
      <c r="AR30" s="15">
        <v>2</v>
      </c>
      <c r="AS30" s="4">
        <v>80</v>
      </c>
      <c r="AT30" s="11">
        <f>VLOOKUP(AS30,[1]المرجع!$B$3:$C$12,2)</f>
        <v>4</v>
      </c>
      <c r="AU30" s="8" t="str">
        <f>VLOOKUP(AT30,[1]المرجع!$D$3:$E$12,2)</f>
        <v>ب</v>
      </c>
      <c r="AV30" s="10">
        <f t="shared" si="8"/>
        <v>8</v>
      </c>
      <c r="AW30" s="15">
        <v>2</v>
      </c>
      <c r="AX30" s="4">
        <v>68</v>
      </c>
      <c r="AY30" s="11">
        <f>VLOOKUP(AX30,[1]المرجع!$B$3:$C$12,2)</f>
        <v>2.5</v>
      </c>
      <c r="AZ30" s="8" t="str">
        <f>VLOOKUP(AY30,[1]المرجع!$D$3:$E$12,2)</f>
        <v>د+</v>
      </c>
      <c r="BA30" s="10">
        <f t="shared" si="9"/>
        <v>5</v>
      </c>
      <c r="BB30" s="15">
        <v>2</v>
      </c>
      <c r="BC30" s="4">
        <v>75</v>
      </c>
      <c r="BD30" s="11">
        <f>VLOOKUP(BC30,[1]المرجع!$B$3:$C$12,2)</f>
        <v>3.5</v>
      </c>
      <c r="BE30" s="8" t="str">
        <f>VLOOKUP(BD30,[1]المرجع!$D$3:$E$12,2)</f>
        <v>ج+</v>
      </c>
      <c r="BF30" s="10">
        <f t="shared" si="10"/>
        <v>7</v>
      </c>
      <c r="BG30" s="15">
        <v>2</v>
      </c>
      <c r="BH30" s="4">
        <v>62</v>
      </c>
      <c r="BI30" s="11">
        <f>VLOOKUP(BH30,[1]المرجع!$B$3:$C$12,2)</f>
        <v>2</v>
      </c>
      <c r="BJ30" s="8" t="str">
        <f>VLOOKUP(BI30,[1]المرجع!$D$3:$E$12,2)</f>
        <v>د</v>
      </c>
      <c r="BK30" s="10">
        <f t="shared" si="11"/>
        <v>4</v>
      </c>
      <c r="BL30" s="19">
        <f t="shared" si="12"/>
        <v>80.5</v>
      </c>
      <c r="BM30" s="20">
        <f t="shared" si="13"/>
        <v>23</v>
      </c>
      <c r="BN30" s="21">
        <f t="shared" si="14"/>
        <v>3.5</v>
      </c>
      <c r="BO30" s="18"/>
      <c r="BP30" s="23" t="str">
        <f>VLOOKUP(BN30,[1]المرجع!D$3:F$12,3)</f>
        <v xml:space="preserve">جيد مرتفع </v>
      </c>
      <c r="BQ30" s="22">
        <f t="shared" si="15"/>
        <v>28</v>
      </c>
    </row>
    <row r="31" spans="2:69" ht="23.5">
      <c r="B31" s="1">
        <v>2024179</v>
      </c>
      <c r="C31" s="3" t="s">
        <v>42</v>
      </c>
      <c r="D31" s="5">
        <v>1</v>
      </c>
      <c r="E31" s="4">
        <v>60</v>
      </c>
      <c r="F31" s="11">
        <f>VLOOKUP(E31,[1]المرجع!$B$3:$C$12,2)</f>
        <v>2</v>
      </c>
      <c r="G31" s="8" t="str">
        <f>VLOOKUP(F31,[1]المرجع!$D$3:$E$12,2)</f>
        <v>د</v>
      </c>
      <c r="H31" s="10">
        <f t="shared" si="0"/>
        <v>2</v>
      </c>
      <c r="I31" s="5">
        <v>2</v>
      </c>
      <c r="J31" s="4">
        <v>71</v>
      </c>
      <c r="K31" s="11">
        <f>VLOOKUP(J31,[1]المرجع!$B$3:$C$12,2)</f>
        <v>3</v>
      </c>
      <c r="L31" s="8" t="str">
        <f>VLOOKUP(K31,[1]المرجع!$D$3:$E$12,2)</f>
        <v>ج</v>
      </c>
      <c r="M31" s="10">
        <f t="shared" si="1"/>
        <v>6</v>
      </c>
      <c r="N31" s="15">
        <v>2</v>
      </c>
      <c r="O31" s="4">
        <v>89</v>
      </c>
      <c r="P31" s="11">
        <f>VLOOKUP(O31,[1]المرجع!$B$3:$C$12,2)</f>
        <v>4.5</v>
      </c>
      <c r="Q31" s="8" t="str">
        <f>VLOOKUP(P31,[1]المرجع!$D$3:$E$12,2)</f>
        <v>ب+</v>
      </c>
      <c r="R31" s="10">
        <f t="shared" si="2"/>
        <v>9</v>
      </c>
      <c r="S31" s="15">
        <v>2</v>
      </c>
      <c r="T31" s="4">
        <v>90</v>
      </c>
      <c r="U31" s="11">
        <f>VLOOKUP(T31,[1]المرجع!$B$3:$C$12,2)</f>
        <v>4.75</v>
      </c>
      <c r="V31" s="8" t="str">
        <f>VLOOKUP(U31,[1]المرجع!$D$3:$E$12,2)</f>
        <v>أ</v>
      </c>
      <c r="W31" s="10">
        <f t="shared" si="3"/>
        <v>9.5</v>
      </c>
      <c r="X31" s="15">
        <v>2</v>
      </c>
      <c r="Y31" s="4">
        <v>70</v>
      </c>
      <c r="Z31" s="11">
        <f>VLOOKUP(Y31,[1]المرجع!$B$3:$C$12,2)</f>
        <v>3</v>
      </c>
      <c r="AA31" s="8" t="str">
        <f>VLOOKUP(Z31,[1]المرجع!$D$3:$E$12,2)</f>
        <v>ج</v>
      </c>
      <c r="AB31" s="10">
        <f t="shared" si="4"/>
        <v>6</v>
      </c>
      <c r="AC31" s="15">
        <v>2</v>
      </c>
      <c r="AD31" s="4">
        <v>50</v>
      </c>
      <c r="AE31" s="11">
        <f>VLOOKUP(AD31,[1]المرجع!$B$3:$C$12,2)</f>
        <v>2</v>
      </c>
      <c r="AF31" s="8" t="str">
        <f>VLOOKUP(AE31,[1]المرجع!$D$3:$E$12,2)</f>
        <v>د</v>
      </c>
      <c r="AG31" s="10">
        <f t="shared" si="5"/>
        <v>4</v>
      </c>
      <c r="AH31" s="15">
        <v>2</v>
      </c>
      <c r="AI31" s="4">
        <v>99</v>
      </c>
      <c r="AJ31" s="11">
        <f>VLOOKUP(AI31,[1]المرجع!$B$3:$C$12,2)</f>
        <v>5</v>
      </c>
      <c r="AK31" s="8" t="str">
        <f>VLOOKUP(AJ31,[1]المرجع!$D$3:$E$12,2)</f>
        <v xml:space="preserve">أ+ </v>
      </c>
      <c r="AL31" s="10">
        <f t="shared" si="6"/>
        <v>10</v>
      </c>
      <c r="AM31" s="15">
        <v>2</v>
      </c>
      <c r="AN31" s="4">
        <v>65</v>
      </c>
      <c r="AO31" s="11">
        <f>VLOOKUP(AN31,[1]المرجع!$B$3:$C$12,2)</f>
        <v>2.5</v>
      </c>
      <c r="AP31" s="8" t="str">
        <f>VLOOKUP(AO31,[1]المرجع!$D$3:$E$12,2)</f>
        <v>د+</v>
      </c>
      <c r="AQ31" s="10">
        <f t="shared" si="7"/>
        <v>5</v>
      </c>
      <c r="AR31" s="15">
        <v>2</v>
      </c>
      <c r="AS31" s="4">
        <v>100</v>
      </c>
      <c r="AT31" s="11">
        <f>VLOOKUP(AS31,[1]المرجع!$B$3:$C$12,2)</f>
        <v>5</v>
      </c>
      <c r="AU31" s="8" t="str">
        <f>VLOOKUP(AT31,[1]المرجع!$D$3:$E$12,2)</f>
        <v xml:space="preserve">أ+ </v>
      </c>
      <c r="AV31" s="10">
        <f t="shared" si="8"/>
        <v>10</v>
      </c>
      <c r="AW31" s="15">
        <v>2</v>
      </c>
      <c r="AX31" s="4">
        <v>68</v>
      </c>
      <c r="AY31" s="11">
        <f>VLOOKUP(AX31,[1]المرجع!$B$3:$C$12,2)</f>
        <v>2.5</v>
      </c>
      <c r="AZ31" s="8" t="str">
        <f>VLOOKUP(AY31,[1]المرجع!$D$3:$E$12,2)</f>
        <v>د+</v>
      </c>
      <c r="BA31" s="10">
        <f t="shared" si="9"/>
        <v>5</v>
      </c>
      <c r="BB31" s="15">
        <v>2</v>
      </c>
      <c r="BC31" s="4">
        <v>83</v>
      </c>
      <c r="BD31" s="11">
        <f>VLOOKUP(BC31,[1]المرجع!$B$3:$C$12,2)</f>
        <v>4</v>
      </c>
      <c r="BE31" s="8" t="str">
        <f>VLOOKUP(BD31,[1]المرجع!$D$3:$E$12,2)</f>
        <v>ب</v>
      </c>
      <c r="BF31" s="10">
        <f t="shared" si="10"/>
        <v>8</v>
      </c>
      <c r="BG31" s="15">
        <v>2</v>
      </c>
      <c r="BH31" s="4">
        <v>74</v>
      </c>
      <c r="BI31" s="11">
        <f>VLOOKUP(BH31,[1]المرجع!$B$3:$C$12,2)</f>
        <v>3</v>
      </c>
      <c r="BJ31" s="8" t="str">
        <f>VLOOKUP(BI31,[1]المرجع!$D$3:$E$12,2)</f>
        <v>ج</v>
      </c>
      <c r="BK31" s="10">
        <f t="shared" si="11"/>
        <v>6</v>
      </c>
      <c r="BL31" s="19">
        <f t="shared" si="12"/>
        <v>80.5</v>
      </c>
      <c r="BM31" s="20">
        <f t="shared" si="13"/>
        <v>23</v>
      </c>
      <c r="BN31" s="21">
        <f t="shared" si="14"/>
        <v>3.5</v>
      </c>
      <c r="BO31" s="18"/>
      <c r="BP31" s="23" t="str">
        <f>VLOOKUP(BN31,[1]المرجع!D$3:F$12,3)</f>
        <v xml:space="preserve">جيد مرتفع </v>
      </c>
      <c r="BQ31" s="22">
        <f t="shared" si="15"/>
        <v>28</v>
      </c>
    </row>
    <row r="32" spans="2:69" ht="23.5">
      <c r="B32" s="1">
        <v>2024188</v>
      </c>
      <c r="C32" s="3" t="s">
        <v>43</v>
      </c>
      <c r="D32" s="5">
        <v>1</v>
      </c>
      <c r="E32" s="4">
        <v>99</v>
      </c>
      <c r="F32" s="11">
        <f>VLOOKUP(E32,[1]المرجع!$B$3:$C$12,2)</f>
        <v>5</v>
      </c>
      <c r="G32" s="8" t="str">
        <f>VLOOKUP(F32,[1]المرجع!$D$3:$E$12,2)</f>
        <v xml:space="preserve">أ+ </v>
      </c>
      <c r="H32" s="10">
        <f t="shared" si="0"/>
        <v>5</v>
      </c>
      <c r="I32" s="5">
        <v>2</v>
      </c>
      <c r="J32" s="4">
        <v>91</v>
      </c>
      <c r="K32" s="11">
        <f>VLOOKUP(J32,[1]المرجع!$B$3:$C$12,2)</f>
        <v>4.75</v>
      </c>
      <c r="L32" s="8" t="str">
        <f>VLOOKUP(K32,[1]المرجع!$D$3:$E$12,2)</f>
        <v>أ</v>
      </c>
      <c r="M32" s="10">
        <f t="shared" si="1"/>
        <v>9.5</v>
      </c>
      <c r="N32" s="15">
        <v>2</v>
      </c>
      <c r="O32" s="4">
        <v>94</v>
      </c>
      <c r="P32" s="11">
        <f>VLOOKUP(O32,[1]المرجع!$B$3:$C$12,2)</f>
        <v>4.75</v>
      </c>
      <c r="Q32" s="8" t="str">
        <f>VLOOKUP(P32,[1]المرجع!$D$3:$E$12,2)</f>
        <v>أ</v>
      </c>
      <c r="R32" s="10">
        <f t="shared" si="2"/>
        <v>9.5</v>
      </c>
      <c r="S32" s="15">
        <v>2</v>
      </c>
      <c r="T32" s="4">
        <v>85</v>
      </c>
      <c r="U32" s="11">
        <f>VLOOKUP(T32,[1]المرجع!$B$3:$C$12,2)</f>
        <v>4.5</v>
      </c>
      <c r="V32" s="8" t="str">
        <f>VLOOKUP(U32,[1]المرجع!$D$3:$E$12,2)</f>
        <v>ب+</v>
      </c>
      <c r="W32" s="10">
        <f t="shared" si="3"/>
        <v>9</v>
      </c>
      <c r="X32" s="15">
        <v>2</v>
      </c>
      <c r="Y32" s="4">
        <v>94</v>
      </c>
      <c r="Z32" s="11">
        <f>VLOOKUP(Y32,[1]المرجع!$B$3:$C$12,2)</f>
        <v>4.75</v>
      </c>
      <c r="AA32" s="8" t="str">
        <f>VLOOKUP(Z32,[1]المرجع!$D$3:$E$12,2)</f>
        <v>أ</v>
      </c>
      <c r="AB32" s="10">
        <f t="shared" si="4"/>
        <v>9.5</v>
      </c>
      <c r="AC32" s="15">
        <v>2</v>
      </c>
      <c r="AD32" s="4">
        <v>50</v>
      </c>
      <c r="AE32" s="11">
        <f>VLOOKUP(AD32,[1]المرجع!$B$3:$C$12,2)</f>
        <v>2</v>
      </c>
      <c r="AF32" s="8" t="str">
        <f>VLOOKUP(AE32,[1]المرجع!$D$3:$E$12,2)</f>
        <v>د</v>
      </c>
      <c r="AG32" s="10">
        <f t="shared" si="5"/>
        <v>4</v>
      </c>
      <c r="AH32" s="15">
        <v>2</v>
      </c>
      <c r="AI32" s="4">
        <v>55</v>
      </c>
      <c r="AJ32" s="11">
        <f>VLOOKUP(AI32,[1]المرجع!$B$3:$C$12,2)</f>
        <v>2</v>
      </c>
      <c r="AK32" s="8" t="str">
        <f>VLOOKUP(AJ32,[1]المرجع!$D$3:$E$12,2)</f>
        <v>د</v>
      </c>
      <c r="AL32" s="10">
        <f t="shared" si="6"/>
        <v>4</v>
      </c>
      <c r="AM32" s="15">
        <v>2</v>
      </c>
      <c r="AN32" s="4">
        <v>85</v>
      </c>
      <c r="AO32" s="11">
        <f>VLOOKUP(AN32,[1]المرجع!$B$3:$C$12,2)</f>
        <v>4.5</v>
      </c>
      <c r="AP32" s="8" t="str">
        <f>VLOOKUP(AO32,[1]المرجع!$D$3:$E$12,2)</f>
        <v>ب+</v>
      </c>
      <c r="AQ32" s="10">
        <f t="shared" si="7"/>
        <v>9</v>
      </c>
      <c r="AR32" s="15">
        <v>2</v>
      </c>
      <c r="AS32" s="4">
        <v>100</v>
      </c>
      <c r="AT32" s="11">
        <f>VLOOKUP(AS32,[1]المرجع!$B$3:$C$12,2)</f>
        <v>5</v>
      </c>
      <c r="AU32" s="8" t="str">
        <f>VLOOKUP(AT32,[1]المرجع!$D$3:$E$12,2)</f>
        <v xml:space="preserve">أ+ </v>
      </c>
      <c r="AV32" s="10">
        <f t="shared" si="8"/>
        <v>10</v>
      </c>
      <c r="AW32" s="15">
        <v>2</v>
      </c>
      <c r="AX32" s="4">
        <v>95</v>
      </c>
      <c r="AY32" s="11">
        <f>VLOOKUP(AX32,[1]المرجع!$B$3:$C$12,2)</f>
        <v>5</v>
      </c>
      <c r="AZ32" s="8" t="str">
        <f>VLOOKUP(AY32,[1]المرجع!$D$3:$E$12,2)</f>
        <v xml:space="preserve">أ+ </v>
      </c>
      <c r="BA32" s="10">
        <f t="shared" si="9"/>
        <v>10</v>
      </c>
      <c r="BB32" s="15">
        <v>2</v>
      </c>
      <c r="BC32" s="4">
        <v>75</v>
      </c>
      <c r="BD32" s="11">
        <f>VLOOKUP(BC32,[1]المرجع!$B$3:$C$12,2)</f>
        <v>3.5</v>
      </c>
      <c r="BE32" s="8" t="str">
        <f>VLOOKUP(BD32,[1]المرجع!$D$3:$E$12,2)</f>
        <v>ج+</v>
      </c>
      <c r="BF32" s="10">
        <f t="shared" si="10"/>
        <v>7</v>
      </c>
      <c r="BG32" s="15">
        <v>2</v>
      </c>
      <c r="BH32" s="4">
        <v>92</v>
      </c>
      <c r="BI32" s="11">
        <f>VLOOKUP(BH32,[1]المرجع!$B$3:$C$12,2)</f>
        <v>4.75</v>
      </c>
      <c r="BJ32" s="8" t="str">
        <f>VLOOKUP(BI32,[1]المرجع!$D$3:$E$12,2)</f>
        <v>أ</v>
      </c>
      <c r="BK32" s="10">
        <f t="shared" si="11"/>
        <v>9.5</v>
      </c>
      <c r="BL32" s="19">
        <f t="shared" si="12"/>
        <v>96</v>
      </c>
      <c r="BM32" s="20">
        <f t="shared" si="13"/>
        <v>23</v>
      </c>
      <c r="BN32" s="21">
        <f t="shared" si="14"/>
        <v>4.1739130434782608</v>
      </c>
      <c r="BO32" s="18"/>
      <c r="BP32" s="23" t="str">
        <f>VLOOKUP(BN32,[1]المرجع!D$3:F$12,3)</f>
        <v>جيد جد مرتفع</v>
      </c>
      <c r="BQ32" s="22">
        <f t="shared" si="15"/>
        <v>15</v>
      </c>
    </row>
    <row r="33" spans="2:69" ht="23.5">
      <c r="B33" s="1">
        <v>2024211</v>
      </c>
      <c r="C33" s="3" t="s">
        <v>44</v>
      </c>
      <c r="D33" s="5">
        <v>1</v>
      </c>
      <c r="E33" s="4">
        <v>94</v>
      </c>
      <c r="F33" s="11">
        <f>VLOOKUP(E33,[1]المرجع!$B$3:$C$12,2)</f>
        <v>4.75</v>
      </c>
      <c r="G33" s="8" t="str">
        <f>VLOOKUP(F33,[1]المرجع!$D$3:$E$12,2)</f>
        <v>أ</v>
      </c>
      <c r="H33" s="10">
        <f t="shared" si="0"/>
        <v>4.75</v>
      </c>
      <c r="I33" s="5">
        <v>2</v>
      </c>
      <c r="J33" s="4">
        <v>75</v>
      </c>
      <c r="K33" s="11">
        <f>VLOOKUP(J33,[1]المرجع!$B$3:$C$12,2)</f>
        <v>3.5</v>
      </c>
      <c r="L33" s="8" t="str">
        <f>VLOOKUP(K33,[1]المرجع!$D$3:$E$12,2)</f>
        <v>ج+</v>
      </c>
      <c r="M33" s="10">
        <f t="shared" si="1"/>
        <v>7</v>
      </c>
      <c r="N33" s="15">
        <v>2</v>
      </c>
      <c r="O33" s="4">
        <v>74</v>
      </c>
      <c r="P33" s="11">
        <f>VLOOKUP(O33,[1]المرجع!$B$3:$C$12,2)</f>
        <v>3</v>
      </c>
      <c r="Q33" s="8" t="str">
        <f>VLOOKUP(P33,[1]المرجع!$D$3:$E$12,2)</f>
        <v>ج</v>
      </c>
      <c r="R33" s="10">
        <f t="shared" si="2"/>
        <v>6</v>
      </c>
      <c r="S33" s="15">
        <v>2</v>
      </c>
      <c r="T33" s="4">
        <v>88</v>
      </c>
      <c r="U33" s="11">
        <f>VLOOKUP(T33,[1]المرجع!$B$3:$C$12,2)</f>
        <v>4.5</v>
      </c>
      <c r="V33" s="8" t="str">
        <f>VLOOKUP(U33,[1]المرجع!$D$3:$E$12,2)</f>
        <v>ب+</v>
      </c>
      <c r="W33" s="10">
        <f t="shared" si="3"/>
        <v>9</v>
      </c>
      <c r="X33" s="15">
        <v>2</v>
      </c>
      <c r="Y33" s="4">
        <v>88</v>
      </c>
      <c r="Z33" s="11">
        <f>VLOOKUP(Y33,[1]المرجع!$B$3:$C$12,2)</f>
        <v>4.5</v>
      </c>
      <c r="AA33" s="8" t="str">
        <f>VLOOKUP(Z33,[1]المرجع!$D$3:$E$12,2)</f>
        <v>ب+</v>
      </c>
      <c r="AB33" s="10">
        <f t="shared" si="4"/>
        <v>9</v>
      </c>
      <c r="AC33" s="15">
        <v>2</v>
      </c>
      <c r="AD33" s="4">
        <v>50</v>
      </c>
      <c r="AE33" s="11">
        <f>VLOOKUP(AD33,[1]المرجع!$B$3:$C$12,2)</f>
        <v>2</v>
      </c>
      <c r="AF33" s="8" t="str">
        <f>VLOOKUP(AE33,[1]المرجع!$D$3:$E$12,2)</f>
        <v>د</v>
      </c>
      <c r="AG33" s="10">
        <f t="shared" si="5"/>
        <v>4</v>
      </c>
      <c r="AH33" s="15">
        <v>2</v>
      </c>
      <c r="AI33" s="4">
        <v>85</v>
      </c>
      <c r="AJ33" s="11">
        <f>VLOOKUP(AI33,[1]المرجع!$B$3:$C$12,2)</f>
        <v>4.5</v>
      </c>
      <c r="AK33" s="8" t="str">
        <f>VLOOKUP(AJ33,[1]المرجع!$D$3:$E$12,2)</f>
        <v>ب+</v>
      </c>
      <c r="AL33" s="10">
        <f t="shared" si="6"/>
        <v>9</v>
      </c>
      <c r="AM33" s="15">
        <v>2</v>
      </c>
      <c r="AN33" s="4">
        <v>65</v>
      </c>
      <c r="AO33" s="11">
        <f>VLOOKUP(AN33,[1]المرجع!$B$3:$C$12,2)</f>
        <v>2.5</v>
      </c>
      <c r="AP33" s="8" t="str">
        <f>VLOOKUP(AO33,[1]المرجع!$D$3:$E$12,2)</f>
        <v>د+</v>
      </c>
      <c r="AQ33" s="10">
        <f t="shared" si="7"/>
        <v>5</v>
      </c>
      <c r="AR33" s="15">
        <v>2</v>
      </c>
      <c r="AS33" s="4">
        <v>98</v>
      </c>
      <c r="AT33" s="11">
        <f>VLOOKUP(AS33,[1]المرجع!$B$3:$C$12,2)</f>
        <v>5</v>
      </c>
      <c r="AU33" s="8" t="str">
        <f>VLOOKUP(AT33,[1]المرجع!$D$3:$E$12,2)</f>
        <v xml:space="preserve">أ+ </v>
      </c>
      <c r="AV33" s="10">
        <f t="shared" si="8"/>
        <v>10</v>
      </c>
      <c r="AW33" s="15">
        <v>2</v>
      </c>
      <c r="AX33" s="4">
        <v>64</v>
      </c>
      <c r="AY33" s="11">
        <f>VLOOKUP(AX33,[1]المرجع!$B$3:$C$12,2)</f>
        <v>2</v>
      </c>
      <c r="AZ33" s="8" t="str">
        <f>VLOOKUP(AY33,[1]المرجع!$D$3:$E$12,2)</f>
        <v>د</v>
      </c>
      <c r="BA33" s="10">
        <f t="shared" si="9"/>
        <v>4</v>
      </c>
      <c r="BB33" s="15">
        <v>2</v>
      </c>
      <c r="BC33" s="4">
        <v>60</v>
      </c>
      <c r="BD33" s="11">
        <f>VLOOKUP(BC33,[1]المرجع!$B$3:$C$12,2)</f>
        <v>2</v>
      </c>
      <c r="BE33" s="8" t="str">
        <f>VLOOKUP(BD33,[1]المرجع!$D$3:$E$12,2)</f>
        <v>د</v>
      </c>
      <c r="BF33" s="10">
        <f t="shared" si="10"/>
        <v>4</v>
      </c>
      <c r="BG33" s="15">
        <v>2</v>
      </c>
      <c r="BH33" s="4">
        <v>50</v>
      </c>
      <c r="BI33" s="11">
        <f>VLOOKUP(BH33,[1]المرجع!$B$3:$C$12,2)</f>
        <v>2</v>
      </c>
      <c r="BJ33" s="8" t="str">
        <f>VLOOKUP(BI33,[1]المرجع!$D$3:$E$12,2)</f>
        <v>د</v>
      </c>
      <c r="BK33" s="10">
        <f t="shared" si="11"/>
        <v>4</v>
      </c>
      <c r="BL33" s="19">
        <f t="shared" si="12"/>
        <v>75.75</v>
      </c>
      <c r="BM33" s="20">
        <f t="shared" si="13"/>
        <v>23</v>
      </c>
      <c r="BN33" s="21">
        <f t="shared" si="14"/>
        <v>3.2934782608695654</v>
      </c>
      <c r="BO33" s="18"/>
      <c r="BP33" s="23" t="str">
        <f>VLOOKUP(BN33,[1]المرجع!D$3:F$12,3)</f>
        <v xml:space="preserve">جيد مرتفع </v>
      </c>
      <c r="BQ33" s="22">
        <f t="shared" si="15"/>
        <v>31</v>
      </c>
    </row>
    <row r="34" spans="2:69" ht="23.5">
      <c r="B34" s="1">
        <v>2024191</v>
      </c>
      <c r="C34" s="3" t="s">
        <v>45</v>
      </c>
      <c r="D34" s="5">
        <v>1</v>
      </c>
      <c r="E34" s="4">
        <v>65</v>
      </c>
      <c r="F34" s="11">
        <f>VLOOKUP(E34,[1]المرجع!$B$3:$C$12,2)</f>
        <v>2.5</v>
      </c>
      <c r="G34" s="8" t="str">
        <f>VLOOKUP(F34,[1]المرجع!$D$3:$E$12,2)</f>
        <v>د+</v>
      </c>
      <c r="H34" s="10">
        <f t="shared" si="0"/>
        <v>2.5</v>
      </c>
      <c r="I34" s="5">
        <v>2</v>
      </c>
      <c r="J34" s="4">
        <v>76</v>
      </c>
      <c r="K34" s="11">
        <f>VLOOKUP(J34,[1]المرجع!$B$3:$C$12,2)</f>
        <v>3.5</v>
      </c>
      <c r="L34" s="8" t="str">
        <f>VLOOKUP(K34,[1]المرجع!$D$3:$E$12,2)</f>
        <v>ج+</v>
      </c>
      <c r="M34" s="10">
        <f t="shared" si="1"/>
        <v>7</v>
      </c>
      <c r="N34" s="15">
        <v>2</v>
      </c>
      <c r="O34" s="4">
        <v>95</v>
      </c>
      <c r="P34" s="11">
        <f>VLOOKUP(O34,[1]المرجع!$B$3:$C$12,2)</f>
        <v>5</v>
      </c>
      <c r="Q34" s="8" t="str">
        <f>VLOOKUP(P34,[1]المرجع!$D$3:$E$12,2)</f>
        <v xml:space="preserve">أ+ </v>
      </c>
      <c r="R34" s="10">
        <f t="shared" si="2"/>
        <v>10</v>
      </c>
      <c r="S34" s="15">
        <v>2</v>
      </c>
      <c r="T34" s="4">
        <v>70</v>
      </c>
      <c r="U34" s="11">
        <f>VLOOKUP(T34,[1]المرجع!$B$3:$C$12,2)</f>
        <v>3</v>
      </c>
      <c r="V34" s="8" t="str">
        <f>VLOOKUP(U34,[1]المرجع!$D$3:$E$12,2)</f>
        <v>ج</v>
      </c>
      <c r="W34" s="10">
        <f t="shared" si="3"/>
        <v>6</v>
      </c>
      <c r="X34" s="15">
        <v>2</v>
      </c>
      <c r="Y34" s="4">
        <v>91</v>
      </c>
      <c r="Z34" s="11">
        <f>VLOOKUP(Y34,[1]المرجع!$B$3:$C$12,2)</f>
        <v>4.75</v>
      </c>
      <c r="AA34" s="8" t="str">
        <f>VLOOKUP(Z34,[1]المرجع!$D$3:$E$12,2)</f>
        <v>أ</v>
      </c>
      <c r="AB34" s="10">
        <f t="shared" si="4"/>
        <v>9.5</v>
      </c>
      <c r="AC34" s="15">
        <v>2</v>
      </c>
      <c r="AD34" s="4">
        <v>50</v>
      </c>
      <c r="AE34" s="11">
        <f>VLOOKUP(AD34,[1]المرجع!$B$3:$C$12,2)</f>
        <v>2</v>
      </c>
      <c r="AF34" s="8" t="str">
        <f>VLOOKUP(AE34,[1]المرجع!$D$3:$E$12,2)</f>
        <v>د</v>
      </c>
      <c r="AG34" s="10">
        <f t="shared" si="5"/>
        <v>4</v>
      </c>
      <c r="AH34" s="15">
        <v>2</v>
      </c>
      <c r="AI34" s="4">
        <v>98</v>
      </c>
      <c r="AJ34" s="11">
        <f>VLOOKUP(AI34,[1]المرجع!$B$3:$C$12,2)</f>
        <v>5</v>
      </c>
      <c r="AK34" s="8" t="str">
        <f>VLOOKUP(AJ34,[1]المرجع!$D$3:$E$12,2)</f>
        <v xml:space="preserve">أ+ </v>
      </c>
      <c r="AL34" s="10">
        <f t="shared" si="6"/>
        <v>10</v>
      </c>
      <c r="AM34" s="15">
        <v>2</v>
      </c>
      <c r="AN34" s="4">
        <v>50</v>
      </c>
      <c r="AO34" s="11">
        <f>VLOOKUP(AN34,[1]المرجع!$B$3:$C$12,2)</f>
        <v>2</v>
      </c>
      <c r="AP34" s="8" t="str">
        <f>VLOOKUP(AO34,[1]المرجع!$D$3:$E$12,2)</f>
        <v>د</v>
      </c>
      <c r="AQ34" s="10">
        <f t="shared" si="7"/>
        <v>4</v>
      </c>
      <c r="AR34" s="15">
        <v>2</v>
      </c>
      <c r="AS34" s="4">
        <v>94</v>
      </c>
      <c r="AT34" s="11">
        <f>VLOOKUP(AS34,[1]المرجع!$B$3:$C$12,2)</f>
        <v>4.75</v>
      </c>
      <c r="AU34" s="8" t="str">
        <f>VLOOKUP(AT34,[1]المرجع!$D$3:$E$12,2)</f>
        <v>أ</v>
      </c>
      <c r="AV34" s="10">
        <f t="shared" si="8"/>
        <v>9.5</v>
      </c>
      <c r="AW34" s="15">
        <v>2</v>
      </c>
      <c r="AX34" s="4">
        <v>63</v>
      </c>
      <c r="AY34" s="11">
        <f>VLOOKUP(AX34,[1]المرجع!$B$3:$C$12,2)</f>
        <v>2</v>
      </c>
      <c r="AZ34" s="8" t="str">
        <f>VLOOKUP(AY34,[1]المرجع!$D$3:$E$12,2)</f>
        <v>د</v>
      </c>
      <c r="BA34" s="10">
        <f t="shared" si="9"/>
        <v>4</v>
      </c>
      <c r="BB34" s="15">
        <v>2</v>
      </c>
      <c r="BC34" s="4">
        <v>58</v>
      </c>
      <c r="BD34" s="11">
        <f>VLOOKUP(BC34,[1]المرجع!$B$3:$C$12,2)</f>
        <v>2</v>
      </c>
      <c r="BE34" s="8" t="str">
        <f>VLOOKUP(BD34,[1]المرجع!$D$3:$E$12,2)</f>
        <v>د</v>
      </c>
      <c r="BF34" s="10">
        <f t="shared" si="10"/>
        <v>4</v>
      </c>
      <c r="BG34" s="15">
        <v>2</v>
      </c>
      <c r="BH34" s="4">
        <v>66</v>
      </c>
      <c r="BI34" s="11">
        <f>VLOOKUP(BH34,[1]المرجع!$B$3:$C$12,2)</f>
        <v>2.5</v>
      </c>
      <c r="BJ34" s="8" t="str">
        <f>VLOOKUP(BI34,[1]المرجع!$D$3:$E$12,2)</f>
        <v>د+</v>
      </c>
      <c r="BK34" s="10">
        <f t="shared" si="11"/>
        <v>5</v>
      </c>
      <c r="BL34" s="19">
        <f t="shared" si="12"/>
        <v>75.5</v>
      </c>
      <c r="BM34" s="20">
        <f t="shared" si="13"/>
        <v>23</v>
      </c>
      <c r="BN34" s="21">
        <f t="shared" si="14"/>
        <v>3.2826086956521738</v>
      </c>
      <c r="BO34" s="18"/>
      <c r="BP34" s="23" t="str">
        <f>VLOOKUP(BN34,[1]المرجع!D$3:F$12,3)</f>
        <v xml:space="preserve">جيد مرتفع </v>
      </c>
      <c r="BQ34" s="22">
        <f t="shared" si="15"/>
        <v>32</v>
      </c>
    </row>
    <row r="35" spans="2:69" ht="23.5">
      <c r="B35" s="1">
        <v>2024169</v>
      </c>
      <c r="C35" s="3" t="s">
        <v>46</v>
      </c>
      <c r="D35" s="5">
        <v>1</v>
      </c>
      <c r="E35" s="4">
        <v>93</v>
      </c>
      <c r="F35" s="11">
        <f>VLOOKUP(E35,[1]المرجع!$B$3:$C$12,2)</f>
        <v>4.75</v>
      </c>
      <c r="G35" s="8" t="str">
        <f>VLOOKUP(F35,[1]المرجع!$D$3:$E$12,2)</f>
        <v>أ</v>
      </c>
      <c r="H35" s="10">
        <f t="shared" si="0"/>
        <v>4.75</v>
      </c>
      <c r="I35" s="5">
        <v>2</v>
      </c>
      <c r="J35" s="4">
        <v>89</v>
      </c>
      <c r="K35" s="11">
        <f>VLOOKUP(J35,[1]المرجع!$B$3:$C$12,2)</f>
        <v>4.5</v>
      </c>
      <c r="L35" s="8" t="str">
        <f>VLOOKUP(K35,[1]المرجع!$D$3:$E$12,2)</f>
        <v>ب+</v>
      </c>
      <c r="M35" s="10">
        <f t="shared" si="1"/>
        <v>9</v>
      </c>
      <c r="N35" s="15">
        <v>2</v>
      </c>
      <c r="O35" s="4">
        <v>64</v>
      </c>
      <c r="P35" s="11">
        <f>VLOOKUP(O35,[1]المرجع!$B$3:$C$12,2)</f>
        <v>2</v>
      </c>
      <c r="Q35" s="8" t="str">
        <f>VLOOKUP(P35,[1]المرجع!$D$3:$E$12,2)</f>
        <v>د</v>
      </c>
      <c r="R35" s="10">
        <f t="shared" si="2"/>
        <v>4</v>
      </c>
      <c r="S35" s="15">
        <v>2</v>
      </c>
      <c r="T35" s="4">
        <v>80</v>
      </c>
      <c r="U35" s="11">
        <f>VLOOKUP(T35,[1]المرجع!$B$3:$C$12,2)</f>
        <v>4</v>
      </c>
      <c r="V35" s="8" t="str">
        <f>VLOOKUP(U35,[1]المرجع!$D$3:$E$12,2)</f>
        <v>ب</v>
      </c>
      <c r="W35" s="10">
        <f t="shared" si="3"/>
        <v>8</v>
      </c>
      <c r="X35" s="15">
        <v>2</v>
      </c>
      <c r="Y35" s="4">
        <v>83</v>
      </c>
      <c r="Z35" s="11">
        <f>VLOOKUP(Y35,[1]المرجع!$B$3:$C$12,2)</f>
        <v>4</v>
      </c>
      <c r="AA35" s="8" t="str">
        <f>VLOOKUP(Z35,[1]المرجع!$D$3:$E$12,2)</f>
        <v>ب</v>
      </c>
      <c r="AB35" s="10">
        <f t="shared" si="4"/>
        <v>8</v>
      </c>
      <c r="AC35" s="15">
        <v>2</v>
      </c>
      <c r="AD35" s="4">
        <v>58</v>
      </c>
      <c r="AE35" s="11">
        <f>VLOOKUP(AD35,[1]المرجع!$B$3:$C$12,2)</f>
        <v>2</v>
      </c>
      <c r="AF35" s="8" t="str">
        <f>VLOOKUP(AE35,[1]المرجع!$D$3:$E$12,2)</f>
        <v>د</v>
      </c>
      <c r="AG35" s="10">
        <f t="shared" si="5"/>
        <v>4</v>
      </c>
      <c r="AH35" s="15">
        <v>2</v>
      </c>
      <c r="AI35" s="4">
        <v>96</v>
      </c>
      <c r="AJ35" s="11">
        <f>VLOOKUP(AI35,[1]المرجع!$B$3:$C$12,2)</f>
        <v>5</v>
      </c>
      <c r="AK35" s="8" t="str">
        <f>VLOOKUP(AJ35,[1]المرجع!$D$3:$E$12,2)</f>
        <v xml:space="preserve">أ+ </v>
      </c>
      <c r="AL35" s="10">
        <f t="shared" si="6"/>
        <v>10</v>
      </c>
      <c r="AM35" s="15">
        <v>2</v>
      </c>
      <c r="AN35" s="4">
        <v>75</v>
      </c>
      <c r="AO35" s="11">
        <f>VLOOKUP(AN35,[1]المرجع!$B$3:$C$12,2)</f>
        <v>3.5</v>
      </c>
      <c r="AP35" s="8" t="str">
        <f>VLOOKUP(AO35,[1]المرجع!$D$3:$E$12,2)</f>
        <v>ج+</v>
      </c>
      <c r="AQ35" s="10">
        <f t="shared" si="7"/>
        <v>7</v>
      </c>
      <c r="AR35" s="15">
        <v>2</v>
      </c>
      <c r="AS35" s="4">
        <v>60</v>
      </c>
      <c r="AT35" s="11">
        <f>VLOOKUP(AS35,[1]المرجع!$B$3:$C$12,2)</f>
        <v>2</v>
      </c>
      <c r="AU35" s="8" t="str">
        <f>VLOOKUP(AT35,[1]المرجع!$D$3:$E$12,2)</f>
        <v>د</v>
      </c>
      <c r="AV35" s="10">
        <f t="shared" si="8"/>
        <v>4</v>
      </c>
      <c r="AW35" s="15">
        <v>2</v>
      </c>
      <c r="AX35" s="4">
        <v>58</v>
      </c>
      <c r="AY35" s="11">
        <f>VLOOKUP(AX35,[1]المرجع!$B$3:$C$12,2)</f>
        <v>2</v>
      </c>
      <c r="AZ35" s="8" t="str">
        <f>VLOOKUP(AY35,[1]المرجع!$D$3:$E$12,2)</f>
        <v>د</v>
      </c>
      <c r="BA35" s="10">
        <f t="shared" si="9"/>
        <v>4</v>
      </c>
      <c r="BB35" s="15">
        <v>2</v>
      </c>
      <c r="BC35" s="4">
        <v>55</v>
      </c>
      <c r="BD35" s="11">
        <f>VLOOKUP(BC35,[1]المرجع!$B$3:$C$12,2)</f>
        <v>2</v>
      </c>
      <c r="BE35" s="8" t="str">
        <f>VLOOKUP(BD35,[1]المرجع!$D$3:$E$12,2)</f>
        <v>د</v>
      </c>
      <c r="BF35" s="10">
        <f t="shared" si="10"/>
        <v>4</v>
      </c>
      <c r="BG35" s="15">
        <v>2</v>
      </c>
      <c r="BH35" s="4">
        <v>50</v>
      </c>
      <c r="BI35" s="11">
        <f>VLOOKUP(BH35,[1]المرجع!$B$3:$C$12,2)</f>
        <v>2</v>
      </c>
      <c r="BJ35" s="8" t="str">
        <f>VLOOKUP(BI35,[1]المرجع!$D$3:$E$12,2)</f>
        <v>د</v>
      </c>
      <c r="BK35" s="10">
        <f t="shared" si="11"/>
        <v>4</v>
      </c>
      <c r="BL35" s="19">
        <f t="shared" si="12"/>
        <v>70.75</v>
      </c>
      <c r="BM35" s="20">
        <f t="shared" si="13"/>
        <v>23</v>
      </c>
      <c r="BN35" s="21">
        <f t="shared" si="14"/>
        <v>3.0760869565217392</v>
      </c>
      <c r="BO35" s="18"/>
      <c r="BP35" s="23" t="str">
        <f>VLOOKUP(BN35,[1]المرجع!D$3:F$12,3)</f>
        <v xml:space="preserve">جيد </v>
      </c>
      <c r="BQ35" s="22">
        <f t="shared" si="15"/>
        <v>33</v>
      </c>
    </row>
    <row r="36" spans="2:69" ht="23.5">
      <c r="B36" s="1">
        <v>2024172</v>
      </c>
      <c r="C36" s="3" t="s">
        <v>47</v>
      </c>
      <c r="D36" s="5">
        <v>1</v>
      </c>
      <c r="E36" s="4">
        <v>95</v>
      </c>
      <c r="F36" s="11">
        <f>VLOOKUP(E36,[1]المرجع!$B$3:$C$12,2)</f>
        <v>5</v>
      </c>
      <c r="G36" s="8" t="str">
        <f>VLOOKUP(F36,[1]المرجع!$D$3:$E$12,2)</f>
        <v xml:space="preserve">أ+ </v>
      </c>
      <c r="H36" s="10">
        <f t="shared" si="0"/>
        <v>5</v>
      </c>
      <c r="I36" s="5">
        <v>2</v>
      </c>
      <c r="J36" s="4">
        <v>65</v>
      </c>
      <c r="K36" s="11">
        <f>VLOOKUP(J36,[1]المرجع!$B$3:$C$12,2)</f>
        <v>2.5</v>
      </c>
      <c r="L36" s="8" t="str">
        <f>VLOOKUP(K36,[1]المرجع!$D$3:$E$12,2)</f>
        <v>د+</v>
      </c>
      <c r="M36" s="10">
        <f t="shared" si="1"/>
        <v>5</v>
      </c>
      <c r="N36" s="15">
        <v>2</v>
      </c>
      <c r="O36" s="4">
        <v>66</v>
      </c>
      <c r="P36" s="11">
        <f>VLOOKUP(O36,[1]المرجع!$B$3:$C$12,2)</f>
        <v>2.5</v>
      </c>
      <c r="Q36" s="8" t="str">
        <f>VLOOKUP(P36,[1]المرجع!$D$3:$E$12,2)</f>
        <v>د+</v>
      </c>
      <c r="R36" s="10">
        <f t="shared" si="2"/>
        <v>5</v>
      </c>
      <c r="S36" s="15">
        <v>2</v>
      </c>
      <c r="T36" s="4">
        <v>87</v>
      </c>
      <c r="U36" s="11">
        <f>VLOOKUP(T36,[1]المرجع!$B$3:$C$12,2)</f>
        <v>4.5</v>
      </c>
      <c r="V36" s="8" t="str">
        <f>VLOOKUP(U36,[1]المرجع!$D$3:$E$12,2)</f>
        <v>ب+</v>
      </c>
      <c r="W36" s="10">
        <f t="shared" si="3"/>
        <v>9</v>
      </c>
      <c r="X36" s="15">
        <v>2</v>
      </c>
      <c r="Y36" s="4">
        <v>91</v>
      </c>
      <c r="Z36" s="11">
        <f>VLOOKUP(Y36,[1]المرجع!$B$3:$C$12,2)</f>
        <v>4.75</v>
      </c>
      <c r="AA36" s="8" t="str">
        <f>VLOOKUP(Z36,[1]المرجع!$D$3:$E$12,2)</f>
        <v>أ</v>
      </c>
      <c r="AB36" s="10">
        <f t="shared" si="4"/>
        <v>9.5</v>
      </c>
      <c r="AC36" s="15">
        <v>2</v>
      </c>
      <c r="AD36" s="4">
        <v>45</v>
      </c>
      <c r="AE36" s="11">
        <f>VLOOKUP(AD36,[1]المرجع!$B$3:$C$12,2)</f>
        <v>0</v>
      </c>
      <c r="AF36" s="8" t="str">
        <f>VLOOKUP(AE36,[1]المرجع!$D$3:$E$12,2)</f>
        <v>ه</v>
      </c>
      <c r="AG36" s="10">
        <f t="shared" si="5"/>
        <v>0</v>
      </c>
      <c r="AH36" s="15">
        <v>2</v>
      </c>
      <c r="AI36" s="4">
        <v>60</v>
      </c>
      <c r="AJ36" s="11">
        <f>VLOOKUP(AI36,[1]المرجع!$B$3:$C$12,2)</f>
        <v>2</v>
      </c>
      <c r="AK36" s="8" t="str">
        <f>VLOOKUP(AJ36,[1]المرجع!$D$3:$E$12,2)</f>
        <v>د</v>
      </c>
      <c r="AL36" s="10">
        <f t="shared" si="6"/>
        <v>4</v>
      </c>
      <c r="AM36" s="15">
        <v>2</v>
      </c>
      <c r="AN36" s="4">
        <v>75</v>
      </c>
      <c r="AO36" s="11">
        <f>VLOOKUP(AN36,[1]المرجع!$B$3:$C$12,2)</f>
        <v>3.5</v>
      </c>
      <c r="AP36" s="8" t="str">
        <f>VLOOKUP(AO36,[1]المرجع!$D$3:$E$12,2)</f>
        <v>ج+</v>
      </c>
      <c r="AQ36" s="10">
        <f t="shared" si="7"/>
        <v>7</v>
      </c>
      <c r="AR36" s="15">
        <v>2</v>
      </c>
      <c r="AS36" s="4">
        <v>100</v>
      </c>
      <c r="AT36" s="11">
        <f>VLOOKUP(AS36,[1]المرجع!$B$3:$C$12,2)</f>
        <v>5</v>
      </c>
      <c r="AU36" s="8" t="str">
        <f>VLOOKUP(AT36,[1]المرجع!$D$3:$E$12,2)</f>
        <v xml:space="preserve">أ+ </v>
      </c>
      <c r="AV36" s="10">
        <f t="shared" si="8"/>
        <v>10</v>
      </c>
      <c r="AW36" s="15">
        <v>2</v>
      </c>
      <c r="AX36" s="4">
        <v>79</v>
      </c>
      <c r="AY36" s="11">
        <f>VLOOKUP(AX36,[1]المرجع!$B$3:$C$12,2)</f>
        <v>3.5</v>
      </c>
      <c r="AZ36" s="8" t="str">
        <f>VLOOKUP(AY36,[1]المرجع!$D$3:$E$12,2)</f>
        <v>ج+</v>
      </c>
      <c r="BA36" s="10">
        <f t="shared" si="9"/>
        <v>7</v>
      </c>
      <c r="BB36" s="15">
        <v>2</v>
      </c>
      <c r="BC36" s="4">
        <v>50</v>
      </c>
      <c r="BD36" s="11">
        <f>VLOOKUP(BC36,[1]المرجع!$B$3:$C$12,2)</f>
        <v>2</v>
      </c>
      <c r="BE36" s="8" t="str">
        <f>VLOOKUP(BD36,[1]المرجع!$D$3:$E$12,2)</f>
        <v>د</v>
      </c>
      <c r="BF36" s="10">
        <f t="shared" si="10"/>
        <v>4</v>
      </c>
      <c r="BG36" s="15">
        <v>2</v>
      </c>
      <c r="BH36" s="4">
        <v>62</v>
      </c>
      <c r="BI36" s="11">
        <f>VLOOKUP(BH36,[1]المرجع!$B$3:$C$12,2)</f>
        <v>2</v>
      </c>
      <c r="BJ36" s="8" t="str">
        <f>VLOOKUP(BI36,[1]المرجع!$D$3:$E$12,2)</f>
        <v>د</v>
      </c>
      <c r="BK36" s="10">
        <f t="shared" si="11"/>
        <v>4</v>
      </c>
      <c r="BL36" s="19">
        <f t="shared" si="12"/>
        <v>69.5</v>
      </c>
      <c r="BM36" s="20">
        <f t="shared" si="13"/>
        <v>23</v>
      </c>
      <c r="BN36" s="21">
        <f t="shared" si="14"/>
        <v>3.0217391304347827</v>
      </c>
      <c r="BO36" s="18"/>
      <c r="BP36" s="23" t="str">
        <f>VLOOKUP(BN36,[1]المرجع!D$3:F$12,3)</f>
        <v xml:space="preserve">جيد </v>
      </c>
      <c r="BQ36" s="22">
        <f t="shared" si="15"/>
        <v>35</v>
      </c>
    </row>
    <row r="37" spans="2:69" ht="23.5">
      <c r="B37" s="1">
        <v>2024199</v>
      </c>
      <c r="C37" s="3" t="s">
        <v>48</v>
      </c>
      <c r="D37" s="5">
        <v>1</v>
      </c>
      <c r="E37" s="4">
        <v>79</v>
      </c>
      <c r="F37" s="11">
        <f>VLOOKUP(E37,[1]المرجع!$B$3:$C$12,2)</f>
        <v>3.5</v>
      </c>
      <c r="G37" s="8" t="str">
        <f>VLOOKUP(F37,[1]المرجع!$D$3:$E$12,2)</f>
        <v>ج+</v>
      </c>
      <c r="H37" s="10">
        <f t="shared" si="0"/>
        <v>3.5</v>
      </c>
      <c r="I37" s="5">
        <v>2</v>
      </c>
      <c r="J37" s="4">
        <v>89</v>
      </c>
      <c r="K37" s="11">
        <f>VLOOKUP(J37,[1]المرجع!$B$3:$C$12,2)</f>
        <v>4.5</v>
      </c>
      <c r="L37" s="8" t="str">
        <f>VLOOKUP(K37,[1]المرجع!$D$3:$E$12,2)</f>
        <v>ب+</v>
      </c>
      <c r="M37" s="10">
        <f t="shared" si="1"/>
        <v>9</v>
      </c>
      <c r="N37" s="15">
        <v>2</v>
      </c>
      <c r="O37" s="4">
        <v>53</v>
      </c>
      <c r="P37" s="11">
        <f>VLOOKUP(O37,[1]المرجع!$B$3:$C$12,2)</f>
        <v>2</v>
      </c>
      <c r="Q37" s="8" t="str">
        <f>VLOOKUP(P37,[1]المرجع!$D$3:$E$12,2)</f>
        <v>د</v>
      </c>
      <c r="R37" s="10">
        <f t="shared" si="2"/>
        <v>4</v>
      </c>
      <c r="S37" s="15">
        <v>2</v>
      </c>
      <c r="T37" s="4">
        <v>80</v>
      </c>
      <c r="U37" s="11">
        <f>VLOOKUP(T37,[1]المرجع!$B$3:$C$12,2)</f>
        <v>4</v>
      </c>
      <c r="V37" s="8" t="str">
        <f>VLOOKUP(U37,[1]المرجع!$D$3:$E$12,2)</f>
        <v>ب</v>
      </c>
      <c r="W37" s="10">
        <f t="shared" si="3"/>
        <v>8</v>
      </c>
      <c r="X37" s="15">
        <v>2</v>
      </c>
      <c r="Y37" s="4">
        <v>69</v>
      </c>
      <c r="Z37" s="11">
        <f>VLOOKUP(Y37,[1]المرجع!$B$3:$C$12,2)</f>
        <v>2.5</v>
      </c>
      <c r="AA37" s="8" t="str">
        <f>VLOOKUP(Z37,[1]المرجع!$D$3:$E$12,2)</f>
        <v>د+</v>
      </c>
      <c r="AB37" s="10">
        <f t="shared" si="4"/>
        <v>5</v>
      </c>
      <c r="AC37" s="15">
        <v>2</v>
      </c>
      <c r="AD37" s="4">
        <v>50</v>
      </c>
      <c r="AE37" s="11">
        <f>VLOOKUP(AD37,[1]المرجع!$B$3:$C$12,2)</f>
        <v>2</v>
      </c>
      <c r="AF37" s="8" t="str">
        <f>VLOOKUP(AE37,[1]المرجع!$D$3:$E$12,2)</f>
        <v>د</v>
      </c>
      <c r="AG37" s="10">
        <f t="shared" si="5"/>
        <v>4</v>
      </c>
      <c r="AH37" s="15">
        <v>2</v>
      </c>
      <c r="AI37" s="4">
        <v>96</v>
      </c>
      <c r="AJ37" s="11">
        <f>VLOOKUP(AI37,[1]المرجع!$B$3:$C$12,2)</f>
        <v>5</v>
      </c>
      <c r="AK37" s="8" t="str">
        <f>VLOOKUP(AJ37,[1]المرجع!$D$3:$E$12,2)</f>
        <v xml:space="preserve">أ+ </v>
      </c>
      <c r="AL37" s="10">
        <f t="shared" si="6"/>
        <v>10</v>
      </c>
      <c r="AM37" s="15">
        <v>2</v>
      </c>
      <c r="AN37" s="4">
        <v>60</v>
      </c>
      <c r="AO37" s="11">
        <f>VLOOKUP(AN37,[1]المرجع!$B$3:$C$12,2)</f>
        <v>2</v>
      </c>
      <c r="AP37" s="8" t="str">
        <f>VLOOKUP(AO37,[1]المرجع!$D$3:$E$12,2)</f>
        <v>د</v>
      </c>
      <c r="AQ37" s="10">
        <f t="shared" si="7"/>
        <v>4</v>
      </c>
      <c r="AR37" s="15">
        <v>2</v>
      </c>
      <c r="AS37" s="4">
        <v>65</v>
      </c>
      <c r="AT37" s="11">
        <f>VLOOKUP(AS37,[1]المرجع!$B$3:$C$12,2)</f>
        <v>2.5</v>
      </c>
      <c r="AU37" s="8" t="str">
        <f>VLOOKUP(AT37,[1]المرجع!$D$3:$E$12,2)</f>
        <v>د+</v>
      </c>
      <c r="AV37" s="10">
        <f t="shared" si="8"/>
        <v>5</v>
      </c>
      <c r="AW37" s="15">
        <v>2</v>
      </c>
      <c r="AX37" s="4">
        <v>63</v>
      </c>
      <c r="AY37" s="11">
        <f>VLOOKUP(AX37,[1]المرجع!$B$3:$C$12,2)</f>
        <v>2</v>
      </c>
      <c r="AZ37" s="8" t="str">
        <f>VLOOKUP(AY37,[1]المرجع!$D$3:$E$12,2)</f>
        <v>د</v>
      </c>
      <c r="BA37" s="10">
        <f t="shared" si="9"/>
        <v>4</v>
      </c>
      <c r="BB37" s="15">
        <v>2</v>
      </c>
      <c r="BC37" s="4">
        <v>65</v>
      </c>
      <c r="BD37" s="11">
        <f>VLOOKUP(BC37,[1]المرجع!$B$3:$C$12,2)</f>
        <v>2.5</v>
      </c>
      <c r="BE37" s="8" t="str">
        <f>VLOOKUP(BD37,[1]المرجع!$D$3:$E$12,2)</f>
        <v>د+</v>
      </c>
      <c r="BF37" s="10">
        <f t="shared" si="10"/>
        <v>5</v>
      </c>
      <c r="BG37" s="15">
        <v>2</v>
      </c>
      <c r="BH37" s="4">
        <v>70</v>
      </c>
      <c r="BI37" s="11">
        <f>VLOOKUP(BH37,[1]المرجع!$B$3:$C$12,2)</f>
        <v>3</v>
      </c>
      <c r="BJ37" s="8" t="str">
        <f>VLOOKUP(BI37,[1]المرجع!$D$3:$E$12,2)</f>
        <v>ج</v>
      </c>
      <c r="BK37" s="10">
        <f t="shared" si="11"/>
        <v>6</v>
      </c>
      <c r="BL37" s="19">
        <f t="shared" si="12"/>
        <v>67.5</v>
      </c>
      <c r="BM37" s="20">
        <f t="shared" si="13"/>
        <v>23</v>
      </c>
      <c r="BN37" s="21">
        <f t="shared" si="14"/>
        <v>2.9347826086956523</v>
      </c>
      <c r="BO37" s="18"/>
      <c r="BP37" s="23" t="str">
        <f>VLOOKUP(BN37,[1]المرجع!D$3:F$12,3)</f>
        <v xml:space="preserve">جيد </v>
      </c>
      <c r="BQ37" s="22">
        <f t="shared" si="15"/>
        <v>37</v>
      </c>
    </row>
    <row r="38" spans="2:69" ht="23.5">
      <c r="B38" s="1">
        <v>2024173</v>
      </c>
      <c r="C38" s="3" t="s">
        <v>49</v>
      </c>
      <c r="D38" s="5">
        <v>1</v>
      </c>
      <c r="E38" s="4">
        <v>83</v>
      </c>
      <c r="F38" s="11">
        <f>VLOOKUP(E38,[1]المرجع!$B$3:$C$12,2)</f>
        <v>4</v>
      </c>
      <c r="G38" s="8" t="str">
        <f>VLOOKUP(F38,[1]المرجع!$D$3:$E$12,2)</f>
        <v>ب</v>
      </c>
      <c r="H38" s="10">
        <f t="shared" si="0"/>
        <v>4</v>
      </c>
      <c r="I38" s="5">
        <v>2</v>
      </c>
      <c r="J38" s="4">
        <v>72</v>
      </c>
      <c r="K38" s="11">
        <f>VLOOKUP(J38,[1]المرجع!$B$3:$C$12,2)</f>
        <v>3</v>
      </c>
      <c r="L38" s="8" t="str">
        <f>VLOOKUP(K38,[1]المرجع!$D$3:$E$12,2)</f>
        <v>ج</v>
      </c>
      <c r="M38" s="10">
        <f t="shared" si="1"/>
        <v>6</v>
      </c>
      <c r="N38" s="15">
        <v>2</v>
      </c>
      <c r="O38" s="4">
        <v>71</v>
      </c>
      <c r="P38" s="11">
        <f>VLOOKUP(O38,[1]المرجع!$B$3:$C$12,2)</f>
        <v>3</v>
      </c>
      <c r="Q38" s="8" t="str">
        <f>VLOOKUP(P38,[1]المرجع!$D$3:$E$12,2)</f>
        <v>ج</v>
      </c>
      <c r="R38" s="10">
        <f t="shared" si="2"/>
        <v>6</v>
      </c>
      <c r="S38" s="15">
        <v>2</v>
      </c>
      <c r="T38" s="4">
        <v>83</v>
      </c>
      <c r="U38" s="11">
        <f>VLOOKUP(T38,[1]المرجع!$B$3:$C$12,2)</f>
        <v>4</v>
      </c>
      <c r="V38" s="8" t="str">
        <f>VLOOKUP(U38,[1]المرجع!$D$3:$E$12,2)</f>
        <v>ب</v>
      </c>
      <c r="W38" s="10">
        <f t="shared" si="3"/>
        <v>8</v>
      </c>
      <c r="X38" s="15">
        <v>2</v>
      </c>
      <c r="Y38" s="4">
        <v>87</v>
      </c>
      <c r="Z38" s="11">
        <f>VLOOKUP(Y38,[1]المرجع!$B$3:$C$12,2)</f>
        <v>4.5</v>
      </c>
      <c r="AA38" s="8" t="str">
        <f>VLOOKUP(Z38,[1]المرجع!$D$3:$E$12,2)</f>
        <v>ب+</v>
      </c>
      <c r="AB38" s="10">
        <f t="shared" si="4"/>
        <v>9</v>
      </c>
      <c r="AC38" s="15">
        <v>2</v>
      </c>
      <c r="AD38" s="4">
        <v>50</v>
      </c>
      <c r="AE38" s="11">
        <f>VLOOKUP(AD38,[1]المرجع!$B$3:$C$12,2)</f>
        <v>2</v>
      </c>
      <c r="AF38" s="8" t="str">
        <f>VLOOKUP(AE38,[1]المرجع!$D$3:$E$12,2)</f>
        <v>د</v>
      </c>
      <c r="AG38" s="10">
        <f t="shared" si="5"/>
        <v>4</v>
      </c>
      <c r="AH38" s="15">
        <v>2</v>
      </c>
      <c r="AI38" s="4">
        <v>55</v>
      </c>
      <c r="AJ38" s="11">
        <f>VLOOKUP(AI38,[1]المرجع!$B$3:$C$12,2)</f>
        <v>2</v>
      </c>
      <c r="AK38" s="8" t="str">
        <f>VLOOKUP(AJ38,[1]المرجع!$D$3:$E$12,2)</f>
        <v>د</v>
      </c>
      <c r="AL38" s="10">
        <f t="shared" si="6"/>
        <v>4</v>
      </c>
      <c r="AM38" s="15">
        <v>2</v>
      </c>
      <c r="AN38" s="4">
        <v>65</v>
      </c>
      <c r="AO38" s="11">
        <f>VLOOKUP(AN38,[1]المرجع!$B$3:$C$12,2)</f>
        <v>2.5</v>
      </c>
      <c r="AP38" s="8" t="str">
        <f>VLOOKUP(AO38,[1]المرجع!$D$3:$E$12,2)</f>
        <v>د+</v>
      </c>
      <c r="AQ38" s="10">
        <f t="shared" si="7"/>
        <v>5</v>
      </c>
      <c r="AR38" s="15">
        <v>2</v>
      </c>
      <c r="AS38" s="4">
        <v>88</v>
      </c>
      <c r="AT38" s="11">
        <f>VLOOKUP(AS38,[1]المرجع!$B$3:$C$12,2)</f>
        <v>4.5</v>
      </c>
      <c r="AU38" s="8" t="str">
        <f>VLOOKUP(AT38,[1]المرجع!$D$3:$E$12,2)</f>
        <v>ب+</v>
      </c>
      <c r="AV38" s="10">
        <f t="shared" si="8"/>
        <v>9</v>
      </c>
      <c r="AW38" s="15">
        <v>2</v>
      </c>
      <c r="AX38" s="4">
        <v>66</v>
      </c>
      <c r="AY38" s="11">
        <f>VLOOKUP(AX38,[1]المرجع!$B$3:$C$12,2)</f>
        <v>2.5</v>
      </c>
      <c r="AZ38" s="8" t="str">
        <f>VLOOKUP(AY38,[1]المرجع!$D$3:$E$12,2)</f>
        <v>د+</v>
      </c>
      <c r="BA38" s="10">
        <f t="shared" si="9"/>
        <v>5</v>
      </c>
      <c r="BB38" s="15">
        <v>2</v>
      </c>
      <c r="BC38" s="4">
        <v>65</v>
      </c>
      <c r="BD38" s="11">
        <f>VLOOKUP(BC38,[1]المرجع!$B$3:$C$12,2)</f>
        <v>2.5</v>
      </c>
      <c r="BE38" s="8" t="str">
        <f>VLOOKUP(BD38,[1]المرجع!$D$3:$E$12,2)</f>
        <v>د+</v>
      </c>
      <c r="BF38" s="10">
        <f t="shared" si="10"/>
        <v>5</v>
      </c>
      <c r="BG38" s="15">
        <v>2</v>
      </c>
      <c r="BH38" s="4">
        <v>50</v>
      </c>
      <c r="BI38" s="11">
        <f>VLOOKUP(BH38,[1]المرجع!$B$3:$C$12,2)</f>
        <v>2</v>
      </c>
      <c r="BJ38" s="8" t="str">
        <f>VLOOKUP(BI38,[1]المرجع!$D$3:$E$12,2)</f>
        <v>د</v>
      </c>
      <c r="BK38" s="10">
        <f t="shared" si="11"/>
        <v>4</v>
      </c>
      <c r="BL38" s="19">
        <f t="shared" si="12"/>
        <v>69</v>
      </c>
      <c r="BM38" s="20">
        <f t="shared" si="13"/>
        <v>23</v>
      </c>
      <c r="BN38" s="21">
        <f t="shared" si="14"/>
        <v>3</v>
      </c>
      <c r="BO38" s="18"/>
      <c r="BP38" s="23" t="str">
        <f>VLOOKUP(BN38,[1]المرجع!D$3:F$12,3)</f>
        <v xml:space="preserve">جيد </v>
      </c>
      <c r="BQ38" s="22">
        <f t="shared" si="15"/>
        <v>36</v>
      </c>
    </row>
    <row r="39" spans="2:69" ht="23.5">
      <c r="B39" s="1">
        <v>2024195</v>
      </c>
      <c r="C39" s="3" t="s">
        <v>50</v>
      </c>
      <c r="D39" s="5">
        <v>1</v>
      </c>
      <c r="E39" s="4">
        <v>55</v>
      </c>
      <c r="F39" s="11">
        <f>VLOOKUP(E39,[1]المرجع!$B$3:$C$12,2)</f>
        <v>2</v>
      </c>
      <c r="G39" s="8" t="str">
        <f>VLOOKUP(F39,[1]المرجع!$D$3:$E$12,2)</f>
        <v>د</v>
      </c>
      <c r="H39" s="10">
        <f t="shared" si="0"/>
        <v>2</v>
      </c>
      <c r="I39" s="5">
        <v>2</v>
      </c>
      <c r="J39" s="4">
        <v>84</v>
      </c>
      <c r="K39" s="11">
        <f>VLOOKUP(J39,[1]المرجع!$B$3:$C$12,2)</f>
        <v>4</v>
      </c>
      <c r="L39" s="8" t="str">
        <f>VLOOKUP(K39,[1]المرجع!$D$3:$E$12,2)</f>
        <v>ب</v>
      </c>
      <c r="M39" s="10">
        <f t="shared" si="1"/>
        <v>8</v>
      </c>
      <c r="N39" s="15">
        <v>2</v>
      </c>
      <c r="O39" s="4">
        <v>57</v>
      </c>
      <c r="P39" s="11">
        <f>VLOOKUP(O39,[1]المرجع!$B$3:$C$12,2)</f>
        <v>2</v>
      </c>
      <c r="Q39" s="8" t="str">
        <f>VLOOKUP(P39,[1]المرجع!$D$3:$E$12,2)</f>
        <v>د</v>
      </c>
      <c r="R39" s="10">
        <f t="shared" si="2"/>
        <v>4</v>
      </c>
      <c r="S39" s="15">
        <v>2</v>
      </c>
      <c r="T39" s="4">
        <v>84</v>
      </c>
      <c r="U39" s="11">
        <f>VLOOKUP(T39,[1]المرجع!$B$3:$C$12,2)</f>
        <v>4</v>
      </c>
      <c r="V39" s="8" t="str">
        <f>VLOOKUP(U39,[1]المرجع!$D$3:$E$12,2)</f>
        <v>ب</v>
      </c>
      <c r="W39" s="10">
        <f t="shared" si="3"/>
        <v>8</v>
      </c>
      <c r="X39" s="15">
        <v>2</v>
      </c>
      <c r="Y39" s="4">
        <v>81</v>
      </c>
      <c r="Z39" s="11">
        <f>VLOOKUP(Y39,[1]المرجع!$B$3:$C$12,2)</f>
        <v>4</v>
      </c>
      <c r="AA39" s="8" t="str">
        <f>VLOOKUP(Z39,[1]المرجع!$D$3:$E$12,2)</f>
        <v>ب</v>
      </c>
      <c r="AB39" s="10">
        <f t="shared" si="4"/>
        <v>8</v>
      </c>
      <c r="AC39" s="15">
        <v>2</v>
      </c>
      <c r="AD39" s="4">
        <v>42</v>
      </c>
      <c r="AE39" s="11">
        <f>VLOOKUP(AD39,[1]المرجع!$B$3:$C$12,2)</f>
        <v>0</v>
      </c>
      <c r="AF39" s="8" t="str">
        <f>VLOOKUP(AE39,[1]المرجع!$D$3:$E$12,2)</f>
        <v>ه</v>
      </c>
      <c r="AG39" s="10">
        <f t="shared" si="5"/>
        <v>0</v>
      </c>
      <c r="AH39" s="15">
        <v>2</v>
      </c>
      <c r="AI39" s="4">
        <v>80</v>
      </c>
      <c r="AJ39" s="11">
        <f>VLOOKUP(AI39,[1]المرجع!$B$3:$C$12,2)</f>
        <v>4</v>
      </c>
      <c r="AK39" s="8" t="str">
        <f>VLOOKUP(AJ39,[1]المرجع!$D$3:$E$12,2)</f>
        <v>ب</v>
      </c>
      <c r="AL39" s="10">
        <f t="shared" si="6"/>
        <v>8</v>
      </c>
      <c r="AM39" s="15">
        <v>2</v>
      </c>
      <c r="AN39" s="4">
        <v>95</v>
      </c>
      <c r="AO39" s="11">
        <f>VLOOKUP(AN39,[1]المرجع!$B$3:$C$12,2)</f>
        <v>5</v>
      </c>
      <c r="AP39" s="8" t="str">
        <f>VLOOKUP(AO39,[1]المرجع!$D$3:$E$12,2)</f>
        <v xml:space="preserve">أ+ </v>
      </c>
      <c r="AQ39" s="10">
        <f t="shared" si="7"/>
        <v>10</v>
      </c>
      <c r="AR39" s="15">
        <v>2</v>
      </c>
      <c r="AS39" s="4">
        <v>70</v>
      </c>
      <c r="AT39" s="11">
        <f>VLOOKUP(AS39,[1]المرجع!$B$3:$C$12,2)</f>
        <v>3</v>
      </c>
      <c r="AU39" s="8" t="str">
        <f>VLOOKUP(AT39,[1]المرجع!$D$3:$E$12,2)</f>
        <v>ج</v>
      </c>
      <c r="AV39" s="10">
        <f t="shared" si="8"/>
        <v>6</v>
      </c>
      <c r="AW39" s="15">
        <v>2</v>
      </c>
      <c r="AX39" s="4">
        <v>54</v>
      </c>
      <c r="AY39" s="11">
        <f>VLOOKUP(AX39,[1]المرجع!$B$3:$C$12,2)</f>
        <v>2</v>
      </c>
      <c r="AZ39" s="8" t="str">
        <f>VLOOKUP(AY39,[1]المرجع!$D$3:$E$12,2)</f>
        <v>د</v>
      </c>
      <c r="BA39" s="10">
        <f t="shared" si="9"/>
        <v>4</v>
      </c>
      <c r="BB39" s="15">
        <v>2</v>
      </c>
      <c r="BC39" s="4">
        <v>67</v>
      </c>
      <c r="BD39" s="11">
        <f>VLOOKUP(BC39,[1]المرجع!$B$3:$C$12,2)</f>
        <v>2.5</v>
      </c>
      <c r="BE39" s="8" t="str">
        <f>VLOOKUP(BD39,[1]المرجع!$D$3:$E$12,2)</f>
        <v>د+</v>
      </c>
      <c r="BF39" s="10">
        <f t="shared" si="10"/>
        <v>5</v>
      </c>
      <c r="BG39" s="15">
        <v>2</v>
      </c>
      <c r="BH39" s="4">
        <v>55</v>
      </c>
      <c r="BI39" s="11">
        <f>VLOOKUP(BH39,[1]المرجع!$B$3:$C$12,2)</f>
        <v>2</v>
      </c>
      <c r="BJ39" s="8" t="str">
        <f>VLOOKUP(BI39,[1]المرجع!$D$3:$E$12,2)</f>
        <v>د</v>
      </c>
      <c r="BK39" s="10">
        <f t="shared" si="11"/>
        <v>4</v>
      </c>
      <c r="BL39" s="19">
        <f t="shared" si="12"/>
        <v>67</v>
      </c>
      <c r="BM39" s="20">
        <f t="shared" si="13"/>
        <v>23</v>
      </c>
      <c r="BN39" s="21">
        <f t="shared" si="14"/>
        <v>2.9130434782608696</v>
      </c>
      <c r="BO39" s="18"/>
      <c r="BP39" s="23" t="str">
        <f>VLOOKUP(BN39,[1]المرجع!D$3:F$12,3)</f>
        <v xml:space="preserve">جيد </v>
      </c>
      <c r="BQ39" s="22">
        <f t="shared" si="15"/>
        <v>38</v>
      </c>
    </row>
    <row r="40" spans="2:69" ht="23.5">
      <c r="B40" s="1">
        <v>2024204</v>
      </c>
      <c r="C40" s="3" t="s">
        <v>51</v>
      </c>
      <c r="D40" s="5">
        <v>1</v>
      </c>
      <c r="E40" s="4">
        <v>69</v>
      </c>
      <c r="F40" s="11">
        <f>VLOOKUP(E40,[1]المرجع!$B$3:$C$12,2)</f>
        <v>2.5</v>
      </c>
      <c r="G40" s="8" t="str">
        <f>VLOOKUP(F40,[1]المرجع!$D$3:$E$12,2)</f>
        <v>د+</v>
      </c>
      <c r="H40" s="10">
        <f t="shared" si="0"/>
        <v>2.5</v>
      </c>
      <c r="I40" s="5">
        <v>2</v>
      </c>
      <c r="J40" s="4">
        <v>83</v>
      </c>
      <c r="K40" s="11">
        <f>VLOOKUP(J40,[1]المرجع!$B$3:$C$12,2)</f>
        <v>4</v>
      </c>
      <c r="L40" s="8" t="str">
        <f>VLOOKUP(K40,[1]المرجع!$D$3:$E$12,2)</f>
        <v>ب</v>
      </c>
      <c r="M40" s="10">
        <f t="shared" si="1"/>
        <v>8</v>
      </c>
      <c r="N40" s="15">
        <v>2</v>
      </c>
      <c r="O40" s="4">
        <v>66</v>
      </c>
      <c r="P40" s="11">
        <f>VLOOKUP(O40,[1]المرجع!$B$3:$C$12,2)</f>
        <v>2.5</v>
      </c>
      <c r="Q40" s="8" t="str">
        <f>VLOOKUP(P40,[1]المرجع!$D$3:$E$12,2)</f>
        <v>د+</v>
      </c>
      <c r="R40" s="10">
        <f t="shared" si="2"/>
        <v>5</v>
      </c>
      <c r="S40" s="15">
        <v>2</v>
      </c>
      <c r="T40" s="4">
        <v>70</v>
      </c>
      <c r="U40" s="11">
        <f>VLOOKUP(T40,[1]المرجع!$B$3:$C$12,2)</f>
        <v>3</v>
      </c>
      <c r="V40" s="8" t="str">
        <f>VLOOKUP(U40,[1]المرجع!$D$3:$E$12,2)</f>
        <v>ج</v>
      </c>
      <c r="W40" s="10">
        <f t="shared" si="3"/>
        <v>6</v>
      </c>
      <c r="X40" s="15">
        <v>2</v>
      </c>
      <c r="Y40" s="4">
        <v>87</v>
      </c>
      <c r="Z40" s="11">
        <f>VLOOKUP(Y40,[1]المرجع!$B$3:$C$12,2)</f>
        <v>4.5</v>
      </c>
      <c r="AA40" s="8" t="str">
        <f>VLOOKUP(Z40,[1]المرجع!$D$3:$E$12,2)</f>
        <v>ب+</v>
      </c>
      <c r="AB40" s="10">
        <f t="shared" si="4"/>
        <v>9</v>
      </c>
      <c r="AC40" s="15">
        <v>2</v>
      </c>
      <c r="AD40" s="4">
        <v>50</v>
      </c>
      <c r="AE40" s="11">
        <f>VLOOKUP(AD40,[1]المرجع!$B$3:$C$12,2)</f>
        <v>2</v>
      </c>
      <c r="AF40" s="8" t="str">
        <f>VLOOKUP(AE40,[1]المرجع!$D$3:$E$12,2)</f>
        <v>د</v>
      </c>
      <c r="AG40" s="10">
        <f t="shared" si="5"/>
        <v>4</v>
      </c>
      <c r="AH40" s="15">
        <v>2</v>
      </c>
      <c r="AI40" s="4">
        <v>50</v>
      </c>
      <c r="AJ40" s="11">
        <f>VLOOKUP(AI40,[1]المرجع!$B$3:$C$12,2)</f>
        <v>2</v>
      </c>
      <c r="AK40" s="8" t="str">
        <f>VLOOKUP(AJ40,[1]المرجع!$D$3:$E$12,2)</f>
        <v>د</v>
      </c>
      <c r="AL40" s="10">
        <f t="shared" si="6"/>
        <v>4</v>
      </c>
      <c r="AM40" s="15">
        <v>2</v>
      </c>
      <c r="AN40" s="4">
        <v>58</v>
      </c>
      <c r="AO40" s="11">
        <f>VLOOKUP(AN40,[1]المرجع!$B$3:$C$12,2)</f>
        <v>2</v>
      </c>
      <c r="AP40" s="8" t="str">
        <f>VLOOKUP(AO40,[1]المرجع!$D$3:$E$12,2)</f>
        <v>د</v>
      </c>
      <c r="AQ40" s="10">
        <f t="shared" si="7"/>
        <v>4</v>
      </c>
      <c r="AR40" s="15">
        <v>2</v>
      </c>
      <c r="AS40" s="4">
        <v>75</v>
      </c>
      <c r="AT40" s="11">
        <f>VLOOKUP(AS40,[1]المرجع!$B$3:$C$12,2)</f>
        <v>3.5</v>
      </c>
      <c r="AU40" s="8" t="str">
        <f>VLOOKUP(AT40,[1]المرجع!$D$3:$E$12,2)</f>
        <v>ج+</v>
      </c>
      <c r="AV40" s="10">
        <f t="shared" si="8"/>
        <v>7</v>
      </c>
      <c r="AW40" s="15">
        <v>2</v>
      </c>
      <c r="AX40" s="4">
        <v>71</v>
      </c>
      <c r="AY40" s="11">
        <f>VLOOKUP(AX40,[1]المرجع!$B$3:$C$12,2)</f>
        <v>3</v>
      </c>
      <c r="AZ40" s="8" t="str">
        <f>VLOOKUP(AY40,[1]المرجع!$D$3:$E$12,2)</f>
        <v>ج</v>
      </c>
      <c r="BA40" s="10">
        <f t="shared" si="9"/>
        <v>6</v>
      </c>
      <c r="BB40" s="15">
        <v>2</v>
      </c>
      <c r="BC40" s="4">
        <v>68</v>
      </c>
      <c r="BD40" s="11">
        <f>VLOOKUP(BC40,[1]المرجع!$B$3:$C$12,2)</f>
        <v>2.5</v>
      </c>
      <c r="BE40" s="8" t="str">
        <f>VLOOKUP(BD40,[1]المرجع!$D$3:$E$12,2)</f>
        <v>د+</v>
      </c>
      <c r="BF40" s="10">
        <f t="shared" si="10"/>
        <v>5</v>
      </c>
      <c r="BG40" s="15">
        <v>2</v>
      </c>
      <c r="BH40" s="4">
        <v>92</v>
      </c>
      <c r="BI40" s="11">
        <f>VLOOKUP(BH40,[1]المرجع!$B$3:$C$12,2)</f>
        <v>4.75</v>
      </c>
      <c r="BJ40" s="8" t="str">
        <f>VLOOKUP(BI40,[1]المرجع!$D$3:$E$12,2)</f>
        <v>أ</v>
      </c>
      <c r="BK40" s="10">
        <f t="shared" si="11"/>
        <v>9.5</v>
      </c>
      <c r="BL40" s="19">
        <f t="shared" si="12"/>
        <v>70</v>
      </c>
      <c r="BM40" s="20">
        <f t="shared" si="13"/>
        <v>23</v>
      </c>
      <c r="BN40" s="21">
        <f t="shared" si="14"/>
        <v>3.0434782608695654</v>
      </c>
      <c r="BO40" s="18"/>
      <c r="BP40" s="23" t="str">
        <f>VLOOKUP(BN40,[1]المرجع!D$3:F$12,3)</f>
        <v xml:space="preserve">جيد </v>
      </c>
      <c r="BQ40" s="22">
        <f t="shared" si="15"/>
        <v>34</v>
      </c>
    </row>
    <row r="41" spans="2:69" ht="23.5">
      <c r="B41" s="1">
        <v>2024190</v>
      </c>
      <c r="C41" s="3" t="s">
        <v>52</v>
      </c>
      <c r="D41" s="5">
        <v>1</v>
      </c>
      <c r="E41" s="4">
        <v>87</v>
      </c>
      <c r="F41" s="11">
        <f>VLOOKUP(E41,[1]المرجع!$B$3:$C$12,2)</f>
        <v>4.5</v>
      </c>
      <c r="G41" s="8" t="str">
        <f>VLOOKUP(F41,[1]المرجع!$D$3:$E$12,2)</f>
        <v>ب+</v>
      </c>
      <c r="H41" s="10">
        <f t="shared" si="0"/>
        <v>4.5</v>
      </c>
      <c r="I41" s="5">
        <v>2</v>
      </c>
      <c r="J41" s="4">
        <v>94</v>
      </c>
      <c r="K41" s="11">
        <f>VLOOKUP(J41,[1]المرجع!$B$3:$C$12,2)</f>
        <v>4.75</v>
      </c>
      <c r="L41" s="8" t="str">
        <f>VLOOKUP(K41,[1]المرجع!$D$3:$E$12,2)</f>
        <v>أ</v>
      </c>
      <c r="M41" s="10">
        <f t="shared" si="1"/>
        <v>9.5</v>
      </c>
      <c r="N41" s="15">
        <v>2</v>
      </c>
      <c r="O41" s="4">
        <v>44</v>
      </c>
      <c r="P41" s="11">
        <f>VLOOKUP(O41,[1]المرجع!$B$3:$C$12,2)</f>
        <v>0</v>
      </c>
      <c r="Q41" s="8" t="str">
        <f>VLOOKUP(P41,[1]المرجع!$D$3:$E$12,2)</f>
        <v>ه</v>
      </c>
      <c r="R41" s="10">
        <f t="shared" si="2"/>
        <v>0</v>
      </c>
      <c r="S41" s="15">
        <v>2</v>
      </c>
      <c r="T41" s="4">
        <v>80</v>
      </c>
      <c r="U41" s="11">
        <f>VLOOKUP(T41,[1]المرجع!$B$3:$C$12,2)</f>
        <v>4</v>
      </c>
      <c r="V41" s="8" t="str">
        <f>VLOOKUP(U41,[1]المرجع!$D$3:$E$12,2)</f>
        <v>ب</v>
      </c>
      <c r="W41" s="10">
        <f t="shared" si="3"/>
        <v>8</v>
      </c>
      <c r="X41" s="15">
        <v>2</v>
      </c>
      <c r="Y41" s="4">
        <v>66</v>
      </c>
      <c r="Z41" s="11">
        <f>VLOOKUP(Y41,[1]المرجع!$B$3:$C$12,2)</f>
        <v>2.5</v>
      </c>
      <c r="AA41" s="8" t="str">
        <f>VLOOKUP(Z41,[1]المرجع!$D$3:$E$12,2)</f>
        <v>د+</v>
      </c>
      <c r="AB41" s="10">
        <f t="shared" si="4"/>
        <v>5</v>
      </c>
      <c r="AC41" s="15">
        <v>2</v>
      </c>
      <c r="AD41" s="4">
        <v>25</v>
      </c>
      <c r="AE41" s="11">
        <f>VLOOKUP(AD41,[1]المرجع!$B$3:$C$12,2)</f>
        <v>0</v>
      </c>
      <c r="AF41" s="8" t="str">
        <f>VLOOKUP(AE41,[1]المرجع!$D$3:$E$12,2)</f>
        <v>ه</v>
      </c>
      <c r="AG41" s="10">
        <f t="shared" si="5"/>
        <v>0</v>
      </c>
      <c r="AH41" s="15">
        <v>2</v>
      </c>
      <c r="AI41" s="4">
        <v>90</v>
      </c>
      <c r="AJ41" s="11">
        <f>VLOOKUP(AI41,[1]المرجع!$B$3:$C$12,2)</f>
        <v>4.75</v>
      </c>
      <c r="AK41" s="8" t="str">
        <f>VLOOKUP(AJ41,[1]المرجع!$D$3:$E$12,2)</f>
        <v>أ</v>
      </c>
      <c r="AL41" s="10">
        <f t="shared" si="6"/>
        <v>9.5</v>
      </c>
      <c r="AM41" s="15">
        <v>2</v>
      </c>
      <c r="AN41" s="4">
        <v>60</v>
      </c>
      <c r="AO41" s="11">
        <f>VLOOKUP(AN41,[1]المرجع!$B$3:$C$12,2)</f>
        <v>2</v>
      </c>
      <c r="AP41" s="8" t="str">
        <f>VLOOKUP(AO41,[1]المرجع!$D$3:$E$12,2)</f>
        <v>د</v>
      </c>
      <c r="AQ41" s="10">
        <f t="shared" si="7"/>
        <v>4</v>
      </c>
      <c r="AR41" s="15">
        <v>2</v>
      </c>
      <c r="AS41" s="4">
        <v>55</v>
      </c>
      <c r="AT41" s="11">
        <f>VLOOKUP(AS41,[1]المرجع!$B$3:$C$12,2)</f>
        <v>2</v>
      </c>
      <c r="AU41" s="8" t="str">
        <f>VLOOKUP(AT41,[1]المرجع!$D$3:$E$12,2)</f>
        <v>د</v>
      </c>
      <c r="AV41" s="10">
        <f t="shared" si="8"/>
        <v>4</v>
      </c>
      <c r="AW41" s="15">
        <v>2</v>
      </c>
      <c r="AX41" s="4">
        <v>75</v>
      </c>
      <c r="AY41" s="11">
        <f>VLOOKUP(AX41,[1]المرجع!$B$3:$C$12,2)</f>
        <v>3.5</v>
      </c>
      <c r="AZ41" s="8" t="str">
        <f>VLOOKUP(AY41,[1]المرجع!$D$3:$E$12,2)</f>
        <v>ج+</v>
      </c>
      <c r="BA41" s="10">
        <f t="shared" si="9"/>
        <v>7</v>
      </c>
      <c r="BB41" s="15">
        <v>2</v>
      </c>
      <c r="BC41" s="4">
        <v>70</v>
      </c>
      <c r="BD41" s="11">
        <f>VLOOKUP(BC41,[1]المرجع!$B$3:$C$12,2)</f>
        <v>3</v>
      </c>
      <c r="BE41" s="8" t="str">
        <f>VLOOKUP(BD41,[1]المرجع!$D$3:$E$12,2)</f>
        <v>ج</v>
      </c>
      <c r="BF41" s="10">
        <f t="shared" si="10"/>
        <v>6</v>
      </c>
      <c r="BG41" s="15">
        <v>2</v>
      </c>
      <c r="BH41" s="4">
        <v>76</v>
      </c>
      <c r="BI41" s="11">
        <f>VLOOKUP(BH41,[1]المرجع!$B$3:$C$12,2)</f>
        <v>3.5</v>
      </c>
      <c r="BJ41" s="8" t="str">
        <f>VLOOKUP(BI41,[1]المرجع!$D$3:$E$12,2)</f>
        <v>ج+</v>
      </c>
      <c r="BK41" s="10">
        <f t="shared" si="11"/>
        <v>7</v>
      </c>
      <c r="BL41" s="19">
        <f t="shared" si="12"/>
        <v>64.5</v>
      </c>
      <c r="BM41" s="20">
        <f t="shared" si="13"/>
        <v>23</v>
      </c>
      <c r="BN41" s="21">
        <f t="shared" si="14"/>
        <v>2.8043478260869565</v>
      </c>
      <c r="BO41" s="18"/>
      <c r="BP41" s="23" t="str">
        <f>VLOOKUP(BN41,[1]المرجع!D$3:F$12,3)</f>
        <v xml:space="preserve">جيد </v>
      </c>
      <c r="BQ41" s="22">
        <f t="shared" si="15"/>
        <v>41</v>
      </c>
    </row>
    <row r="42" spans="2:69" ht="23.5">
      <c r="B42" s="1">
        <v>2024182</v>
      </c>
      <c r="C42" s="3" t="s">
        <v>53</v>
      </c>
      <c r="D42" s="5">
        <v>1</v>
      </c>
      <c r="E42" s="4">
        <v>60</v>
      </c>
      <c r="F42" s="11">
        <f>VLOOKUP(E42,[1]المرجع!$B$3:$C$12,2)</f>
        <v>2</v>
      </c>
      <c r="G42" s="8" t="str">
        <f>VLOOKUP(F42,[1]المرجع!$D$3:$E$12,2)</f>
        <v>د</v>
      </c>
      <c r="H42" s="10">
        <f t="shared" si="0"/>
        <v>2</v>
      </c>
      <c r="I42" s="5">
        <v>2</v>
      </c>
      <c r="J42" s="4">
        <v>71</v>
      </c>
      <c r="K42" s="11">
        <f>VLOOKUP(J42,[1]المرجع!$B$3:$C$12,2)</f>
        <v>3</v>
      </c>
      <c r="L42" s="8" t="str">
        <f>VLOOKUP(K42,[1]المرجع!$D$3:$E$12,2)</f>
        <v>ج</v>
      </c>
      <c r="M42" s="10">
        <f t="shared" si="1"/>
        <v>6</v>
      </c>
      <c r="N42" s="15">
        <v>2</v>
      </c>
      <c r="O42" s="4">
        <v>74</v>
      </c>
      <c r="P42" s="11">
        <f>VLOOKUP(O42,[1]المرجع!$B$3:$C$12,2)</f>
        <v>3</v>
      </c>
      <c r="Q42" s="8" t="str">
        <f>VLOOKUP(P42,[1]المرجع!$D$3:$E$12,2)</f>
        <v>ج</v>
      </c>
      <c r="R42" s="10">
        <f t="shared" si="2"/>
        <v>6</v>
      </c>
      <c r="S42" s="15">
        <v>2</v>
      </c>
      <c r="T42" s="4">
        <v>85</v>
      </c>
      <c r="U42" s="11">
        <f>VLOOKUP(T42,[1]المرجع!$B$3:$C$12,2)</f>
        <v>4.5</v>
      </c>
      <c r="V42" s="8" t="str">
        <f>VLOOKUP(U42,[1]المرجع!$D$3:$E$12,2)</f>
        <v>ب+</v>
      </c>
      <c r="W42" s="10">
        <f t="shared" si="3"/>
        <v>9</v>
      </c>
      <c r="X42" s="15">
        <v>2</v>
      </c>
      <c r="Y42" s="4">
        <v>52</v>
      </c>
      <c r="Z42" s="11">
        <f>VLOOKUP(Y42,[1]المرجع!$B$3:$C$12,2)</f>
        <v>2</v>
      </c>
      <c r="AA42" s="8" t="str">
        <f>VLOOKUP(Z42,[1]المرجع!$D$3:$E$12,2)</f>
        <v>د</v>
      </c>
      <c r="AB42" s="10">
        <f t="shared" si="4"/>
        <v>4</v>
      </c>
      <c r="AC42" s="15">
        <v>2</v>
      </c>
      <c r="AD42" s="4">
        <v>50</v>
      </c>
      <c r="AE42" s="11">
        <f>VLOOKUP(AD42,[1]المرجع!$B$3:$C$12,2)</f>
        <v>2</v>
      </c>
      <c r="AF42" s="8" t="str">
        <f>VLOOKUP(AE42,[1]المرجع!$D$3:$E$12,2)</f>
        <v>د</v>
      </c>
      <c r="AG42" s="10">
        <f t="shared" si="5"/>
        <v>4</v>
      </c>
      <c r="AH42" s="15">
        <v>2</v>
      </c>
      <c r="AI42" s="4">
        <v>93</v>
      </c>
      <c r="AJ42" s="11">
        <f>VLOOKUP(AI42,[1]المرجع!$B$3:$C$12,2)</f>
        <v>4.75</v>
      </c>
      <c r="AK42" s="8" t="str">
        <f>VLOOKUP(AJ42,[1]المرجع!$D$3:$E$12,2)</f>
        <v>أ</v>
      </c>
      <c r="AL42" s="10">
        <f t="shared" si="6"/>
        <v>9.5</v>
      </c>
      <c r="AM42" s="15">
        <v>2</v>
      </c>
      <c r="AN42" s="4">
        <v>60</v>
      </c>
      <c r="AO42" s="11">
        <f>VLOOKUP(AN42,[1]المرجع!$B$3:$C$12,2)</f>
        <v>2</v>
      </c>
      <c r="AP42" s="8" t="str">
        <f>VLOOKUP(AO42,[1]المرجع!$D$3:$E$12,2)</f>
        <v>د</v>
      </c>
      <c r="AQ42" s="10">
        <f t="shared" si="7"/>
        <v>4</v>
      </c>
      <c r="AR42" s="15">
        <v>2</v>
      </c>
      <c r="AS42" s="4">
        <v>90</v>
      </c>
      <c r="AT42" s="11">
        <f>VLOOKUP(AS42,[1]المرجع!$B$3:$C$12,2)</f>
        <v>4.75</v>
      </c>
      <c r="AU42" s="8" t="str">
        <f>VLOOKUP(AT42,[1]المرجع!$D$3:$E$12,2)</f>
        <v>أ</v>
      </c>
      <c r="AV42" s="10">
        <f t="shared" si="8"/>
        <v>9.5</v>
      </c>
      <c r="AW42" s="15">
        <v>2</v>
      </c>
      <c r="AX42" s="4">
        <v>60</v>
      </c>
      <c r="AY42" s="11">
        <f>VLOOKUP(AX42,[1]المرجع!$B$3:$C$12,2)</f>
        <v>2</v>
      </c>
      <c r="AZ42" s="8" t="str">
        <f>VLOOKUP(AY42,[1]المرجع!$D$3:$E$12,2)</f>
        <v>د</v>
      </c>
      <c r="BA42" s="10">
        <f t="shared" si="9"/>
        <v>4</v>
      </c>
      <c r="BB42" s="15">
        <v>2</v>
      </c>
      <c r="BC42" s="4">
        <v>60</v>
      </c>
      <c r="BD42" s="11">
        <f>VLOOKUP(BC42,[1]المرجع!$B$3:$C$12,2)</f>
        <v>2</v>
      </c>
      <c r="BE42" s="8" t="str">
        <f>VLOOKUP(BD42,[1]المرجع!$D$3:$E$12,2)</f>
        <v>د</v>
      </c>
      <c r="BF42" s="10">
        <f t="shared" si="10"/>
        <v>4</v>
      </c>
      <c r="BG42" s="15">
        <v>2</v>
      </c>
      <c r="BH42" s="4">
        <v>54</v>
      </c>
      <c r="BI42" s="11">
        <f>VLOOKUP(BH42,[1]المرجع!$B$3:$C$12,2)</f>
        <v>2</v>
      </c>
      <c r="BJ42" s="8" t="str">
        <f>VLOOKUP(BI42,[1]المرجع!$D$3:$E$12,2)</f>
        <v>د</v>
      </c>
      <c r="BK42" s="10">
        <f t="shared" si="11"/>
        <v>4</v>
      </c>
      <c r="BL42" s="19">
        <f t="shared" si="12"/>
        <v>66</v>
      </c>
      <c r="BM42" s="20">
        <f t="shared" si="13"/>
        <v>23</v>
      </c>
      <c r="BN42" s="21">
        <f t="shared" si="14"/>
        <v>2.8695652173913042</v>
      </c>
      <c r="BO42" s="18"/>
      <c r="BP42" s="23" t="str">
        <f>VLOOKUP(BN42,[1]المرجع!D$3:F$12,3)</f>
        <v xml:space="preserve">جيد </v>
      </c>
      <c r="BQ42" s="22">
        <f t="shared" si="15"/>
        <v>39</v>
      </c>
    </row>
    <row r="43" spans="2:69" ht="23.5">
      <c r="B43" s="1">
        <v>2024177</v>
      </c>
      <c r="C43" s="3" t="s">
        <v>54</v>
      </c>
      <c r="D43" s="5">
        <v>1</v>
      </c>
      <c r="E43" s="4">
        <v>60</v>
      </c>
      <c r="F43" s="11">
        <f>VLOOKUP(E43,[1]المرجع!$B$3:$C$12,2)</f>
        <v>2</v>
      </c>
      <c r="G43" s="8" t="str">
        <f>VLOOKUP(F43,[1]المرجع!$D$3:$E$12,2)</f>
        <v>د</v>
      </c>
      <c r="H43" s="10">
        <f t="shared" si="0"/>
        <v>2</v>
      </c>
      <c r="I43" s="5">
        <v>2</v>
      </c>
      <c r="J43" s="4">
        <v>70</v>
      </c>
      <c r="K43" s="11">
        <f>VLOOKUP(J43,[1]المرجع!$B$3:$C$12,2)</f>
        <v>3</v>
      </c>
      <c r="L43" s="8" t="str">
        <f>VLOOKUP(K43,[1]المرجع!$D$3:$E$12,2)</f>
        <v>ج</v>
      </c>
      <c r="M43" s="10">
        <f t="shared" si="1"/>
        <v>6</v>
      </c>
      <c r="N43" s="15">
        <v>2</v>
      </c>
      <c r="O43" s="4">
        <v>79</v>
      </c>
      <c r="P43" s="11">
        <f>VLOOKUP(O43,[1]المرجع!$B$3:$C$12,2)</f>
        <v>3.5</v>
      </c>
      <c r="Q43" s="8" t="str">
        <f>VLOOKUP(P43,[1]المرجع!$D$3:$E$12,2)</f>
        <v>ج+</v>
      </c>
      <c r="R43" s="10">
        <f t="shared" si="2"/>
        <v>7</v>
      </c>
      <c r="S43" s="15">
        <v>2</v>
      </c>
      <c r="T43" s="4">
        <v>81</v>
      </c>
      <c r="U43" s="11">
        <f>VLOOKUP(T43,[1]المرجع!$B$3:$C$12,2)</f>
        <v>4</v>
      </c>
      <c r="V43" s="8" t="str">
        <f>VLOOKUP(U43,[1]المرجع!$D$3:$E$12,2)</f>
        <v>ب</v>
      </c>
      <c r="W43" s="10">
        <f t="shared" si="3"/>
        <v>8</v>
      </c>
      <c r="X43" s="15">
        <v>2</v>
      </c>
      <c r="Y43" s="4">
        <v>76</v>
      </c>
      <c r="Z43" s="11">
        <f>VLOOKUP(Y43,[1]المرجع!$B$3:$C$12,2)</f>
        <v>3.5</v>
      </c>
      <c r="AA43" s="8" t="str">
        <f>VLOOKUP(Z43,[1]المرجع!$D$3:$E$12,2)</f>
        <v>ج+</v>
      </c>
      <c r="AB43" s="10">
        <f t="shared" si="4"/>
        <v>7</v>
      </c>
      <c r="AC43" s="15">
        <v>2</v>
      </c>
      <c r="AD43" s="4">
        <v>26</v>
      </c>
      <c r="AE43" s="11">
        <f>VLOOKUP(AD43,[1]المرجع!$B$3:$C$12,2)</f>
        <v>0</v>
      </c>
      <c r="AF43" s="8" t="str">
        <f>VLOOKUP(AE43,[1]المرجع!$D$3:$E$12,2)</f>
        <v>ه</v>
      </c>
      <c r="AG43" s="10">
        <f t="shared" si="5"/>
        <v>0</v>
      </c>
      <c r="AH43" s="15">
        <v>2</v>
      </c>
      <c r="AI43" s="4">
        <v>65</v>
      </c>
      <c r="AJ43" s="11">
        <f>VLOOKUP(AI43,[1]المرجع!$B$3:$C$12,2)</f>
        <v>2.5</v>
      </c>
      <c r="AK43" s="8" t="str">
        <f>VLOOKUP(AJ43,[1]المرجع!$D$3:$E$12,2)</f>
        <v>د+</v>
      </c>
      <c r="AL43" s="10">
        <f t="shared" si="6"/>
        <v>5</v>
      </c>
      <c r="AM43" s="15">
        <v>2</v>
      </c>
      <c r="AN43" s="4">
        <v>60</v>
      </c>
      <c r="AO43" s="11">
        <f>VLOOKUP(AN43,[1]المرجع!$B$3:$C$12,2)</f>
        <v>2</v>
      </c>
      <c r="AP43" s="8" t="str">
        <f>VLOOKUP(AO43,[1]المرجع!$D$3:$E$12,2)</f>
        <v>د</v>
      </c>
      <c r="AQ43" s="10">
        <f t="shared" si="7"/>
        <v>4</v>
      </c>
      <c r="AR43" s="15">
        <v>2</v>
      </c>
      <c r="AS43" s="4">
        <v>98</v>
      </c>
      <c r="AT43" s="11">
        <f>VLOOKUP(AS43,[1]المرجع!$B$3:$C$12,2)</f>
        <v>5</v>
      </c>
      <c r="AU43" s="8" t="str">
        <f>VLOOKUP(AT43,[1]المرجع!$D$3:$E$12,2)</f>
        <v xml:space="preserve">أ+ </v>
      </c>
      <c r="AV43" s="10">
        <f t="shared" si="8"/>
        <v>10</v>
      </c>
      <c r="AW43" s="15">
        <v>2</v>
      </c>
      <c r="AX43" s="4">
        <v>65</v>
      </c>
      <c r="AY43" s="11">
        <f>VLOOKUP(AX43,[1]المرجع!$B$3:$C$12,2)</f>
        <v>2.5</v>
      </c>
      <c r="AZ43" s="8" t="str">
        <f>VLOOKUP(AY43,[1]المرجع!$D$3:$E$12,2)</f>
        <v>د+</v>
      </c>
      <c r="BA43" s="10">
        <f t="shared" si="9"/>
        <v>5</v>
      </c>
      <c r="BB43" s="15">
        <v>2</v>
      </c>
      <c r="BC43" s="4">
        <v>60</v>
      </c>
      <c r="BD43" s="11">
        <f>VLOOKUP(BC43,[1]المرجع!$B$3:$C$12,2)</f>
        <v>2</v>
      </c>
      <c r="BE43" s="8" t="str">
        <f>VLOOKUP(BD43,[1]المرجع!$D$3:$E$12,2)</f>
        <v>د</v>
      </c>
      <c r="BF43" s="10">
        <f t="shared" si="10"/>
        <v>4</v>
      </c>
      <c r="BG43" s="15">
        <v>2</v>
      </c>
      <c r="BH43" s="4">
        <v>75</v>
      </c>
      <c r="BI43" s="11">
        <f>VLOOKUP(BH43,[1]المرجع!$B$3:$C$12,2)</f>
        <v>3.5</v>
      </c>
      <c r="BJ43" s="8" t="str">
        <f>VLOOKUP(BI43,[1]المرجع!$D$3:$E$12,2)</f>
        <v>ج+</v>
      </c>
      <c r="BK43" s="10">
        <f t="shared" si="11"/>
        <v>7</v>
      </c>
      <c r="BL43" s="19">
        <f t="shared" si="12"/>
        <v>65</v>
      </c>
      <c r="BM43" s="20">
        <f t="shared" si="13"/>
        <v>23</v>
      </c>
      <c r="BN43" s="21">
        <f t="shared" si="14"/>
        <v>2.8260869565217392</v>
      </c>
      <c r="BO43" s="18"/>
      <c r="BP43" s="23" t="str">
        <f>VLOOKUP(BN43,[1]المرجع!D$3:F$12,3)</f>
        <v xml:space="preserve">جيد </v>
      </c>
      <c r="BQ43" s="22">
        <f t="shared" si="15"/>
        <v>40</v>
      </c>
    </row>
    <row r="44" spans="2:69" ht="23.5">
      <c r="B44" s="1">
        <v>2024200</v>
      </c>
      <c r="C44" s="3" t="s">
        <v>55</v>
      </c>
      <c r="D44" s="5">
        <v>1</v>
      </c>
      <c r="E44" s="4">
        <v>78</v>
      </c>
      <c r="F44" s="11">
        <f>VLOOKUP(E44,[1]المرجع!$B$3:$C$12,2)</f>
        <v>3.5</v>
      </c>
      <c r="G44" s="8" t="str">
        <f>VLOOKUP(F44,[1]المرجع!$D$3:$E$12,2)</f>
        <v>ج+</v>
      </c>
      <c r="H44" s="10">
        <f t="shared" si="0"/>
        <v>3.5</v>
      </c>
      <c r="I44" s="5">
        <v>2</v>
      </c>
      <c r="J44" s="4">
        <v>73</v>
      </c>
      <c r="K44" s="11">
        <f>VLOOKUP(J44,[1]المرجع!$B$3:$C$12,2)</f>
        <v>3</v>
      </c>
      <c r="L44" s="8" t="str">
        <f>VLOOKUP(K44,[1]المرجع!$D$3:$E$12,2)</f>
        <v>ج</v>
      </c>
      <c r="M44" s="10">
        <f t="shared" si="1"/>
        <v>6</v>
      </c>
      <c r="N44" s="15">
        <v>2</v>
      </c>
      <c r="O44" s="4">
        <v>52</v>
      </c>
      <c r="P44" s="11">
        <f>VLOOKUP(O44,[1]المرجع!$B$3:$C$12,2)</f>
        <v>2</v>
      </c>
      <c r="Q44" s="8" t="str">
        <f>VLOOKUP(P44,[1]المرجع!$D$3:$E$12,2)</f>
        <v>د</v>
      </c>
      <c r="R44" s="10">
        <f t="shared" si="2"/>
        <v>4</v>
      </c>
      <c r="S44" s="15">
        <v>2</v>
      </c>
      <c r="T44" s="4">
        <v>82</v>
      </c>
      <c r="U44" s="11">
        <f>VLOOKUP(T44,[1]المرجع!$B$3:$C$12,2)</f>
        <v>4</v>
      </c>
      <c r="V44" s="8" t="str">
        <f>VLOOKUP(U44,[1]المرجع!$D$3:$E$12,2)</f>
        <v>ب</v>
      </c>
      <c r="W44" s="10">
        <f t="shared" si="3"/>
        <v>8</v>
      </c>
      <c r="X44" s="15">
        <v>2</v>
      </c>
      <c r="Y44" s="4">
        <v>89</v>
      </c>
      <c r="Z44" s="11">
        <f>VLOOKUP(Y44,[1]المرجع!$B$3:$C$12,2)</f>
        <v>4.5</v>
      </c>
      <c r="AA44" s="8" t="str">
        <f>VLOOKUP(Z44,[1]المرجع!$D$3:$E$12,2)</f>
        <v>ب+</v>
      </c>
      <c r="AB44" s="10">
        <f t="shared" si="4"/>
        <v>9</v>
      </c>
      <c r="AC44" s="15">
        <v>2</v>
      </c>
      <c r="AD44" s="4">
        <v>12</v>
      </c>
      <c r="AE44" s="11">
        <f>VLOOKUP(AD44,[1]المرجع!$B$3:$C$12,2)</f>
        <v>0</v>
      </c>
      <c r="AF44" s="8" t="str">
        <f>VLOOKUP(AE44,[1]المرجع!$D$3:$E$12,2)</f>
        <v>ه</v>
      </c>
      <c r="AG44" s="10">
        <f t="shared" si="5"/>
        <v>0</v>
      </c>
      <c r="AH44" s="15">
        <v>2</v>
      </c>
      <c r="AI44" s="4">
        <v>50</v>
      </c>
      <c r="AJ44" s="11">
        <f>VLOOKUP(AI44,[1]المرجع!$B$3:$C$12,2)</f>
        <v>2</v>
      </c>
      <c r="AK44" s="8" t="str">
        <f>VLOOKUP(AJ44,[1]المرجع!$D$3:$E$12,2)</f>
        <v>د</v>
      </c>
      <c r="AL44" s="10">
        <f t="shared" si="6"/>
        <v>4</v>
      </c>
      <c r="AM44" s="15">
        <v>2</v>
      </c>
      <c r="AN44" s="4">
        <v>55</v>
      </c>
      <c r="AO44" s="11">
        <f>VLOOKUP(AN44,[1]المرجع!$B$3:$C$12,2)</f>
        <v>2</v>
      </c>
      <c r="AP44" s="8" t="str">
        <f>VLOOKUP(AO44,[1]المرجع!$D$3:$E$12,2)</f>
        <v>د</v>
      </c>
      <c r="AQ44" s="10">
        <f t="shared" si="7"/>
        <v>4</v>
      </c>
      <c r="AR44" s="15">
        <v>2</v>
      </c>
      <c r="AS44" s="4">
        <v>69</v>
      </c>
      <c r="AT44" s="11">
        <f>VLOOKUP(AS44,[1]المرجع!$B$3:$C$12,2)</f>
        <v>2.5</v>
      </c>
      <c r="AU44" s="8" t="str">
        <f>VLOOKUP(AT44,[1]المرجع!$D$3:$E$12,2)</f>
        <v>د+</v>
      </c>
      <c r="AV44" s="10">
        <f t="shared" si="8"/>
        <v>5</v>
      </c>
      <c r="AW44" s="15">
        <v>2</v>
      </c>
      <c r="AX44" s="4">
        <v>69</v>
      </c>
      <c r="AY44" s="11">
        <f>VLOOKUP(AX44,[1]المرجع!$B$3:$C$12,2)</f>
        <v>2.5</v>
      </c>
      <c r="AZ44" s="8" t="str">
        <f>VLOOKUP(AY44,[1]المرجع!$D$3:$E$12,2)</f>
        <v>د+</v>
      </c>
      <c r="BA44" s="10">
        <f t="shared" si="9"/>
        <v>5</v>
      </c>
      <c r="BB44" s="15">
        <v>2</v>
      </c>
      <c r="BC44" s="4">
        <v>75</v>
      </c>
      <c r="BD44" s="11">
        <f>VLOOKUP(BC44,[1]المرجع!$B$3:$C$12,2)</f>
        <v>3.5</v>
      </c>
      <c r="BE44" s="8" t="str">
        <f>VLOOKUP(BD44,[1]المرجع!$D$3:$E$12,2)</f>
        <v>ج+</v>
      </c>
      <c r="BF44" s="10">
        <f t="shared" si="10"/>
        <v>7</v>
      </c>
      <c r="BG44" s="15">
        <v>2</v>
      </c>
      <c r="BH44" s="4">
        <v>85</v>
      </c>
      <c r="BI44" s="11">
        <f>VLOOKUP(BH44,[1]المرجع!$B$3:$C$12,2)</f>
        <v>4.5</v>
      </c>
      <c r="BJ44" s="8" t="str">
        <f>VLOOKUP(BI44,[1]المرجع!$D$3:$E$12,2)</f>
        <v>ب+</v>
      </c>
      <c r="BK44" s="10">
        <f t="shared" si="11"/>
        <v>9</v>
      </c>
      <c r="BL44" s="19">
        <f t="shared" si="12"/>
        <v>64.5</v>
      </c>
      <c r="BM44" s="20">
        <f t="shared" si="13"/>
        <v>23</v>
      </c>
      <c r="BN44" s="21">
        <f t="shared" si="14"/>
        <v>2.8043478260869565</v>
      </c>
      <c r="BO44" s="18"/>
      <c r="BP44" s="23" t="str">
        <f>VLOOKUP(BN44,[1]المرجع!D$3:F$12,3)</f>
        <v xml:space="preserve">جيد </v>
      </c>
      <c r="BQ44" s="22">
        <f t="shared" si="15"/>
        <v>41</v>
      </c>
    </row>
    <row r="45" spans="2:69" ht="23.5">
      <c r="B45" s="1">
        <v>2024192</v>
      </c>
      <c r="C45" s="3" t="s">
        <v>56</v>
      </c>
      <c r="D45" s="5">
        <v>1</v>
      </c>
      <c r="E45" s="4">
        <v>87</v>
      </c>
      <c r="F45" s="11">
        <f>VLOOKUP(E45,[1]المرجع!$B$3:$C$12,2)</f>
        <v>4.5</v>
      </c>
      <c r="G45" s="8" t="str">
        <f>VLOOKUP(F45,[1]المرجع!$D$3:$E$12,2)</f>
        <v>ب+</v>
      </c>
      <c r="H45" s="10">
        <f t="shared" si="0"/>
        <v>4.5</v>
      </c>
      <c r="I45" s="5">
        <v>2</v>
      </c>
      <c r="J45" s="4">
        <v>52</v>
      </c>
      <c r="K45" s="11">
        <f>VLOOKUP(J45,[1]المرجع!$B$3:$C$12,2)</f>
        <v>2</v>
      </c>
      <c r="L45" s="8" t="str">
        <f>VLOOKUP(K45,[1]المرجع!$D$3:$E$12,2)</f>
        <v>د</v>
      </c>
      <c r="M45" s="10">
        <f t="shared" si="1"/>
        <v>4</v>
      </c>
      <c r="N45" s="15">
        <v>2</v>
      </c>
      <c r="O45" s="4">
        <v>24</v>
      </c>
      <c r="P45" s="11">
        <f>VLOOKUP(O45,[1]المرجع!$B$3:$C$12,2)</f>
        <v>0</v>
      </c>
      <c r="Q45" s="8" t="str">
        <f>VLOOKUP(P45,[1]المرجع!$D$3:$E$12,2)</f>
        <v>ه</v>
      </c>
      <c r="R45" s="10">
        <f t="shared" si="2"/>
        <v>0</v>
      </c>
      <c r="S45" s="15">
        <v>2</v>
      </c>
      <c r="T45" s="4">
        <v>80</v>
      </c>
      <c r="U45" s="11">
        <f>VLOOKUP(T45,[1]المرجع!$B$3:$C$12,2)</f>
        <v>4</v>
      </c>
      <c r="V45" s="8" t="str">
        <f>VLOOKUP(U45,[1]المرجع!$D$3:$E$12,2)</f>
        <v>ب</v>
      </c>
      <c r="W45" s="10">
        <f t="shared" si="3"/>
        <v>8</v>
      </c>
      <c r="X45" s="15">
        <v>2</v>
      </c>
      <c r="Y45" s="4">
        <v>83</v>
      </c>
      <c r="Z45" s="11">
        <f>VLOOKUP(Y45,[1]المرجع!$B$3:$C$12,2)</f>
        <v>4</v>
      </c>
      <c r="AA45" s="8" t="str">
        <f>VLOOKUP(Z45,[1]المرجع!$D$3:$E$12,2)</f>
        <v>ب</v>
      </c>
      <c r="AB45" s="10">
        <f t="shared" si="4"/>
        <v>8</v>
      </c>
      <c r="AC45" s="15">
        <v>2</v>
      </c>
      <c r="AD45" s="4">
        <v>11</v>
      </c>
      <c r="AE45" s="11">
        <f>VLOOKUP(AD45,[1]المرجع!$B$3:$C$12,2)</f>
        <v>0</v>
      </c>
      <c r="AF45" s="8" t="str">
        <f>VLOOKUP(AE45,[1]المرجع!$D$3:$E$12,2)</f>
        <v>ه</v>
      </c>
      <c r="AG45" s="10">
        <f t="shared" si="5"/>
        <v>0</v>
      </c>
      <c r="AH45" s="15">
        <v>2</v>
      </c>
      <c r="AI45" s="4">
        <v>95</v>
      </c>
      <c r="AJ45" s="11">
        <f>VLOOKUP(AI45,[1]المرجع!$B$3:$C$12,2)</f>
        <v>5</v>
      </c>
      <c r="AK45" s="8" t="str">
        <f>VLOOKUP(AJ45,[1]المرجع!$D$3:$E$12,2)</f>
        <v xml:space="preserve">أ+ </v>
      </c>
      <c r="AL45" s="10">
        <f t="shared" si="6"/>
        <v>10</v>
      </c>
      <c r="AM45" s="15">
        <v>2</v>
      </c>
      <c r="AN45" s="4">
        <v>95</v>
      </c>
      <c r="AO45" s="11">
        <f>VLOOKUP(AN45,[1]المرجع!$B$3:$C$12,2)</f>
        <v>5</v>
      </c>
      <c r="AP45" s="8" t="str">
        <f>VLOOKUP(AO45,[1]المرجع!$D$3:$E$12,2)</f>
        <v xml:space="preserve">أ+ </v>
      </c>
      <c r="AQ45" s="10">
        <f t="shared" si="7"/>
        <v>10</v>
      </c>
      <c r="AR45" s="15">
        <v>2</v>
      </c>
      <c r="AS45" s="4">
        <v>55</v>
      </c>
      <c r="AT45" s="11">
        <f>VLOOKUP(AS45,[1]المرجع!$B$3:$C$12,2)</f>
        <v>2</v>
      </c>
      <c r="AU45" s="8" t="str">
        <f>VLOOKUP(AT45,[1]المرجع!$D$3:$E$12,2)</f>
        <v>د</v>
      </c>
      <c r="AV45" s="10">
        <f t="shared" si="8"/>
        <v>4</v>
      </c>
      <c r="AW45" s="15">
        <v>2</v>
      </c>
      <c r="AX45" s="4">
        <v>69</v>
      </c>
      <c r="AY45" s="11">
        <f>VLOOKUP(AX45,[1]المرجع!$B$3:$C$12,2)</f>
        <v>2.5</v>
      </c>
      <c r="AZ45" s="8" t="str">
        <f>VLOOKUP(AY45,[1]المرجع!$D$3:$E$12,2)</f>
        <v>د+</v>
      </c>
      <c r="BA45" s="10">
        <f t="shared" si="9"/>
        <v>5</v>
      </c>
      <c r="BB45" s="15">
        <v>2</v>
      </c>
      <c r="BC45" s="4">
        <v>65</v>
      </c>
      <c r="BD45" s="11">
        <f>VLOOKUP(BC45,[1]المرجع!$B$3:$C$12,2)</f>
        <v>2.5</v>
      </c>
      <c r="BE45" s="8" t="str">
        <f>VLOOKUP(BD45,[1]المرجع!$D$3:$E$12,2)</f>
        <v>د+</v>
      </c>
      <c r="BF45" s="10">
        <f t="shared" si="10"/>
        <v>5</v>
      </c>
      <c r="BG45" s="15">
        <v>2</v>
      </c>
      <c r="BH45" s="4">
        <v>54</v>
      </c>
      <c r="BI45" s="11">
        <f>VLOOKUP(BH45,[1]المرجع!$B$3:$C$12,2)</f>
        <v>2</v>
      </c>
      <c r="BJ45" s="8" t="str">
        <f>VLOOKUP(BI45,[1]المرجع!$D$3:$E$12,2)</f>
        <v>د</v>
      </c>
      <c r="BK45" s="10">
        <f t="shared" si="11"/>
        <v>4</v>
      </c>
      <c r="BL45" s="19">
        <f t="shared" si="12"/>
        <v>62.5</v>
      </c>
      <c r="BM45" s="20">
        <f t="shared" si="13"/>
        <v>23</v>
      </c>
      <c r="BN45" s="21">
        <f t="shared" si="14"/>
        <v>2.7173913043478262</v>
      </c>
      <c r="BO45" s="18"/>
      <c r="BP45" s="23" t="str">
        <f>VLOOKUP(BN45,[1]المرجع!D$3:F$12,3)</f>
        <v xml:space="preserve">جيد </v>
      </c>
      <c r="BQ45" s="22">
        <f t="shared" si="15"/>
        <v>44</v>
      </c>
    </row>
    <row r="46" spans="2:69" ht="23.5">
      <c r="B46" s="1">
        <v>2024163</v>
      </c>
      <c r="C46" s="3" t="s">
        <v>57</v>
      </c>
      <c r="D46" s="5">
        <v>1</v>
      </c>
      <c r="E46" s="4">
        <v>30</v>
      </c>
      <c r="F46" s="11">
        <f>VLOOKUP(E46,[1]المرجع!$B$3:$C$12,2)</f>
        <v>0</v>
      </c>
      <c r="G46" s="8" t="str">
        <f>VLOOKUP(F46,[1]المرجع!$D$3:$E$12,2)</f>
        <v>ه</v>
      </c>
      <c r="H46" s="10">
        <f t="shared" si="0"/>
        <v>0</v>
      </c>
      <c r="I46" s="5">
        <v>2</v>
      </c>
      <c r="J46" s="4">
        <v>73</v>
      </c>
      <c r="K46" s="11">
        <f>VLOOKUP(J46,[1]المرجع!$B$3:$C$12,2)</f>
        <v>3</v>
      </c>
      <c r="L46" s="8" t="str">
        <f>VLOOKUP(K46,[1]المرجع!$D$3:$E$12,2)</f>
        <v>ج</v>
      </c>
      <c r="M46" s="10">
        <f t="shared" si="1"/>
        <v>6</v>
      </c>
      <c r="N46" s="15">
        <v>2</v>
      </c>
      <c r="O46" s="4">
        <v>67</v>
      </c>
      <c r="P46" s="11">
        <f>VLOOKUP(O46,[1]المرجع!$B$3:$C$12,2)</f>
        <v>2.5</v>
      </c>
      <c r="Q46" s="8" t="str">
        <f>VLOOKUP(P46,[1]المرجع!$D$3:$E$12,2)</f>
        <v>د+</v>
      </c>
      <c r="R46" s="10">
        <f t="shared" si="2"/>
        <v>5</v>
      </c>
      <c r="S46" s="15">
        <v>2</v>
      </c>
      <c r="T46" s="4">
        <v>85</v>
      </c>
      <c r="U46" s="11">
        <f>VLOOKUP(T46,[1]المرجع!$B$3:$C$12,2)</f>
        <v>4.5</v>
      </c>
      <c r="V46" s="8" t="str">
        <f>VLOOKUP(U46,[1]المرجع!$D$3:$E$12,2)</f>
        <v>ب+</v>
      </c>
      <c r="W46" s="10">
        <f t="shared" si="3"/>
        <v>9</v>
      </c>
      <c r="X46" s="15">
        <v>2</v>
      </c>
      <c r="Y46" s="4">
        <v>92</v>
      </c>
      <c r="Z46" s="11">
        <f>VLOOKUP(Y46,[1]المرجع!$B$3:$C$12,2)</f>
        <v>4.75</v>
      </c>
      <c r="AA46" s="8" t="str">
        <f>VLOOKUP(Z46,[1]المرجع!$D$3:$E$12,2)</f>
        <v>أ</v>
      </c>
      <c r="AB46" s="10">
        <f t="shared" si="4"/>
        <v>9.5</v>
      </c>
      <c r="AC46" s="15">
        <v>2</v>
      </c>
      <c r="AD46" s="4">
        <v>14</v>
      </c>
      <c r="AE46" s="11">
        <f>VLOOKUP(AD46,[1]المرجع!$B$3:$C$12,2)</f>
        <v>0</v>
      </c>
      <c r="AF46" s="8" t="str">
        <f>VLOOKUP(AE46,[1]المرجع!$D$3:$E$12,2)</f>
        <v>ه</v>
      </c>
      <c r="AG46" s="10">
        <f t="shared" si="5"/>
        <v>0</v>
      </c>
      <c r="AH46" s="15">
        <v>2</v>
      </c>
      <c r="AI46" s="4">
        <v>25</v>
      </c>
      <c r="AJ46" s="11">
        <f>VLOOKUP(AI46,[1]المرجع!$B$3:$C$12,2)</f>
        <v>0</v>
      </c>
      <c r="AK46" s="8" t="str">
        <f>VLOOKUP(AJ46,[1]المرجع!$D$3:$E$12,2)</f>
        <v>ه</v>
      </c>
      <c r="AL46" s="10">
        <f t="shared" si="6"/>
        <v>0</v>
      </c>
      <c r="AM46" s="15">
        <v>2</v>
      </c>
      <c r="AN46" s="4">
        <v>82</v>
      </c>
      <c r="AO46" s="11">
        <f>VLOOKUP(AN46,[1]المرجع!$B$3:$C$12,2)</f>
        <v>4</v>
      </c>
      <c r="AP46" s="8" t="str">
        <f>VLOOKUP(AO46,[1]المرجع!$D$3:$E$12,2)</f>
        <v>ب</v>
      </c>
      <c r="AQ46" s="10">
        <f t="shared" si="7"/>
        <v>8</v>
      </c>
      <c r="AR46" s="15">
        <v>2</v>
      </c>
      <c r="AS46" s="4">
        <v>85</v>
      </c>
      <c r="AT46" s="11">
        <f>VLOOKUP(AS46,[1]المرجع!$B$3:$C$12,2)</f>
        <v>4.5</v>
      </c>
      <c r="AU46" s="8" t="str">
        <f>VLOOKUP(AT46,[1]المرجع!$D$3:$E$12,2)</f>
        <v>ب+</v>
      </c>
      <c r="AV46" s="10">
        <f t="shared" si="8"/>
        <v>9</v>
      </c>
      <c r="AW46" s="15">
        <v>2</v>
      </c>
      <c r="AX46" s="4">
        <v>50</v>
      </c>
      <c r="AY46" s="11">
        <f>VLOOKUP(AX46,[1]المرجع!$B$3:$C$12,2)</f>
        <v>2</v>
      </c>
      <c r="AZ46" s="8" t="str">
        <f>VLOOKUP(AY46,[1]المرجع!$D$3:$E$12,2)</f>
        <v>د</v>
      </c>
      <c r="BA46" s="10">
        <f t="shared" si="9"/>
        <v>4</v>
      </c>
      <c r="BB46" s="15">
        <v>2</v>
      </c>
      <c r="BC46" s="4">
        <v>55</v>
      </c>
      <c r="BD46" s="11">
        <f>VLOOKUP(BC46,[1]المرجع!$B$3:$C$12,2)</f>
        <v>2</v>
      </c>
      <c r="BE46" s="8" t="str">
        <f>VLOOKUP(BD46,[1]المرجع!$D$3:$E$12,2)</f>
        <v>د</v>
      </c>
      <c r="BF46" s="10">
        <f t="shared" si="10"/>
        <v>4</v>
      </c>
      <c r="BG46" s="15">
        <v>2</v>
      </c>
      <c r="BH46" s="4">
        <v>90</v>
      </c>
      <c r="BI46" s="11">
        <f>VLOOKUP(BH46,[1]المرجع!$B$3:$C$12,2)</f>
        <v>4.75</v>
      </c>
      <c r="BJ46" s="8" t="str">
        <f>VLOOKUP(BI46,[1]المرجع!$D$3:$E$12,2)</f>
        <v>أ</v>
      </c>
      <c r="BK46" s="10">
        <f t="shared" si="11"/>
        <v>9.5</v>
      </c>
      <c r="BL46" s="19">
        <f t="shared" si="12"/>
        <v>64</v>
      </c>
      <c r="BM46" s="20">
        <f t="shared" si="13"/>
        <v>23</v>
      </c>
      <c r="BN46" s="21">
        <f t="shared" si="14"/>
        <v>2.7826086956521738</v>
      </c>
      <c r="BO46" s="18"/>
      <c r="BP46" s="23" t="str">
        <f>VLOOKUP(BN46,[1]المرجع!D$3:F$12,3)</f>
        <v xml:space="preserve">جيد </v>
      </c>
      <c r="BQ46" s="22">
        <f t="shared" si="15"/>
        <v>43</v>
      </c>
    </row>
    <row r="47" spans="2:69" ht="23.5">
      <c r="B47" s="1">
        <v>2024167</v>
      </c>
      <c r="C47" s="3" t="s">
        <v>58</v>
      </c>
      <c r="D47" s="5">
        <v>1</v>
      </c>
      <c r="E47" s="4">
        <v>91</v>
      </c>
      <c r="F47" s="11">
        <f>VLOOKUP(E47,[1]المرجع!$B$3:$C$12,2)</f>
        <v>4.75</v>
      </c>
      <c r="G47" s="8" t="str">
        <f>VLOOKUP(F47,[1]المرجع!$D$3:$E$12,2)</f>
        <v>أ</v>
      </c>
      <c r="H47" s="10">
        <f t="shared" si="0"/>
        <v>4.75</v>
      </c>
      <c r="I47" s="5">
        <v>2</v>
      </c>
      <c r="J47" s="4">
        <v>78</v>
      </c>
      <c r="K47" s="11">
        <f>VLOOKUP(J47,[1]المرجع!$B$3:$C$12,2)</f>
        <v>3.5</v>
      </c>
      <c r="L47" s="8" t="str">
        <f>VLOOKUP(K47,[1]المرجع!$D$3:$E$12,2)</f>
        <v>ج+</v>
      </c>
      <c r="M47" s="10">
        <f t="shared" si="1"/>
        <v>7</v>
      </c>
      <c r="N47" s="15">
        <v>2</v>
      </c>
      <c r="O47" s="4">
        <v>37</v>
      </c>
      <c r="P47" s="11">
        <f>VLOOKUP(O47,[1]المرجع!$B$3:$C$12,2)</f>
        <v>0</v>
      </c>
      <c r="Q47" s="8" t="str">
        <f>VLOOKUP(P47,[1]المرجع!$D$3:$E$12,2)</f>
        <v>ه</v>
      </c>
      <c r="R47" s="10">
        <f t="shared" si="2"/>
        <v>0</v>
      </c>
      <c r="S47" s="15">
        <v>2</v>
      </c>
      <c r="T47" s="4">
        <v>80</v>
      </c>
      <c r="U47" s="11">
        <f>VLOOKUP(T47,[1]المرجع!$B$3:$C$12,2)</f>
        <v>4</v>
      </c>
      <c r="V47" s="8" t="str">
        <f>VLOOKUP(U47,[1]المرجع!$D$3:$E$12,2)</f>
        <v>ب</v>
      </c>
      <c r="W47" s="10">
        <f t="shared" si="3"/>
        <v>8</v>
      </c>
      <c r="X47" s="15">
        <v>2</v>
      </c>
      <c r="Y47" s="4">
        <v>79</v>
      </c>
      <c r="Z47" s="11">
        <f>VLOOKUP(Y47,[1]المرجع!$B$3:$C$12,2)</f>
        <v>3.5</v>
      </c>
      <c r="AA47" s="8" t="str">
        <f>VLOOKUP(Z47,[1]المرجع!$D$3:$E$12,2)</f>
        <v>ج+</v>
      </c>
      <c r="AB47" s="10">
        <f t="shared" si="4"/>
        <v>7</v>
      </c>
      <c r="AC47" s="15">
        <v>2</v>
      </c>
      <c r="AD47" s="4">
        <v>39</v>
      </c>
      <c r="AE47" s="11">
        <f>VLOOKUP(AD47,[1]المرجع!$B$3:$C$12,2)</f>
        <v>0</v>
      </c>
      <c r="AF47" s="8" t="str">
        <f>VLOOKUP(AE47,[1]المرجع!$D$3:$E$12,2)</f>
        <v>ه</v>
      </c>
      <c r="AG47" s="10">
        <f t="shared" si="5"/>
        <v>0</v>
      </c>
      <c r="AH47" s="15">
        <v>2</v>
      </c>
      <c r="AI47" s="4">
        <v>30</v>
      </c>
      <c r="AJ47" s="11">
        <f>VLOOKUP(AI47,[1]المرجع!$B$3:$C$12,2)</f>
        <v>0</v>
      </c>
      <c r="AK47" s="8" t="str">
        <f>VLOOKUP(AJ47,[1]المرجع!$D$3:$E$12,2)</f>
        <v>ه</v>
      </c>
      <c r="AL47" s="10">
        <f t="shared" si="6"/>
        <v>0</v>
      </c>
      <c r="AM47" s="15">
        <v>2</v>
      </c>
      <c r="AN47" s="4">
        <v>60</v>
      </c>
      <c r="AO47" s="11">
        <f>VLOOKUP(AN47,[1]المرجع!$B$3:$C$12,2)</f>
        <v>2</v>
      </c>
      <c r="AP47" s="8" t="str">
        <f>VLOOKUP(AO47,[1]المرجع!$D$3:$E$12,2)</f>
        <v>د</v>
      </c>
      <c r="AQ47" s="10">
        <f t="shared" si="7"/>
        <v>4</v>
      </c>
      <c r="AR47" s="15">
        <v>2</v>
      </c>
      <c r="AS47" s="4">
        <v>90</v>
      </c>
      <c r="AT47" s="11">
        <f>VLOOKUP(AS47,[1]المرجع!$B$3:$C$12,2)</f>
        <v>4.75</v>
      </c>
      <c r="AU47" s="8" t="str">
        <f>VLOOKUP(AT47,[1]المرجع!$D$3:$E$12,2)</f>
        <v>أ</v>
      </c>
      <c r="AV47" s="10">
        <f t="shared" si="8"/>
        <v>9.5</v>
      </c>
      <c r="AW47" s="15">
        <v>2</v>
      </c>
      <c r="AX47" s="4">
        <v>65</v>
      </c>
      <c r="AY47" s="11">
        <f>VLOOKUP(AX47,[1]المرجع!$B$3:$C$12,2)</f>
        <v>2.5</v>
      </c>
      <c r="AZ47" s="8" t="str">
        <f>VLOOKUP(AY47,[1]المرجع!$D$3:$E$12,2)</f>
        <v>د+</v>
      </c>
      <c r="BA47" s="10">
        <f t="shared" si="9"/>
        <v>5</v>
      </c>
      <c r="BB47" s="15">
        <v>2</v>
      </c>
      <c r="BC47" s="4">
        <v>50</v>
      </c>
      <c r="BD47" s="11">
        <f>VLOOKUP(BC47,[1]المرجع!$B$3:$C$12,2)</f>
        <v>2</v>
      </c>
      <c r="BE47" s="8" t="str">
        <f>VLOOKUP(BD47,[1]المرجع!$D$3:$E$12,2)</f>
        <v>د</v>
      </c>
      <c r="BF47" s="10">
        <f t="shared" si="10"/>
        <v>4</v>
      </c>
      <c r="BG47" s="15">
        <v>2</v>
      </c>
      <c r="BH47" s="4">
        <v>35</v>
      </c>
      <c r="BI47" s="11">
        <f>VLOOKUP(BH47,[1]المرجع!$B$3:$C$12,2)</f>
        <v>0</v>
      </c>
      <c r="BJ47" s="8" t="str">
        <f>VLOOKUP(BI47,[1]المرجع!$D$3:$E$12,2)</f>
        <v>ه</v>
      </c>
      <c r="BK47" s="10">
        <f t="shared" si="11"/>
        <v>0</v>
      </c>
      <c r="BL47" s="19">
        <f t="shared" si="12"/>
        <v>49.25</v>
      </c>
      <c r="BM47" s="20">
        <f t="shared" si="13"/>
        <v>23</v>
      </c>
      <c r="BN47" s="21">
        <f t="shared" si="14"/>
        <v>2.1413043478260869</v>
      </c>
      <c r="BO47" s="18"/>
      <c r="BP47" s="23" t="str">
        <f>VLOOKUP(BN47,[1]المرجع!D$3:F$12,3)</f>
        <v xml:space="preserve">مقبول مرتفع </v>
      </c>
      <c r="BQ47" s="22">
        <f t="shared" si="15"/>
        <v>48</v>
      </c>
    </row>
    <row r="48" spans="2:69" ht="23.5">
      <c r="B48" s="1">
        <v>2024301</v>
      </c>
      <c r="C48" s="3" t="s">
        <v>59</v>
      </c>
      <c r="D48" s="5">
        <v>1</v>
      </c>
      <c r="E48" s="4">
        <v>88</v>
      </c>
      <c r="F48" s="11">
        <f>VLOOKUP(E48,[1]المرجع!$B$3:$C$12,2)</f>
        <v>4.5</v>
      </c>
      <c r="G48" s="8" t="str">
        <f>VLOOKUP(F48,[1]المرجع!$D$3:$E$12,2)</f>
        <v>ب+</v>
      </c>
      <c r="H48" s="10">
        <f t="shared" si="0"/>
        <v>4.5</v>
      </c>
      <c r="I48" s="5">
        <v>2</v>
      </c>
      <c r="J48" s="4">
        <v>78</v>
      </c>
      <c r="K48" s="11">
        <f>VLOOKUP(J48,[1]المرجع!$B$3:$C$12,2)</f>
        <v>3.5</v>
      </c>
      <c r="L48" s="8" t="str">
        <f>VLOOKUP(K48,[1]المرجع!$D$3:$E$12,2)</f>
        <v>ج+</v>
      </c>
      <c r="M48" s="10">
        <f t="shared" si="1"/>
        <v>7</v>
      </c>
      <c r="N48" s="15">
        <v>2</v>
      </c>
      <c r="O48" s="4">
        <v>50</v>
      </c>
      <c r="P48" s="11">
        <f>VLOOKUP(O48,[1]المرجع!$B$3:$C$12,2)</f>
        <v>2</v>
      </c>
      <c r="Q48" s="8" t="str">
        <f>VLOOKUP(P48,[1]المرجع!$D$3:$E$12,2)</f>
        <v>د</v>
      </c>
      <c r="R48" s="10">
        <f t="shared" si="2"/>
        <v>4</v>
      </c>
      <c r="S48" s="15">
        <v>2</v>
      </c>
      <c r="T48" s="4">
        <v>80</v>
      </c>
      <c r="U48" s="11">
        <f>VLOOKUP(T48,[1]المرجع!$B$3:$C$12,2)</f>
        <v>4</v>
      </c>
      <c r="V48" s="8" t="str">
        <f>VLOOKUP(U48,[1]المرجع!$D$3:$E$12,2)</f>
        <v>ب</v>
      </c>
      <c r="W48" s="10">
        <f t="shared" si="3"/>
        <v>8</v>
      </c>
      <c r="X48" s="15">
        <v>2</v>
      </c>
      <c r="Y48" s="4">
        <v>80</v>
      </c>
      <c r="Z48" s="11">
        <f>VLOOKUP(Y48,[1]المرجع!$B$3:$C$12,2)</f>
        <v>4</v>
      </c>
      <c r="AA48" s="8" t="str">
        <f>VLOOKUP(Z48,[1]المرجع!$D$3:$E$12,2)</f>
        <v>ب</v>
      </c>
      <c r="AB48" s="10">
        <f t="shared" si="4"/>
        <v>8</v>
      </c>
      <c r="AC48" s="15">
        <v>2</v>
      </c>
      <c r="AD48" s="4">
        <v>50</v>
      </c>
      <c r="AE48" s="11">
        <f>VLOOKUP(AD48,[1]المرجع!$B$3:$C$12,2)</f>
        <v>2</v>
      </c>
      <c r="AF48" s="8" t="str">
        <f>VLOOKUP(AE48,[1]المرجع!$D$3:$E$12,2)</f>
        <v>د</v>
      </c>
      <c r="AG48" s="10">
        <f t="shared" si="5"/>
        <v>4</v>
      </c>
      <c r="AH48" s="15">
        <v>2</v>
      </c>
      <c r="AI48" s="4">
        <v>60</v>
      </c>
      <c r="AJ48" s="11">
        <f>VLOOKUP(AI48,[1]المرجع!$B$3:$C$12,2)</f>
        <v>2</v>
      </c>
      <c r="AK48" s="8" t="str">
        <f>VLOOKUP(AJ48,[1]المرجع!$D$3:$E$12,2)</f>
        <v>د</v>
      </c>
      <c r="AL48" s="10">
        <f t="shared" si="6"/>
        <v>4</v>
      </c>
      <c r="AM48" s="15">
        <v>2</v>
      </c>
      <c r="AN48" s="4">
        <v>50</v>
      </c>
      <c r="AO48" s="11">
        <f>VLOOKUP(AN48,[1]المرجع!$B$3:$C$12,2)</f>
        <v>2</v>
      </c>
      <c r="AP48" s="8" t="str">
        <f>VLOOKUP(AO48,[1]المرجع!$D$3:$E$12,2)</f>
        <v>د</v>
      </c>
      <c r="AQ48" s="10">
        <f t="shared" si="7"/>
        <v>4</v>
      </c>
      <c r="AR48" s="15">
        <v>2</v>
      </c>
      <c r="AS48" s="4">
        <v>60</v>
      </c>
      <c r="AT48" s="11">
        <f>VLOOKUP(AS48,[1]المرجع!$B$3:$C$12,2)</f>
        <v>2</v>
      </c>
      <c r="AU48" s="8" t="str">
        <f>VLOOKUP(AT48,[1]المرجع!$D$3:$E$12,2)</f>
        <v>د</v>
      </c>
      <c r="AV48" s="10">
        <f t="shared" si="8"/>
        <v>4</v>
      </c>
      <c r="AW48" s="15">
        <v>2</v>
      </c>
      <c r="AX48" s="4">
        <v>50</v>
      </c>
      <c r="AY48" s="11">
        <f>VLOOKUP(AX48,[1]المرجع!$B$3:$C$12,2)</f>
        <v>2</v>
      </c>
      <c r="AZ48" s="8" t="str">
        <f>VLOOKUP(AY48,[1]المرجع!$D$3:$E$12,2)</f>
        <v>د</v>
      </c>
      <c r="BA48" s="10">
        <f t="shared" si="9"/>
        <v>4</v>
      </c>
      <c r="BB48" s="15">
        <v>2</v>
      </c>
      <c r="BC48" s="4">
        <v>50</v>
      </c>
      <c r="BD48" s="11">
        <f>VLOOKUP(BC48,[1]المرجع!$B$3:$C$12,2)</f>
        <v>2</v>
      </c>
      <c r="BE48" s="8" t="str">
        <f>VLOOKUP(BD48,[1]المرجع!$D$3:$E$12,2)</f>
        <v>د</v>
      </c>
      <c r="BF48" s="10">
        <f t="shared" si="10"/>
        <v>4</v>
      </c>
      <c r="BG48" s="15">
        <v>2</v>
      </c>
      <c r="BH48" s="4">
        <v>50</v>
      </c>
      <c r="BI48" s="11">
        <f>VLOOKUP(BH48,[1]المرجع!$B$3:$C$12,2)</f>
        <v>2</v>
      </c>
      <c r="BJ48" s="8" t="str">
        <f>VLOOKUP(BI48,[1]المرجع!$D$3:$E$12,2)</f>
        <v>د</v>
      </c>
      <c r="BK48" s="10">
        <f t="shared" si="11"/>
        <v>4</v>
      </c>
      <c r="BL48" s="19">
        <f t="shared" si="12"/>
        <v>59.5</v>
      </c>
      <c r="BM48" s="20">
        <f t="shared" si="13"/>
        <v>23</v>
      </c>
      <c r="BN48" s="21">
        <f t="shared" si="14"/>
        <v>2.5869565217391304</v>
      </c>
      <c r="BO48" s="18"/>
      <c r="BP48" s="23" t="str">
        <f>VLOOKUP(BN48,[1]المرجع!D$3:F$12,3)</f>
        <v xml:space="preserve">مقبول مرتفع </v>
      </c>
      <c r="BQ48" s="22">
        <f t="shared" si="15"/>
        <v>45</v>
      </c>
    </row>
    <row r="49" spans="2:69" ht="23.5">
      <c r="B49" s="1">
        <v>2024181</v>
      </c>
      <c r="C49" s="3" t="s">
        <v>60</v>
      </c>
      <c r="D49" s="5">
        <v>1</v>
      </c>
      <c r="E49" s="4">
        <v>90</v>
      </c>
      <c r="F49" s="11">
        <f>VLOOKUP(E49,[1]المرجع!$B$3:$C$12,2)</f>
        <v>4.75</v>
      </c>
      <c r="G49" s="8" t="str">
        <f>VLOOKUP(F49,[1]المرجع!$D$3:$E$12,2)</f>
        <v>أ</v>
      </c>
      <c r="H49" s="10">
        <f t="shared" si="0"/>
        <v>4.75</v>
      </c>
      <c r="I49" s="5">
        <v>2</v>
      </c>
      <c r="J49" s="4">
        <v>60</v>
      </c>
      <c r="K49" s="11">
        <f>VLOOKUP(J49,[1]المرجع!$B$3:$C$12,2)</f>
        <v>2</v>
      </c>
      <c r="L49" s="8" t="str">
        <f>VLOOKUP(K49,[1]المرجع!$D$3:$E$12,2)</f>
        <v>د</v>
      </c>
      <c r="M49" s="10">
        <f t="shared" si="1"/>
        <v>4</v>
      </c>
      <c r="N49" s="15">
        <v>2</v>
      </c>
      <c r="O49" s="4">
        <v>50</v>
      </c>
      <c r="P49" s="11">
        <f>VLOOKUP(O49,[1]المرجع!$B$3:$C$12,2)</f>
        <v>2</v>
      </c>
      <c r="Q49" s="8" t="str">
        <f>VLOOKUP(P49,[1]المرجع!$D$3:$E$12,2)</f>
        <v>د</v>
      </c>
      <c r="R49" s="10">
        <f t="shared" si="2"/>
        <v>4</v>
      </c>
      <c r="S49" s="15">
        <v>2</v>
      </c>
      <c r="T49" s="4">
        <v>65</v>
      </c>
      <c r="U49" s="11">
        <f>VLOOKUP(T49,[1]المرجع!$B$3:$C$12,2)</f>
        <v>2.5</v>
      </c>
      <c r="V49" s="8" t="str">
        <f>VLOOKUP(U49,[1]المرجع!$D$3:$E$12,2)</f>
        <v>د+</v>
      </c>
      <c r="W49" s="10">
        <f t="shared" si="3"/>
        <v>5</v>
      </c>
      <c r="X49" s="15">
        <v>2</v>
      </c>
      <c r="Y49" s="4">
        <v>70</v>
      </c>
      <c r="Z49" s="11">
        <f>VLOOKUP(Y49,[1]المرجع!$B$3:$C$12,2)</f>
        <v>3</v>
      </c>
      <c r="AA49" s="8" t="str">
        <f>VLOOKUP(Z49,[1]المرجع!$D$3:$E$12,2)</f>
        <v>ج</v>
      </c>
      <c r="AB49" s="10">
        <f t="shared" si="4"/>
        <v>6</v>
      </c>
      <c r="AC49" s="15">
        <v>2</v>
      </c>
      <c r="AD49" s="4">
        <v>53</v>
      </c>
      <c r="AE49" s="11">
        <f>VLOOKUP(AD49,[1]المرجع!$B$3:$C$12,2)</f>
        <v>2</v>
      </c>
      <c r="AF49" s="8" t="str">
        <f>VLOOKUP(AE49,[1]المرجع!$D$3:$E$12,2)</f>
        <v>د</v>
      </c>
      <c r="AG49" s="10">
        <f t="shared" si="5"/>
        <v>4</v>
      </c>
      <c r="AH49" s="15">
        <v>2</v>
      </c>
      <c r="AI49" s="4">
        <v>50</v>
      </c>
      <c r="AJ49" s="11">
        <f>VLOOKUP(AI49,[1]المرجع!$B$3:$C$12,2)</f>
        <v>2</v>
      </c>
      <c r="AK49" s="8" t="str">
        <f>VLOOKUP(AJ49,[1]المرجع!$D$3:$E$12,2)</f>
        <v>د</v>
      </c>
      <c r="AL49" s="10">
        <f t="shared" si="6"/>
        <v>4</v>
      </c>
      <c r="AM49" s="15">
        <v>2</v>
      </c>
      <c r="AN49" s="4">
        <v>55</v>
      </c>
      <c r="AO49" s="11">
        <f>VLOOKUP(AN49,[1]المرجع!$B$3:$C$12,2)</f>
        <v>2</v>
      </c>
      <c r="AP49" s="8" t="str">
        <f>VLOOKUP(AO49,[1]المرجع!$D$3:$E$12,2)</f>
        <v>د</v>
      </c>
      <c r="AQ49" s="10">
        <f t="shared" si="7"/>
        <v>4</v>
      </c>
      <c r="AR49" s="15">
        <v>2</v>
      </c>
      <c r="AS49" s="4">
        <v>50</v>
      </c>
      <c r="AT49" s="11">
        <f>VLOOKUP(AS49,[1]المرجع!$B$3:$C$12,2)</f>
        <v>2</v>
      </c>
      <c r="AU49" s="8" t="str">
        <f>VLOOKUP(AT49,[1]المرجع!$D$3:$E$12,2)</f>
        <v>د</v>
      </c>
      <c r="AV49" s="10">
        <f t="shared" si="8"/>
        <v>4</v>
      </c>
      <c r="AW49" s="15">
        <v>2</v>
      </c>
      <c r="AX49" s="4">
        <v>57</v>
      </c>
      <c r="AY49" s="11">
        <f>VLOOKUP(AX49,[1]المرجع!$B$3:$C$12,2)</f>
        <v>2</v>
      </c>
      <c r="AZ49" s="8" t="str">
        <f>VLOOKUP(AY49,[1]المرجع!$D$3:$E$12,2)</f>
        <v>د</v>
      </c>
      <c r="BA49" s="10">
        <f t="shared" si="9"/>
        <v>4</v>
      </c>
      <c r="BB49" s="15">
        <v>2</v>
      </c>
      <c r="BC49" s="4">
        <v>55</v>
      </c>
      <c r="BD49" s="11">
        <f>VLOOKUP(BC49,[1]المرجع!$B$3:$C$12,2)</f>
        <v>2</v>
      </c>
      <c r="BE49" s="8" t="str">
        <f>VLOOKUP(BD49,[1]المرجع!$D$3:$E$12,2)</f>
        <v>د</v>
      </c>
      <c r="BF49" s="10">
        <f t="shared" si="10"/>
        <v>4</v>
      </c>
      <c r="BG49" s="15">
        <v>2</v>
      </c>
      <c r="BH49" s="4">
        <v>87</v>
      </c>
      <c r="BI49" s="11">
        <f>VLOOKUP(BH49,[1]المرجع!$B$3:$C$12,2)</f>
        <v>4.5</v>
      </c>
      <c r="BJ49" s="8" t="str">
        <f>VLOOKUP(BI49,[1]المرجع!$D$3:$E$12,2)</f>
        <v>ب+</v>
      </c>
      <c r="BK49" s="10">
        <f t="shared" si="11"/>
        <v>9</v>
      </c>
      <c r="BL49" s="19">
        <f t="shared" si="12"/>
        <v>56.75</v>
      </c>
      <c r="BM49" s="20">
        <f t="shared" si="13"/>
        <v>23</v>
      </c>
      <c r="BN49" s="21">
        <f t="shared" si="14"/>
        <v>2.4673913043478262</v>
      </c>
      <c r="BO49" s="18"/>
      <c r="BP49" s="23" t="str">
        <f>VLOOKUP(BN49,[1]المرجع!D$3:F$12,3)</f>
        <v xml:space="preserve">مقبول مرتفع </v>
      </c>
      <c r="BQ49" s="22">
        <f t="shared" si="15"/>
        <v>46</v>
      </c>
    </row>
    <row r="50" spans="2:69" ht="23.5">
      <c r="B50" s="1">
        <v>2024189</v>
      </c>
      <c r="C50" s="3" t="s">
        <v>61</v>
      </c>
      <c r="D50" s="5">
        <v>1</v>
      </c>
      <c r="E50" s="4">
        <v>94</v>
      </c>
      <c r="F50" s="11">
        <f>VLOOKUP(E50,[1]المرجع!$B$3:$C$12,2)</f>
        <v>4.75</v>
      </c>
      <c r="G50" s="8" t="str">
        <f>VLOOKUP(F50,[1]المرجع!$D$3:$E$12,2)</f>
        <v>أ</v>
      </c>
      <c r="H50" s="10">
        <f t="shared" si="0"/>
        <v>4.75</v>
      </c>
      <c r="I50" s="5">
        <v>2</v>
      </c>
      <c r="J50" s="4">
        <v>60</v>
      </c>
      <c r="K50" s="11">
        <f>VLOOKUP(J50,[1]المرجع!$B$3:$C$12,2)</f>
        <v>2</v>
      </c>
      <c r="L50" s="8" t="str">
        <f>VLOOKUP(K50,[1]المرجع!$D$3:$E$12,2)</f>
        <v>د</v>
      </c>
      <c r="M50" s="10">
        <f t="shared" si="1"/>
        <v>4</v>
      </c>
      <c r="N50" s="15">
        <v>2</v>
      </c>
      <c r="O50" s="4">
        <v>36</v>
      </c>
      <c r="P50" s="11">
        <f>VLOOKUP(O50,[1]المرجع!$B$3:$C$12,2)</f>
        <v>0</v>
      </c>
      <c r="Q50" s="8" t="str">
        <f>VLOOKUP(P50,[1]المرجع!$D$3:$E$12,2)</f>
        <v>ه</v>
      </c>
      <c r="R50" s="10">
        <f t="shared" si="2"/>
        <v>0</v>
      </c>
      <c r="S50" s="15">
        <v>2</v>
      </c>
      <c r="T50" s="4">
        <v>83</v>
      </c>
      <c r="U50" s="11">
        <f>VLOOKUP(T50,[1]المرجع!$B$3:$C$12,2)</f>
        <v>4</v>
      </c>
      <c r="V50" s="8" t="str">
        <f>VLOOKUP(U50,[1]المرجع!$D$3:$E$12,2)</f>
        <v>ب</v>
      </c>
      <c r="W50" s="10">
        <f t="shared" si="3"/>
        <v>8</v>
      </c>
      <c r="X50" s="15">
        <v>2</v>
      </c>
      <c r="Y50" s="4">
        <v>31</v>
      </c>
      <c r="Z50" s="11">
        <f>VLOOKUP(Y50,[1]المرجع!$B$3:$C$12,2)</f>
        <v>0</v>
      </c>
      <c r="AA50" s="8" t="str">
        <f>VLOOKUP(Z50,[1]المرجع!$D$3:$E$12,2)</f>
        <v>ه</v>
      </c>
      <c r="AB50" s="10">
        <f t="shared" si="4"/>
        <v>0</v>
      </c>
      <c r="AC50" s="15">
        <v>2</v>
      </c>
      <c r="AD50" s="4">
        <v>25</v>
      </c>
      <c r="AE50" s="11">
        <f>VLOOKUP(AD50,[1]المرجع!$B$3:$C$12,2)</f>
        <v>0</v>
      </c>
      <c r="AF50" s="8" t="str">
        <f>VLOOKUP(AE50,[1]المرجع!$D$3:$E$12,2)</f>
        <v>ه</v>
      </c>
      <c r="AG50" s="10">
        <f t="shared" si="5"/>
        <v>0</v>
      </c>
      <c r="AH50" s="15">
        <v>2</v>
      </c>
      <c r="AI50" s="4">
        <v>75</v>
      </c>
      <c r="AJ50" s="11">
        <f>VLOOKUP(AI50,[1]المرجع!$B$3:$C$12,2)</f>
        <v>3.5</v>
      </c>
      <c r="AK50" s="8" t="str">
        <f>VLOOKUP(AJ50,[1]المرجع!$D$3:$E$12,2)</f>
        <v>ج+</v>
      </c>
      <c r="AL50" s="10">
        <f t="shared" si="6"/>
        <v>7</v>
      </c>
      <c r="AM50" s="15">
        <v>2</v>
      </c>
      <c r="AN50" s="4">
        <v>60</v>
      </c>
      <c r="AO50" s="11">
        <f>VLOOKUP(AN50,[1]المرجع!$B$3:$C$12,2)</f>
        <v>2</v>
      </c>
      <c r="AP50" s="8" t="str">
        <f>VLOOKUP(AO50,[1]المرجع!$D$3:$E$12,2)</f>
        <v>د</v>
      </c>
      <c r="AQ50" s="10">
        <f t="shared" si="7"/>
        <v>4</v>
      </c>
      <c r="AR50" s="15">
        <v>2</v>
      </c>
      <c r="AS50" s="4">
        <v>65</v>
      </c>
      <c r="AT50" s="11">
        <f>VLOOKUP(AS50,[1]المرجع!$B$3:$C$12,2)</f>
        <v>2.5</v>
      </c>
      <c r="AU50" s="8" t="str">
        <f>VLOOKUP(AT50,[1]المرجع!$D$3:$E$12,2)</f>
        <v>د+</v>
      </c>
      <c r="AV50" s="10">
        <f t="shared" si="8"/>
        <v>5</v>
      </c>
      <c r="AW50" s="15">
        <v>2</v>
      </c>
      <c r="AX50" s="4">
        <v>22</v>
      </c>
      <c r="AY50" s="11">
        <f>VLOOKUP(AX50,[1]المرجع!$B$3:$C$12,2)</f>
        <v>0</v>
      </c>
      <c r="AZ50" s="8" t="str">
        <f>VLOOKUP(AY50,[1]المرجع!$D$3:$E$12,2)</f>
        <v>ه</v>
      </c>
      <c r="BA50" s="10">
        <f t="shared" si="9"/>
        <v>0</v>
      </c>
      <c r="BB50" s="15">
        <v>2</v>
      </c>
      <c r="BC50" s="4">
        <v>69</v>
      </c>
      <c r="BD50" s="11">
        <f>VLOOKUP(BC50,[1]المرجع!$B$3:$C$12,2)</f>
        <v>2.5</v>
      </c>
      <c r="BE50" s="8" t="str">
        <f>VLOOKUP(BD50,[1]المرجع!$D$3:$E$12,2)</f>
        <v>د+</v>
      </c>
      <c r="BF50" s="10">
        <f t="shared" si="10"/>
        <v>5</v>
      </c>
      <c r="BG50" s="15">
        <v>2</v>
      </c>
      <c r="BH50" s="4">
        <v>86</v>
      </c>
      <c r="BI50" s="11">
        <f>VLOOKUP(BH50,[1]المرجع!$B$3:$C$12,2)</f>
        <v>4.5</v>
      </c>
      <c r="BJ50" s="8" t="str">
        <f>VLOOKUP(BI50,[1]المرجع!$D$3:$E$12,2)</f>
        <v>ب+</v>
      </c>
      <c r="BK50" s="10">
        <f t="shared" si="11"/>
        <v>9</v>
      </c>
      <c r="BL50" s="19">
        <f t="shared" si="12"/>
        <v>46.75</v>
      </c>
      <c r="BM50" s="20">
        <f t="shared" si="13"/>
        <v>23</v>
      </c>
      <c r="BN50" s="21">
        <f t="shared" si="14"/>
        <v>2.0326086956521738</v>
      </c>
      <c r="BO50" s="18"/>
      <c r="BP50" s="23" t="str">
        <f>VLOOKUP(BN50,[1]المرجع!D$3:F$12,3)</f>
        <v>مقبول</v>
      </c>
      <c r="BQ50" s="22">
        <f t="shared" si="15"/>
        <v>50</v>
      </c>
    </row>
    <row r="51" spans="2:69" ht="23.5">
      <c r="B51" s="1">
        <v>2024183</v>
      </c>
      <c r="C51" s="3" t="s">
        <v>62</v>
      </c>
      <c r="D51" s="5">
        <v>1</v>
      </c>
      <c r="E51" s="4">
        <v>60</v>
      </c>
      <c r="F51" s="11">
        <f>VLOOKUP(E51,[1]المرجع!$B$3:$C$12,2)</f>
        <v>2</v>
      </c>
      <c r="G51" s="8" t="str">
        <f>VLOOKUP(F51,[1]المرجع!$D$3:$E$12,2)</f>
        <v>د</v>
      </c>
      <c r="H51" s="10">
        <f t="shared" si="0"/>
        <v>2</v>
      </c>
      <c r="I51" s="5">
        <v>2</v>
      </c>
      <c r="J51" s="4">
        <v>67</v>
      </c>
      <c r="K51" s="11">
        <f>VLOOKUP(J51,[1]المرجع!$B$3:$C$12,2)</f>
        <v>2.5</v>
      </c>
      <c r="L51" s="8" t="str">
        <f>VLOOKUP(K51,[1]المرجع!$D$3:$E$12,2)</f>
        <v>د+</v>
      </c>
      <c r="M51" s="10">
        <f t="shared" si="1"/>
        <v>5</v>
      </c>
      <c r="N51" s="15">
        <v>2</v>
      </c>
      <c r="O51" s="4">
        <v>39</v>
      </c>
      <c r="P51" s="11">
        <f>VLOOKUP(O51,[1]المرجع!$B$3:$C$12,2)</f>
        <v>0</v>
      </c>
      <c r="Q51" s="8" t="str">
        <f>VLOOKUP(P51,[1]المرجع!$D$3:$E$12,2)</f>
        <v>ه</v>
      </c>
      <c r="R51" s="10">
        <f t="shared" si="2"/>
        <v>0</v>
      </c>
      <c r="S51" s="15">
        <v>2</v>
      </c>
      <c r="T51" s="4">
        <v>50</v>
      </c>
      <c r="U51" s="11">
        <f>VLOOKUP(T51,[1]المرجع!$B$3:$C$12,2)</f>
        <v>2</v>
      </c>
      <c r="V51" s="8" t="str">
        <f>VLOOKUP(U51,[1]المرجع!$D$3:$E$12,2)</f>
        <v>د</v>
      </c>
      <c r="W51" s="10">
        <f t="shared" si="3"/>
        <v>4</v>
      </c>
      <c r="X51" s="15">
        <v>2</v>
      </c>
      <c r="Y51" s="4">
        <v>79</v>
      </c>
      <c r="Z51" s="11">
        <f>VLOOKUP(Y51,[1]المرجع!$B$3:$C$12,2)</f>
        <v>3.5</v>
      </c>
      <c r="AA51" s="8" t="str">
        <f>VLOOKUP(Z51,[1]المرجع!$D$3:$E$12,2)</f>
        <v>ج+</v>
      </c>
      <c r="AB51" s="10">
        <f t="shared" si="4"/>
        <v>7</v>
      </c>
      <c r="AC51" s="15">
        <v>2</v>
      </c>
      <c r="AD51" s="4">
        <v>23</v>
      </c>
      <c r="AE51" s="11">
        <f>VLOOKUP(AD51,[1]المرجع!$B$3:$C$12,2)</f>
        <v>0</v>
      </c>
      <c r="AF51" s="8" t="str">
        <f>VLOOKUP(AE51,[1]المرجع!$D$3:$E$12,2)</f>
        <v>ه</v>
      </c>
      <c r="AG51" s="10">
        <f t="shared" si="5"/>
        <v>0</v>
      </c>
      <c r="AH51" s="15">
        <v>2</v>
      </c>
      <c r="AI51" s="4">
        <v>59</v>
      </c>
      <c r="AJ51" s="11">
        <f>VLOOKUP(AI51,[1]المرجع!$B$3:$C$12,2)</f>
        <v>2</v>
      </c>
      <c r="AK51" s="8" t="str">
        <f>VLOOKUP(AJ51,[1]المرجع!$D$3:$E$12,2)</f>
        <v>د</v>
      </c>
      <c r="AL51" s="10">
        <f t="shared" si="6"/>
        <v>4</v>
      </c>
      <c r="AM51" s="15">
        <v>2</v>
      </c>
      <c r="AN51" s="4">
        <v>60</v>
      </c>
      <c r="AO51" s="11">
        <f>VLOOKUP(AN51,[1]المرجع!$B$3:$C$12,2)</f>
        <v>2</v>
      </c>
      <c r="AP51" s="8" t="str">
        <f>VLOOKUP(AO51,[1]المرجع!$D$3:$E$12,2)</f>
        <v>د</v>
      </c>
      <c r="AQ51" s="10">
        <f t="shared" si="7"/>
        <v>4</v>
      </c>
      <c r="AR51" s="15">
        <v>2</v>
      </c>
      <c r="AS51" s="4">
        <v>64</v>
      </c>
      <c r="AT51" s="11">
        <f>VLOOKUP(AS51,[1]المرجع!$B$3:$C$12,2)</f>
        <v>2</v>
      </c>
      <c r="AU51" s="8" t="str">
        <f>VLOOKUP(AT51,[1]المرجع!$D$3:$E$12,2)</f>
        <v>د</v>
      </c>
      <c r="AV51" s="10">
        <f t="shared" si="8"/>
        <v>4</v>
      </c>
      <c r="AW51" s="15">
        <v>2</v>
      </c>
      <c r="AX51" s="4">
        <v>68</v>
      </c>
      <c r="AY51" s="11">
        <f>VLOOKUP(AX51,[1]المرجع!$B$3:$C$12,2)</f>
        <v>2.5</v>
      </c>
      <c r="AZ51" s="8" t="str">
        <f>VLOOKUP(AY51,[1]المرجع!$D$3:$E$12,2)</f>
        <v>د+</v>
      </c>
      <c r="BA51" s="10">
        <f t="shared" si="9"/>
        <v>5</v>
      </c>
      <c r="BB51" s="15">
        <v>2</v>
      </c>
      <c r="BC51" s="4">
        <v>60</v>
      </c>
      <c r="BD51" s="11">
        <f>VLOOKUP(BC51,[1]المرجع!$B$3:$C$12,2)</f>
        <v>2</v>
      </c>
      <c r="BE51" s="8" t="str">
        <f>VLOOKUP(BD51,[1]المرجع!$D$3:$E$12,2)</f>
        <v>د</v>
      </c>
      <c r="BF51" s="10">
        <f t="shared" si="10"/>
        <v>4</v>
      </c>
      <c r="BG51" s="15">
        <v>2</v>
      </c>
      <c r="BH51" s="4">
        <v>50</v>
      </c>
      <c r="BI51" s="11">
        <f>VLOOKUP(BH51,[1]المرجع!$B$3:$C$12,2)</f>
        <v>2</v>
      </c>
      <c r="BJ51" s="8" t="str">
        <f>VLOOKUP(BI51,[1]المرجع!$D$3:$E$12,2)</f>
        <v>د</v>
      </c>
      <c r="BK51" s="10">
        <f t="shared" si="11"/>
        <v>4</v>
      </c>
      <c r="BL51" s="19">
        <f t="shared" si="12"/>
        <v>43</v>
      </c>
      <c r="BM51" s="20">
        <f t="shared" si="13"/>
        <v>23</v>
      </c>
      <c r="BN51" s="21">
        <f t="shared" si="14"/>
        <v>1.8695652173913044</v>
      </c>
      <c r="BO51" s="18"/>
      <c r="BP51" s="23" t="str">
        <f>VLOOKUP(BN51,[1]المرجع!D$3:F$12,3)</f>
        <v>راسب</v>
      </c>
      <c r="BQ51" s="22">
        <f t="shared" si="15"/>
        <v>52</v>
      </c>
    </row>
    <row r="52" spans="2:69" ht="23.5">
      <c r="B52" s="1">
        <v>2024170</v>
      </c>
      <c r="C52" s="3" t="s">
        <v>63</v>
      </c>
      <c r="D52" s="5">
        <v>1</v>
      </c>
      <c r="E52" s="4">
        <v>28</v>
      </c>
      <c r="F52" s="11">
        <f>VLOOKUP(E52,[1]المرجع!$B$3:$C$12,2)</f>
        <v>0</v>
      </c>
      <c r="G52" s="8" t="str">
        <f>VLOOKUP(F52,[1]المرجع!$D$3:$E$12,2)</f>
        <v>ه</v>
      </c>
      <c r="H52" s="10">
        <f t="shared" si="0"/>
        <v>0</v>
      </c>
      <c r="I52" s="5">
        <v>2</v>
      </c>
      <c r="J52" s="4">
        <v>59</v>
      </c>
      <c r="K52" s="11">
        <f>VLOOKUP(J52,[1]المرجع!$B$3:$C$12,2)</f>
        <v>2</v>
      </c>
      <c r="L52" s="8" t="str">
        <f>VLOOKUP(K52,[1]المرجع!$D$3:$E$12,2)</f>
        <v>د</v>
      </c>
      <c r="M52" s="10">
        <f t="shared" si="1"/>
        <v>4</v>
      </c>
      <c r="N52" s="15">
        <v>2</v>
      </c>
      <c r="O52" s="4">
        <v>32</v>
      </c>
      <c r="P52" s="11">
        <f>VLOOKUP(O52,[1]المرجع!$B$3:$C$12,2)</f>
        <v>0</v>
      </c>
      <c r="Q52" s="8" t="str">
        <f>VLOOKUP(P52,[1]المرجع!$D$3:$E$12,2)</f>
        <v>ه</v>
      </c>
      <c r="R52" s="10">
        <f t="shared" si="2"/>
        <v>0</v>
      </c>
      <c r="S52" s="15">
        <v>2</v>
      </c>
      <c r="T52" s="4">
        <v>90</v>
      </c>
      <c r="U52" s="11">
        <f>VLOOKUP(T52,[1]المرجع!$B$3:$C$12,2)</f>
        <v>4.75</v>
      </c>
      <c r="V52" s="8" t="str">
        <f>VLOOKUP(U52,[1]المرجع!$D$3:$E$12,2)</f>
        <v>أ</v>
      </c>
      <c r="W52" s="10">
        <f t="shared" si="3"/>
        <v>9.5</v>
      </c>
      <c r="X52" s="15">
        <v>2</v>
      </c>
      <c r="Y52" s="4">
        <v>51</v>
      </c>
      <c r="Z52" s="11">
        <f>VLOOKUP(Y52,[1]المرجع!$B$3:$C$12,2)</f>
        <v>2</v>
      </c>
      <c r="AA52" s="8" t="str">
        <f>VLOOKUP(Z52,[1]المرجع!$D$3:$E$12,2)</f>
        <v>د</v>
      </c>
      <c r="AB52" s="10">
        <f t="shared" si="4"/>
        <v>4</v>
      </c>
      <c r="AC52" s="15">
        <v>2</v>
      </c>
      <c r="AD52" s="4">
        <v>39</v>
      </c>
      <c r="AE52" s="11">
        <f>VLOOKUP(AD52,[1]المرجع!$B$3:$C$12,2)</f>
        <v>0</v>
      </c>
      <c r="AF52" s="8" t="str">
        <f>VLOOKUP(AE52,[1]المرجع!$D$3:$E$12,2)</f>
        <v>ه</v>
      </c>
      <c r="AG52" s="10">
        <f t="shared" si="5"/>
        <v>0</v>
      </c>
      <c r="AH52" s="15">
        <v>2</v>
      </c>
      <c r="AI52" s="4">
        <v>64</v>
      </c>
      <c r="AJ52" s="11">
        <f>VLOOKUP(AI52,[1]المرجع!$B$3:$C$12,2)</f>
        <v>2</v>
      </c>
      <c r="AK52" s="8" t="str">
        <f>VLOOKUP(AJ52,[1]المرجع!$D$3:$E$12,2)</f>
        <v>د</v>
      </c>
      <c r="AL52" s="10">
        <f t="shared" si="6"/>
        <v>4</v>
      </c>
      <c r="AM52" s="15">
        <v>2</v>
      </c>
      <c r="AN52" s="4">
        <v>85</v>
      </c>
      <c r="AO52" s="11">
        <f>VLOOKUP(AN52,[1]المرجع!$B$3:$C$12,2)</f>
        <v>4.5</v>
      </c>
      <c r="AP52" s="8" t="str">
        <f>VLOOKUP(AO52,[1]المرجع!$D$3:$E$12,2)</f>
        <v>ب+</v>
      </c>
      <c r="AQ52" s="10">
        <f t="shared" si="7"/>
        <v>9</v>
      </c>
      <c r="AR52" s="15">
        <v>2</v>
      </c>
      <c r="AS52" s="4">
        <v>50</v>
      </c>
      <c r="AT52" s="11">
        <f>VLOOKUP(AS52,[1]المرجع!$B$3:$C$12,2)</f>
        <v>2</v>
      </c>
      <c r="AU52" s="8" t="str">
        <f>VLOOKUP(AT52,[1]المرجع!$D$3:$E$12,2)</f>
        <v>د</v>
      </c>
      <c r="AV52" s="10">
        <f t="shared" si="8"/>
        <v>4</v>
      </c>
      <c r="AW52" s="15">
        <v>2</v>
      </c>
      <c r="AX52" s="4">
        <v>71</v>
      </c>
      <c r="AY52" s="11">
        <f>VLOOKUP(AX52,[1]المرجع!$B$3:$C$12,2)</f>
        <v>3</v>
      </c>
      <c r="AZ52" s="8" t="str">
        <f>VLOOKUP(AY52,[1]المرجع!$D$3:$E$12,2)</f>
        <v>ج</v>
      </c>
      <c r="BA52" s="10">
        <f t="shared" si="9"/>
        <v>6</v>
      </c>
      <c r="BB52" s="15">
        <v>2</v>
      </c>
      <c r="BC52" s="4">
        <v>70</v>
      </c>
      <c r="BD52" s="11">
        <f>VLOOKUP(BC52,[1]المرجع!$B$3:$C$12,2)</f>
        <v>3</v>
      </c>
      <c r="BE52" s="8" t="str">
        <f>VLOOKUP(BD52,[1]المرجع!$D$3:$E$12,2)</f>
        <v>ج</v>
      </c>
      <c r="BF52" s="10">
        <f t="shared" si="10"/>
        <v>6</v>
      </c>
      <c r="BG52" s="15">
        <v>2</v>
      </c>
      <c r="BH52" s="4">
        <v>38</v>
      </c>
      <c r="BI52" s="11">
        <f>VLOOKUP(BH52,[1]المرجع!$B$3:$C$12,2)</f>
        <v>0</v>
      </c>
      <c r="BJ52" s="8" t="str">
        <f>VLOOKUP(BI52,[1]المرجع!$D$3:$E$12,2)</f>
        <v>ه</v>
      </c>
      <c r="BK52" s="10">
        <f t="shared" si="11"/>
        <v>0</v>
      </c>
      <c r="BL52" s="19">
        <f t="shared" si="12"/>
        <v>46.5</v>
      </c>
      <c r="BM52" s="20">
        <f t="shared" si="13"/>
        <v>23</v>
      </c>
      <c r="BN52" s="21">
        <f t="shared" si="14"/>
        <v>2.0217391304347827</v>
      </c>
      <c r="BO52" s="18"/>
      <c r="BP52" s="23" t="str">
        <f>VLOOKUP(BN52,[1]المرجع!D$3:F$12,3)</f>
        <v>مقبول</v>
      </c>
      <c r="BQ52" s="22">
        <f t="shared" si="15"/>
        <v>51</v>
      </c>
    </row>
    <row r="53" spans="2:69" ht="23.5">
      <c r="B53" s="1">
        <v>2024186</v>
      </c>
      <c r="C53" s="3" t="s">
        <v>64</v>
      </c>
      <c r="D53" s="5">
        <v>1</v>
      </c>
      <c r="E53" s="4">
        <v>30</v>
      </c>
      <c r="F53" s="11">
        <f>VLOOKUP(E53,[1]المرجع!$B$3:$C$12,2)</f>
        <v>0</v>
      </c>
      <c r="G53" s="8" t="str">
        <f>VLOOKUP(F53,[1]المرجع!$D$3:$E$12,2)</f>
        <v>ه</v>
      </c>
      <c r="H53" s="10">
        <f t="shared" si="0"/>
        <v>0</v>
      </c>
      <c r="I53" s="5">
        <v>2</v>
      </c>
      <c r="J53" s="4">
        <v>67</v>
      </c>
      <c r="K53" s="11">
        <f>VLOOKUP(J53,[1]المرجع!$B$3:$C$12,2)</f>
        <v>2.5</v>
      </c>
      <c r="L53" s="8" t="str">
        <f>VLOOKUP(K53,[1]المرجع!$D$3:$E$12,2)</f>
        <v>د+</v>
      </c>
      <c r="M53" s="10">
        <f t="shared" si="1"/>
        <v>5</v>
      </c>
      <c r="N53" s="15">
        <v>2</v>
      </c>
      <c r="O53" s="4">
        <v>20</v>
      </c>
      <c r="P53" s="11">
        <f>VLOOKUP(O53,[1]المرجع!$B$3:$C$12,2)</f>
        <v>0</v>
      </c>
      <c r="Q53" s="8" t="str">
        <f>VLOOKUP(P53,[1]المرجع!$D$3:$E$12,2)</f>
        <v>ه</v>
      </c>
      <c r="R53" s="10">
        <f t="shared" si="2"/>
        <v>0</v>
      </c>
      <c r="S53" s="15">
        <v>2</v>
      </c>
      <c r="T53" s="4">
        <v>82</v>
      </c>
      <c r="U53" s="11">
        <f>VLOOKUP(T53,[1]المرجع!$B$3:$C$12,2)</f>
        <v>4</v>
      </c>
      <c r="V53" s="8" t="str">
        <f>VLOOKUP(U53,[1]المرجع!$D$3:$E$12,2)</f>
        <v>ب</v>
      </c>
      <c r="W53" s="10">
        <f t="shared" si="3"/>
        <v>8</v>
      </c>
      <c r="X53" s="15">
        <v>2</v>
      </c>
      <c r="Y53" s="4">
        <v>87</v>
      </c>
      <c r="Z53" s="11">
        <f>VLOOKUP(Y53,[1]المرجع!$B$3:$C$12,2)</f>
        <v>4.5</v>
      </c>
      <c r="AA53" s="8" t="str">
        <f>VLOOKUP(Z53,[1]المرجع!$D$3:$E$12,2)</f>
        <v>ب+</v>
      </c>
      <c r="AB53" s="10">
        <f t="shared" si="4"/>
        <v>9</v>
      </c>
      <c r="AC53" s="15">
        <v>2</v>
      </c>
      <c r="AD53" s="4">
        <v>7</v>
      </c>
      <c r="AE53" s="11">
        <f>VLOOKUP(AD53,[1]المرجع!$B$3:$C$12,2)</f>
        <v>0</v>
      </c>
      <c r="AF53" s="8" t="str">
        <f>VLOOKUP(AE53,[1]المرجع!$D$3:$E$12,2)</f>
        <v>ه</v>
      </c>
      <c r="AG53" s="10">
        <f t="shared" si="5"/>
        <v>0</v>
      </c>
      <c r="AH53" s="15">
        <v>2</v>
      </c>
      <c r="AI53" s="4">
        <v>25</v>
      </c>
      <c r="AJ53" s="11">
        <f>VLOOKUP(AI53,[1]المرجع!$B$3:$C$12,2)</f>
        <v>0</v>
      </c>
      <c r="AK53" s="8" t="str">
        <f>VLOOKUP(AJ53,[1]المرجع!$D$3:$E$12,2)</f>
        <v>ه</v>
      </c>
      <c r="AL53" s="10">
        <f t="shared" si="6"/>
        <v>0</v>
      </c>
      <c r="AM53" s="15">
        <v>2</v>
      </c>
      <c r="AN53" s="4">
        <v>70</v>
      </c>
      <c r="AO53" s="11">
        <f>VLOOKUP(AN53,[1]المرجع!$B$3:$C$12,2)</f>
        <v>3</v>
      </c>
      <c r="AP53" s="8" t="str">
        <f>VLOOKUP(AO53,[1]المرجع!$D$3:$E$12,2)</f>
        <v>ج</v>
      </c>
      <c r="AQ53" s="10">
        <f t="shared" si="7"/>
        <v>6</v>
      </c>
      <c r="AR53" s="15">
        <v>2</v>
      </c>
      <c r="AS53" s="4">
        <v>55</v>
      </c>
      <c r="AT53" s="11">
        <f>VLOOKUP(AS53,[1]المرجع!$B$3:$C$12,2)</f>
        <v>2</v>
      </c>
      <c r="AU53" s="8" t="str">
        <f>VLOOKUP(AT53,[1]المرجع!$D$3:$E$12,2)</f>
        <v>د</v>
      </c>
      <c r="AV53" s="10">
        <f t="shared" si="8"/>
        <v>4</v>
      </c>
      <c r="AW53" s="15">
        <v>2</v>
      </c>
      <c r="AX53" s="4">
        <v>71</v>
      </c>
      <c r="AY53" s="11">
        <f>VLOOKUP(AX53,[1]المرجع!$B$3:$C$12,2)</f>
        <v>3</v>
      </c>
      <c r="AZ53" s="8" t="str">
        <f>VLOOKUP(AY53,[1]المرجع!$D$3:$E$12,2)</f>
        <v>ج</v>
      </c>
      <c r="BA53" s="10">
        <f t="shared" si="9"/>
        <v>6</v>
      </c>
      <c r="BB53" s="15">
        <v>2</v>
      </c>
      <c r="BC53" s="4">
        <v>60</v>
      </c>
      <c r="BD53" s="11">
        <f>VLOOKUP(BC53,[1]المرجع!$B$3:$C$12,2)</f>
        <v>2</v>
      </c>
      <c r="BE53" s="8" t="str">
        <f>VLOOKUP(BD53,[1]المرجع!$D$3:$E$12,2)</f>
        <v>د</v>
      </c>
      <c r="BF53" s="10">
        <f t="shared" si="10"/>
        <v>4</v>
      </c>
      <c r="BG53" s="15">
        <v>2</v>
      </c>
      <c r="BH53" s="4">
        <v>69</v>
      </c>
      <c r="BI53" s="11">
        <f>VLOOKUP(BH53,[1]المرجع!$B$3:$C$12,2)</f>
        <v>2.5</v>
      </c>
      <c r="BJ53" s="8" t="str">
        <f>VLOOKUP(BI53,[1]المرجع!$D$3:$E$12,2)</f>
        <v>د+</v>
      </c>
      <c r="BK53" s="10">
        <f t="shared" si="11"/>
        <v>5</v>
      </c>
      <c r="BL53" s="19">
        <f t="shared" si="12"/>
        <v>47</v>
      </c>
      <c r="BM53" s="20">
        <f t="shared" si="13"/>
        <v>23</v>
      </c>
      <c r="BN53" s="21">
        <f t="shared" si="14"/>
        <v>2.0434782608695654</v>
      </c>
      <c r="BO53" s="18"/>
      <c r="BP53" s="23" t="str">
        <f>VLOOKUP(BN53,[1]المرجع!D$3:F$12,3)</f>
        <v>مقبول</v>
      </c>
      <c r="BQ53" s="22">
        <f t="shared" si="15"/>
        <v>49</v>
      </c>
    </row>
    <row r="54" spans="2:69" ht="23.5">
      <c r="B54" s="1">
        <v>2024300</v>
      </c>
      <c r="C54" s="3" t="s">
        <v>65</v>
      </c>
      <c r="D54" s="5">
        <v>1</v>
      </c>
      <c r="E54" s="4">
        <v>25</v>
      </c>
      <c r="F54" s="11">
        <f>VLOOKUP(E54,[1]المرجع!$B$3:$C$12,2)</f>
        <v>0</v>
      </c>
      <c r="G54" s="8" t="str">
        <f>VLOOKUP(F54,[1]المرجع!$D$3:$E$12,2)</f>
        <v>ه</v>
      </c>
      <c r="H54" s="10">
        <f t="shared" si="0"/>
        <v>0</v>
      </c>
      <c r="I54" s="5">
        <v>2</v>
      </c>
      <c r="J54" s="4">
        <v>50</v>
      </c>
      <c r="K54" s="11">
        <f>VLOOKUP(J54,[1]المرجع!$B$3:$C$12,2)</f>
        <v>2</v>
      </c>
      <c r="L54" s="8" t="str">
        <f>VLOOKUP(K54,[1]المرجع!$D$3:$E$12,2)</f>
        <v>د</v>
      </c>
      <c r="M54" s="10">
        <f t="shared" si="1"/>
        <v>4</v>
      </c>
      <c r="N54" s="15">
        <v>2</v>
      </c>
      <c r="O54" s="4">
        <v>55</v>
      </c>
      <c r="P54" s="11">
        <f>VLOOKUP(O54,[1]المرجع!$B$3:$C$12,2)</f>
        <v>2</v>
      </c>
      <c r="Q54" s="8" t="str">
        <f>VLOOKUP(P54,[1]المرجع!$D$3:$E$12,2)</f>
        <v>د</v>
      </c>
      <c r="R54" s="10">
        <f t="shared" si="2"/>
        <v>4</v>
      </c>
      <c r="S54" s="15">
        <v>2</v>
      </c>
      <c r="T54" s="4">
        <v>79</v>
      </c>
      <c r="U54" s="11">
        <f>VLOOKUP(T54,[1]المرجع!$B$3:$C$12,2)</f>
        <v>3.5</v>
      </c>
      <c r="V54" s="8" t="str">
        <f>VLOOKUP(U54,[1]المرجع!$D$3:$E$12,2)</f>
        <v>ج+</v>
      </c>
      <c r="W54" s="10">
        <f t="shared" si="3"/>
        <v>7</v>
      </c>
      <c r="X54" s="15">
        <v>2</v>
      </c>
      <c r="Y54" s="4">
        <v>58</v>
      </c>
      <c r="Z54" s="11">
        <f>VLOOKUP(Y54,[1]المرجع!$B$3:$C$12,2)</f>
        <v>2</v>
      </c>
      <c r="AA54" s="8" t="str">
        <f>VLOOKUP(Z54,[1]المرجع!$D$3:$E$12,2)</f>
        <v>د</v>
      </c>
      <c r="AB54" s="10">
        <f t="shared" si="4"/>
        <v>4</v>
      </c>
      <c r="AC54" s="15">
        <v>2</v>
      </c>
      <c r="AD54" s="4">
        <v>50</v>
      </c>
      <c r="AE54" s="11">
        <f>VLOOKUP(AD54,[1]المرجع!$B$3:$C$12,2)</f>
        <v>2</v>
      </c>
      <c r="AF54" s="8" t="str">
        <f>VLOOKUP(AE54,[1]المرجع!$D$3:$E$12,2)</f>
        <v>د</v>
      </c>
      <c r="AG54" s="10">
        <f t="shared" si="5"/>
        <v>4</v>
      </c>
      <c r="AH54" s="15">
        <v>2</v>
      </c>
      <c r="AI54" s="4">
        <v>100</v>
      </c>
      <c r="AJ54" s="11">
        <f>VLOOKUP(AI54,[1]المرجع!$B$3:$C$12,2)</f>
        <v>5</v>
      </c>
      <c r="AK54" s="8" t="str">
        <f>VLOOKUP(AJ54,[1]المرجع!$D$3:$E$12,2)</f>
        <v xml:space="preserve">أ+ </v>
      </c>
      <c r="AL54" s="10">
        <f t="shared" si="6"/>
        <v>10</v>
      </c>
      <c r="AM54" s="15">
        <v>2</v>
      </c>
      <c r="AN54" s="4">
        <v>55</v>
      </c>
      <c r="AO54" s="11">
        <f>VLOOKUP(AN54,[1]المرجع!$B$3:$C$12,2)</f>
        <v>2</v>
      </c>
      <c r="AP54" s="8" t="str">
        <f>VLOOKUP(AO54,[1]المرجع!$D$3:$E$12,2)</f>
        <v>د</v>
      </c>
      <c r="AQ54" s="10">
        <f t="shared" si="7"/>
        <v>4</v>
      </c>
      <c r="AR54" s="15">
        <v>2</v>
      </c>
      <c r="AS54" s="4">
        <v>55</v>
      </c>
      <c r="AT54" s="11">
        <f>VLOOKUP(AS54,[1]المرجع!$B$3:$C$12,2)</f>
        <v>2</v>
      </c>
      <c r="AU54" s="8" t="str">
        <f>VLOOKUP(AT54,[1]المرجع!$D$3:$E$12,2)</f>
        <v>د</v>
      </c>
      <c r="AV54" s="10">
        <f t="shared" si="8"/>
        <v>4</v>
      </c>
      <c r="AW54" s="15">
        <v>2</v>
      </c>
      <c r="AX54" s="4">
        <v>65</v>
      </c>
      <c r="AY54" s="11">
        <f>VLOOKUP(AX54,[1]المرجع!$B$3:$C$12,2)</f>
        <v>2.5</v>
      </c>
      <c r="AZ54" s="8" t="str">
        <f>VLOOKUP(AY54,[1]المرجع!$D$3:$E$12,2)</f>
        <v>د+</v>
      </c>
      <c r="BA54" s="10">
        <f t="shared" si="9"/>
        <v>5</v>
      </c>
      <c r="BB54" s="15">
        <v>2</v>
      </c>
      <c r="BC54" s="4">
        <v>55</v>
      </c>
      <c r="BD54" s="11">
        <f>VLOOKUP(BC54,[1]المرجع!$B$3:$C$12,2)</f>
        <v>2</v>
      </c>
      <c r="BE54" s="8" t="str">
        <f>VLOOKUP(BD54,[1]المرجع!$D$3:$E$12,2)</f>
        <v>د</v>
      </c>
      <c r="BF54" s="10">
        <f t="shared" si="10"/>
        <v>4</v>
      </c>
      <c r="BG54" s="15">
        <v>2</v>
      </c>
      <c r="BH54" s="4">
        <v>54</v>
      </c>
      <c r="BI54" s="11">
        <f>VLOOKUP(BH54,[1]المرجع!$B$3:$C$12,2)</f>
        <v>2</v>
      </c>
      <c r="BJ54" s="8" t="str">
        <f>VLOOKUP(BI54,[1]المرجع!$D$3:$E$12,2)</f>
        <v>د</v>
      </c>
      <c r="BK54" s="10">
        <f t="shared" si="11"/>
        <v>4</v>
      </c>
      <c r="BL54" s="19">
        <f t="shared" si="12"/>
        <v>54</v>
      </c>
      <c r="BM54" s="20">
        <f t="shared" si="13"/>
        <v>23</v>
      </c>
      <c r="BN54" s="21">
        <f t="shared" si="14"/>
        <v>2.347826086956522</v>
      </c>
      <c r="BO54" s="18"/>
      <c r="BP54" s="23" t="str">
        <f>VLOOKUP(BN54,[1]المرجع!D$3:F$12,3)</f>
        <v xml:space="preserve">مقبول مرتفع </v>
      </c>
      <c r="BQ54" s="22">
        <f t="shared" si="15"/>
        <v>47</v>
      </c>
    </row>
    <row r="55" spans="2:69" ht="23.5">
      <c r="B55" s="1">
        <v>2024171</v>
      </c>
      <c r="C55" s="3" t="s">
        <v>66</v>
      </c>
      <c r="D55" s="5">
        <v>1</v>
      </c>
      <c r="E55" s="4">
        <v>23</v>
      </c>
      <c r="F55" s="11">
        <f>VLOOKUP(E55,[1]المرجع!$B$3:$C$12,2)</f>
        <v>0</v>
      </c>
      <c r="G55" s="8" t="str">
        <f>VLOOKUP(F55,[1]المرجع!$D$3:$E$12,2)</f>
        <v>ه</v>
      </c>
      <c r="H55" s="10">
        <f t="shared" si="0"/>
        <v>0</v>
      </c>
      <c r="I55" s="5">
        <v>2</v>
      </c>
      <c r="J55" s="4">
        <v>53</v>
      </c>
      <c r="K55" s="11">
        <f>VLOOKUP(J55,[1]المرجع!$B$3:$C$12,2)</f>
        <v>2</v>
      </c>
      <c r="L55" s="8" t="str">
        <f>VLOOKUP(K55,[1]المرجع!$D$3:$E$12,2)</f>
        <v>د</v>
      </c>
      <c r="M55" s="10">
        <f t="shared" si="1"/>
        <v>4</v>
      </c>
      <c r="N55" s="15">
        <v>2</v>
      </c>
      <c r="O55" s="4">
        <v>0</v>
      </c>
      <c r="P55" s="11">
        <f>VLOOKUP(O55,[1]المرجع!$B$3:$C$12,2)</f>
        <v>0</v>
      </c>
      <c r="Q55" s="8" t="str">
        <f>VLOOKUP(P55,[1]المرجع!$D$3:$E$12,2)</f>
        <v>ه</v>
      </c>
      <c r="R55" s="10">
        <f t="shared" si="2"/>
        <v>0</v>
      </c>
      <c r="S55" s="15">
        <v>2</v>
      </c>
      <c r="T55" s="4">
        <v>30</v>
      </c>
      <c r="U55" s="11">
        <f>VLOOKUP(T55,[1]المرجع!$B$3:$C$12,2)</f>
        <v>0</v>
      </c>
      <c r="V55" s="8" t="str">
        <f>VLOOKUP(U55,[1]المرجع!$D$3:$E$12,2)</f>
        <v>ه</v>
      </c>
      <c r="W55" s="10">
        <f t="shared" si="3"/>
        <v>0</v>
      </c>
      <c r="X55" s="15">
        <v>2</v>
      </c>
      <c r="Y55" s="4">
        <v>15</v>
      </c>
      <c r="Z55" s="11">
        <f>VLOOKUP(Y55,[1]المرجع!$B$3:$C$12,2)</f>
        <v>0</v>
      </c>
      <c r="AA55" s="8" t="str">
        <f>VLOOKUP(Z55,[1]المرجع!$D$3:$E$12,2)</f>
        <v>ه</v>
      </c>
      <c r="AB55" s="10">
        <f t="shared" si="4"/>
        <v>0</v>
      </c>
      <c r="AC55" s="15">
        <v>2</v>
      </c>
      <c r="AD55" s="4">
        <v>0</v>
      </c>
      <c r="AE55" s="11">
        <f>VLOOKUP(AD55,[1]المرجع!$B$3:$C$12,2)</f>
        <v>0</v>
      </c>
      <c r="AF55" s="8" t="str">
        <f>VLOOKUP(AE55,[1]المرجع!$D$3:$E$12,2)</f>
        <v>ه</v>
      </c>
      <c r="AG55" s="10">
        <f t="shared" si="5"/>
        <v>0</v>
      </c>
      <c r="AH55" s="15">
        <v>2</v>
      </c>
      <c r="AI55" s="4">
        <v>35</v>
      </c>
      <c r="AJ55" s="11">
        <f>VLOOKUP(AI55,[1]المرجع!$B$3:$C$12,2)</f>
        <v>0</v>
      </c>
      <c r="AK55" s="8" t="str">
        <f>VLOOKUP(AJ55,[1]المرجع!$D$3:$E$12,2)</f>
        <v>ه</v>
      </c>
      <c r="AL55" s="10">
        <f t="shared" si="6"/>
        <v>0</v>
      </c>
      <c r="AM55" s="15">
        <v>2</v>
      </c>
      <c r="AN55" s="4">
        <v>15</v>
      </c>
      <c r="AO55" s="11">
        <f>VLOOKUP(AN55,[1]المرجع!$B$3:$C$12,2)</f>
        <v>0</v>
      </c>
      <c r="AP55" s="8" t="str">
        <f>VLOOKUP(AO55,[1]المرجع!$D$3:$E$12,2)</f>
        <v>ه</v>
      </c>
      <c r="AQ55" s="10">
        <f t="shared" si="7"/>
        <v>0</v>
      </c>
      <c r="AR55" s="15">
        <v>2</v>
      </c>
      <c r="AS55" s="4">
        <v>50</v>
      </c>
      <c r="AT55" s="11">
        <f>VLOOKUP(AS55,[1]المرجع!$B$3:$C$12,2)</f>
        <v>2</v>
      </c>
      <c r="AU55" s="8" t="str">
        <f>VLOOKUP(AT55,[1]المرجع!$D$3:$E$12,2)</f>
        <v>د</v>
      </c>
      <c r="AV55" s="10">
        <f t="shared" si="8"/>
        <v>4</v>
      </c>
      <c r="AW55" s="15">
        <v>2</v>
      </c>
      <c r="AX55" s="4">
        <v>21</v>
      </c>
      <c r="AY55" s="11">
        <f>VLOOKUP(AX55,[1]المرجع!$B$3:$C$12,2)</f>
        <v>0</v>
      </c>
      <c r="AZ55" s="8" t="str">
        <f>VLOOKUP(AY55,[1]المرجع!$D$3:$E$12,2)</f>
        <v>ه</v>
      </c>
      <c r="BA55" s="10">
        <f t="shared" si="9"/>
        <v>0</v>
      </c>
      <c r="BB55" s="15">
        <v>2</v>
      </c>
      <c r="BC55" s="4">
        <v>35</v>
      </c>
      <c r="BD55" s="11">
        <f>VLOOKUP(BC55,[1]المرجع!$B$3:$C$12,2)</f>
        <v>0</v>
      </c>
      <c r="BE55" s="8" t="str">
        <f>VLOOKUP(BD55,[1]المرجع!$D$3:$E$12,2)</f>
        <v>ه</v>
      </c>
      <c r="BF55" s="10">
        <f t="shared" si="10"/>
        <v>0</v>
      </c>
      <c r="BG55" s="15">
        <v>2</v>
      </c>
      <c r="BH55" s="4">
        <v>66</v>
      </c>
      <c r="BI55" s="11">
        <f>VLOOKUP(BH55,[1]المرجع!$B$3:$C$12,2)</f>
        <v>2.5</v>
      </c>
      <c r="BJ55" s="8" t="str">
        <f>VLOOKUP(BI55,[1]المرجع!$D$3:$E$12,2)</f>
        <v>د+</v>
      </c>
      <c r="BK55" s="10">
        <f t="shared" si="11"/>
        <v>5</v>
      </c>
      <c r="BL55" s="19">
        <f t="shared" si="12"/>
        <v>13</v>
      </c>
      <c r="BM55" s="20">
        <f t="shared" si="13"/>
        <v>23</v>
      </c>
      <c r="BN55" s="21">
        <f t="shared" si="14"/>
        <v>0.56521739130434778</v>
      </c>
      <c r="BO55" s="18"/>
      <c r="BP55" s="23" t="str">
        <f>VLOOKUP(BN55,[1]المرجع!D$3:F$12,3)</f>
        <v>راسب</v>
      </c>
      <c r="BQ55" s="22">
        <f t="shared" si="15"/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004A-DB3D-4A8D-91AA-3ABA843813BD}">
  <sheetPr codeName="ورقة2">
    <tabColor rgb="FF100872"/>
  </sheetPr>
  <dimension ref="B1:BG46"/>
  <sheetViews>
    <sheetView rightToLeft="1" topLeftCell="AJ1" zoomScale="107" zoomScaleNormal="107" workbookViewId="0">
      <selection activeCell="I6" sqref="I6"/>
    </sheetView>
  </sheetViews>
  <sheetFormatPr defaultRowHeight="14.5"/>
  <cols>
    <col min="2" max="2" width="11.90625" customWidth="1"/>
    <col min="3" max="3" width="28.26953125" bestFit="1" customWidth="1"/>
    <col min="4" max="4" width="5.453125" customWidth="1"/>
    <col min="5" max="6" width="7.6328125" customWidth="1"/>
    <col min="7" max="7" width="6" customWidth="1"/>
    <col min="8" max="53" width="7.6328125" customWidth="1"/>
    <col min="54" max="54" width="8.1796875" bestFit="1" customWidth="1"/>
    <col min="55" max="57" width="7.6328125" customWidth="1"/>
    <col min="58" max="58" width="9.7265625" customWidth="1"/>
    <col min="59" max="59" width="8.81640625" customWidth="1"/>
  </cols>
  <sheetData>
    <row r="1" spans="2:59" ht="90.5">
      <c r="B1" s="35" t="s">
        <v>0</v>
      </c>
      <c r="C1" s="34" t="s">
        <v>1</v>
      </c>
      <c r="D1" s="14" t="s">
        <v>67</v>
      </c>
      <c r="E1" s="2" t="s">
        <v>2</v>
      </c>
      <c r="F1" s="6" t="s">
        <v>68</v>
      </c>
      <c r="G1" s="7" t="s">
        <v>69</v>
      </c>
      <c r="H1" s="9" t="s">
        <v>70</v>
      </c>
      <c r="I1" s="14" t="s">
        <v>67</v>
      </c>
      <c r="J1" s="2" t="s">
        <v>77</v>
      </c>
      <c r="K1" s="6" t="s">
        <v>68</v>
      </c>
      <c r="L1" s="7" t="s">
        <v>69</v>
      </c>
      <c r="M1" s="9" t="s">
        <v>70</v>
      </c>
      <c r="N1" s="14" t="s">
        <v>67</v>
      </c>
      <c r="O1" s="2" t="s">
        <v>78</v>
      </c>
      <c r="P1" s="6" t="s">
        <v>68</v>
      </c>
      <c r="Q1" s="7" t="s">
        <v>69</v>
      </c>
      <c r="R1" s="9" t="s">
        <v>70</v>
      </c>
      <c r="S1" s="14" t="s">
        <v>67</v>
      </c>
      <c r="T1" s="26" t="s">
        <v>79</v>
      </c>
      <c r="U1" s="6" t="s">
        <v>68</v>
      </c>
      <c r="V1" s="7" t="s">
        <v>69</v>
      </c>
      <c r="W1" s="9" t="s">
        <v>70</v>
      </c>
      <c r="X1" s="14" t="s">
        <v>67</v>
      </c>
      <c r="Y1" s="26" t="s">
        <v>80</v>
      </c>
      <c r="Z1" s="6" t="s">
        <v>68</v>
      </c>
      <c r="AA1" s="7" t="s">
        <v>69</v>
      </c>
      <c r="AB1" s="9" t="s">
        <v>70</v>
      </c>
      <c r="AC1" s="14" t="s">
        <v>67</v>
      </c>
      <c r="AD1" s="26" t="s">
        <v>81</v>
      </c>
      <c r="AE1" s="6" t="s">
        <v>68</v>
      </c>
      <c r="AF1" s="7" t="s">
        <v>69</v>
      </c>
      <c r="AG1" s="9" t="s">
        <v>70</v>
      </c>
      <c r="AH1" s="14" t="s">
        <v>67</v>
      </c>
      <c r="AI1" s="29" t="s">
        <v>84</v>
      </c>
      <c r="AJ1" s="6" t="s">
        <v>68</v>
      </c>
      <c r="AK1" s="7" t="s">
        <v>69</v>
      </c>
      <c r="AL1" s="9" t="s">
        <v>70</v>
      </c>
      <c r="AM1" s="14" t="s">
        <v>67</v>
      </c>
      <c r="AN1" s="26" t="s">
        <v>82</v>
      </c>
      <c r="AO1" s="6" t="s">
        <v>68</v>
      </c>
      <c r="AP1" s="7" t="s">
        <v>69</v>
      </c>
      <c r="AQ1" s="9" t="s">
        <v>70</v>
      </c>
      <c r="AR1" s="14" t="s">
        <v>67</v>
      </c>
      <c r="AS1" s="26" t="s">
        <v>83</v>
      </c>
      <c r="AT1" s="6" t="s">
        <v>68</v>
      </c>
      <c r="AU1" s="7" t="s">
        <v>69</v>
      </c>
      <c r="AV1" s="9" t="s">
        <v>70</v>
      </c>
      <c r="AW1" s="14" t="s">
        <v>67</v>
      </c>
      <c r="AX1" s="26" t="s">
        <v>13</v>
      </c>
      <c r="AY1" s="6" t="s">
        <v>68</v>
      </c>
      <c r="AZ1" s="7" t="s">
        <v>69</v>
      </c>
      <c r="BA1" s="9" t="s">
        <v>70</v>
      </c>
      <c r="BB1" s="16" t="s">
        <v>71</v>
      </c>
      <c r="BC1" s="16" t="s">
        <v>72</v>
      </c>
      <c r="BD1" s="16" t="s">
        <v>73</v>
      </c>
      <c r="BE1" s="17" t="s">
        <v>74</v>
      </c>
      <c r="BF1" s="24" t="s">
        <v>75</v>
      </c>
      <c r="BG1" s="16" t="s">
        <v>76</v>
      </c>
    </row>
    <row r="2" spans="2:59" ht="23.5">
      <c r="B2" s="27">
        <v>2024174</v>
      </c>
      <c r="C2" s="28" t="s">
        <v>14</v>
      </c>
      <c r="D2" s="5">
        <v>1</v>
      </c>
      <c r="E2" s="25">
        <v>100</v>
      </c>
      <c r="F2" s="11">
        <f>VLOOKUP(E2,المرجع!$B$2:$C$11,2)</f>
        <v>5</v>
      </c>
      <c r="G2" s="8" t="str">
        <f>VLOOKUP(F2,المرجع!$D$2:$E$11,2)</f>
        <v xml:space="preserve">أ+ </v>
      </c>
      <c r="H2" s="10">
        <f>F2*D2</f>
        <v>5</v>
      </c>
      <c r="I2" s="5">
        <v>2</v>
      </c>
      <c r="J2" s="25">
        <v>100</v>
      </c>
      <c r="K2" s="11">
        <f>VLOOKUP(J2,المرجع!$B$2:$C$11,2)</f>
        <v>5</v>
      </c>
      <c r="L2" s="8" t="str">
        <f>VLOOKUP(K2,[1]المرجع!$D$3:$E$12,2)</f>
        <v xml:space="preserve">أ+ </v>
      </c>
      <c r="M2" s="10">
        <f>K2*I2</f>
        <v>10</v>
      </c>
      <c r="N2" s="15">
        <v>3</v>
      </c>
      <c r="O2" s="25">
        <v>100</v>
      </c>
      <c r="P2" s="11">
        <f>VLOOKUP(O2,المرجع!$B$2:$C$11,2)</f>
        <v>5</v>
      </c>
      <c r="Q2" s="8" t="str">
        <f>VLOOKUP(P2,[1]المرجع!$D$3:$E$12,2)</f>
        <v xml:space="preserve">أ+ </v>
      </c>
      <c r="R2" s="10">
        <f>P2*N2</f>
        <v>15</v>
      </c>
      <c r="S2" s="15">
        <v>3</v>
      </c>
      <c r="T2" s="25">
        <v>100</v>
      </c>
      <c r="U2" s="11">
        <f>VLOOKUP(T2,المرجع!$B$2:$C$11,2)</f>
        <v>5</v>
      </c>
      <c r="V2" s="8" t="str">
        <f>VLOOKUP(U2,[1]المرجع!$D$3:$E$12,2)</f>
        <v xml:space="preserve">أ+ </v>
      </c>
      <c r="W2" s="10">
        <f>U2*S2</f>
        <v>15</v>
      </c>
      <c r="X2" s="15">
        <v>3</v>
      </c>
      <c r="Y2" s="25">
        <v>100</v>
      </c>
      <c r="Z2" s="11">
        <f>VLOOKUP(Y2,المرجع!$B$2:$C$11,2)</f>
        <v>5</v>
      </c>
      <c r="AA2" s="8" t="str">
        <f>VLOOKUP(Z2,[1]المرجع!$D$3:$E$12,2)</f>
        <v xml:space="preserve">أ+ </v>
      </c>
      <c r="AB2" s="10">
        <f>Z2*X2</f>
        <v>15</v>
      </c>
      <c r="AC2" s="15">
        <v>2</v>
      </c>
      <c r="AD2" s="25">
        <v>100</v>
      </c>
      <c r="AE2" s="11">
        <f>VLOOKUP(AD2,المرجع!$B$2:$C$11,2)</f>
        <v>5</v>
      </c>
      <c r="AF2" s="8" t="str">
        <f>VLOOKUP(AE2,[1]المرجع!$D$3:$E$12,2)</f>
        <v xml:space="preserve">أ+ </v>
      </c>
      <c r="AG2" s="10">
        <f>AE2*AC2</f>
        <v>10</v>
      </c>
      <c r="AH2" s="15">
        <v>2</v>
      </c>
      <c r="AI2" s="25">
        <v>99</v>
      </c>
      <c r="AJ2" s="11">
        <f>VLOOKUP(AI2,المرجع!$B$2:$C$11,2)</f>
        <v>5</v>
      </c>
      <c r="AK2" s="8" t="str">
        <f>VLOOKUP(AJ2,[1]المرجع!$D$3:$E$12,2)</f>
        <v xml:space="preserve">أ+ </v>
      </c>
      <c r="AL2" s="10">
        <f>AJ2*AH2</f>
        <v>10</v>
      </c>
      <c r="AM2" s="15">
        <v>2</v>
      </c>
      <c r="AN2" s="25">
        <v>100</v>
      </c>
      <c r="AO2" s="11">
        <f>VLOOKUP(AN2,المرجع!$B$2:$C$11,2)</f>
        <v>5</v>
      </c>
      <c r="AP2" s="8" t="str">
        <f>VLOOKUP(AO2,[1]المرجع!$D$3:$E$12,2)</f>
        <v xml:space="preserve">أ+ </v>
      </c>
      <c r="AQ2" s="10">
        <f>AO2*AM2</f>
        <v>10</v>
      </c>
      <c r="AR2" s="15">
        <v>2</v>
      </c>
      <c r="AS2" s="25">
        <v>100</v>
      </c>
      <c r="AT2" s="11">
        <f>VLOOKUP(AS2,المرجع!$B$2:$C$11,2)</f>
        <v>5</v>
      </c>
      <c r="AU2" s="8" t="str">
        <f>VLOOKUP(AT2,[1]المرجع!$D$3:$E$12,2)</f>
        <v xml:space="preserve">أ+ </v>
      </c>
      <c r="AV2" s="10">
        <f>AT2*AR2</f>
        <v>10</v>
      </c>
      <c r="AW2" s="15">
        <v>2</v>
      </c>
      <c r="AX2" s="25">
        <v>94</v>
      </c>
      <c r="AY2" s="11">
        <f>VLOOKUP(AX2,المرجع!$B$2:$C$11,2)</f>
        <v>4.75</v>
      </c>
      <c r="AZ2" s="8" t="str">
        <f>VLOOKUP(AY2,[1]المرجع!$D$3:$E$12,2)</f>
        <v>أ</v>
      </c>
      <c r="BA2" s="30">
        <f>AY2*AW2</f>
        <v>9.5</v>
      </c>
      <c r="BB2" s="31">
        <f>BA2+AV2+AQ2+AL2+AG2+AB2+W2+R2+M2+H2</f>
        <v>109.5</v>
      </c>
      <c r="BC2" s="20">
        <f>AW2+AR2+AM2+AH2+AC2+X2+S2+N2+I2+D2</f>
        <v>22</v>
      </c>
      <c r="BD2" s="21">
        <f>BB2/BC2</f>
        <v>4.9772727272727275</v>
      </c>
      <c r="BE2" s="49">
        <f>(BB2+'المستوى الأول '!BL3)/('المستوى الأول '!BM3+'المستوى الثاني '!BC2)</f>
        <v>4.9777777777777779</v>
      </c>
      <c r="BF2" s="23" t="str">
        <f>VLOOKUP(BE2,المرجع!$D$3:$F$11,3,TRUE)</f>
        <v xml:space="preserve">ممتاز مرتفع </v>
      </c>
      <c r="BG2" s="22">
        <f>RANK(BD2,$BD$2:$BD$46)</f>
        <v>1</v>
      </c>
    </row>
    <row r="3" spans="2:59" ht="23.5">
      <c r="B3" s="27">
        <v>2024156</v>
      </c>
      <c r="C3" s="28" t="s">
        <v>23</v>
      </c>
      <c r="D3" s="5">
        <v>1</v>
      </c>
      <c r="E3" s="25">
        <v>99</v>
      </c>
      <c r="F3" s="11">
        <f>VLOOKUP(E3,المرجع!$B$2:$C$11,2)</f>
        <v>5</v>
      </c>
      <c r="G3" s="8" t="str">
        <f>VLOOKUP(F3,المرجع!$D$2:$E$11,2)</f>
        <v xml:space="preserve">أ+ </v>
      </c>
      <c r="H3" s="10">
        <f t="shared" ref="H3:H46" si="0">F3*D3</f>
        <v>5</v>
      </c>
      <c r="I3" s="5">
        <v>2</v>
      </c>
      <c r="J3" s="25">
        <v>87</v>
      </c>
      <c r="K3" s="11">
        <f>VLOOKUP(J3,المرجع!$B$2:$C$11,2)</f>
        <v>4.5</v>
      </c>
      <c r="L3" s="8" t="str">
        <f>VLOOKUP(K3,[1]المرجع!$D$3:$E$12,2)</f>
        <v>ب+</v>
      </c>
      <c r="M3" s="10">
        <f t="shared" ref="M3:M46" si="1">K3*I3</f>
        <v>9</v>
      </c>
      <c r="N3" s="15">
        <v>3</v>
      </c>
      <c r="O3" s="25">
        <v>99</v>
      </c>
      <c r="P3" s="11">
        <f>VLOOKUP(O3,المرجع!$B$2:$C$11,2)</f>
        <v>5</v>
      </c>
      <c r="Q3" s="8" t="str">
        <f>VLOOKUP(P3,[1]المرجع!$D$3:$E$12,2)</f>
        <v xml:space="preserve">أ+ </v>
      </c>
      <c r="R3" s="10">
        <f t="shared" ref="R3:R46" si="2">P3*N3</f>
        <v>15</v>
      </c>
      <c r="S3" s="15">
        <v>3</v>
      </c>
      <c r="T3" s="25">
        <v>96</v>
      </c>
      <c r="U3" s="11">
        <f>VLOOKUP(T3,المرجع!$B$2:$C$11,2)</f>
        <v>5</v>
      </c>
      <c r="V3" s="8" t="str">
        <f>VLOOKUP(U3,[1]المرجع!$D$3:$E$12,2)</f>
        <v xml:space="preserve">أ+ </v>
      </c>
      <c r="W3" s="10">
        <f t="shared" ref="W3:W46" si="3">U3*S3</f>
        <v>15</v>
      </c>
      <c r="X3" s="15">
        <v>3</v>
      </c>
      <c r="Y3" s="25">
        <v>100</v>
      </c>
      <c r="Z3" s="11">
        <f>VLOOKUP(Y3,المرجع!$B$2:$C$11,2)</f>
        <v>5</v>
      </c>
      <c r="AA3" s="8" t="str">
        <f>VLOOKUP(Z3,[1]المرجع!$D$3:$E$12,2)</f>
        <v xml:space="preserve">أ+ </v>
      </c>
      <c r="AB3" s="10">
        <f t="shared" ref="AB3:AB46" si="4">Z3*X3</f>
        <v>15</v>
      </c>
      <c r="AC3" s="15">
        <v>2</v>
      </c>
      <c r="AD3" s="25">
        <v>89</v>
      </c>
      <c r="AE3" s="11">
        <f>VLOOKUP(AD3,المرجع!$B$2:$C$11,2)</f>
        <v>4.5</v>
      </c>
      <c r="AF3" s="8" t="str">
        <f>VLOOKUP(AE3,[1]المرجع!$D$3:$E$12,2)</f>
        <v>ب+</v>
      </c>
      <c r="AG3" s="10">
        <f t="shared" ref="AG3:AG46" si="5">AE3*AC3</f>
        <v>9</v>
      </c>
      <c r="AH3" s="15">
        <v>2</v>
      </c>
      <c r="AI3" s="25">
        <v>91</v>
      </c>
      <c r="AJ3" s="11">
        <f>VLOOKUP(AI3,المرجع!$B$2:$C$11,2)</f>
        <v>4.75</v>
      </c>
      <c r="AK3" s="8" t="str">
        <f>VLOOKUP(AJ3,[1]المرجع!$D$3:$E$12,2)</f>
        <v>أ</v>
      </c>
      <c r="AL3" s="10">
        <f t="shared" ref="AL3:AL46" si="6">AJ3*AH3</f>
        <v>9.5</v>
      </c>
      <c r="AM3" s="15">
        <v>2</v>
      </c>
      <c r="AN3" s="25">
        <v>95</v>
      </c>
      <c r="AO3" s="11">
        <f>VLOOKUP(AN3,المرجع!$B$2:$C$11,2)</f>
        <v>5</v>
      </c>
      <c r="AP3" s="8" t="str">
        <f>VLOOKUP(AO3,[1]المرجع!$D$3:$E$12,2)</f>
        <v xml:space="preserve">أ+ </v>
      </c>
      <c r="AQ3" s="10">
        <f t="shared" ref="AQ3:AQ46" si="7">AO3*AM3</f>
        <v>10</v>
      </c>
      <c r="AR3" s="15">
        <v>2</v>
      </c>
      <c r="AS3" s="25">
        <v>100</v>
      </c>
      <c r="AT3" s="11">
        <f>VLOOKUP(AS3,المرجع!$B$2:$C$11,2)</f>
        <v>5</v>
      </c>
      <c r="AU3" s="8" t="str">
        <f>VLOOKUP(AT3,[1]المرجع!$D$3:$E$12,2)</f>
        <v xml:space="preserve">أ+ </v>
      </c>
      <c r="AV3" s="10">
        <f t="shared" ref="AV3:AV46" si="8">AT3*AR3</f>
        <v>10</v>
      </c>
      <c r="AW3" s="15">
        <v>2</v>
      </c>
      <c r="AX3" s="25">
        <v>100</v>
      </c>
      <c r="AY3" s="11">
        <f>VLOOKUP(AX3,المرجع!$B$2:$C$11,2)</f>
        <v>5</v>
      </c>
      <c r="AZ3" s="8" t="str">
        <f>VLOOKUP(AY3,[1]المرجع!$D$3:$E$12,2)</f>
        <v xml:space="preserve">أ+ </v>
      </c>
      <c r="BA3" s="30">
        <f t="shared" ref="BA3:BA46" si="9">AY3*AW3</f>
        <v>10</v>
      </c>
      <c r="BB3" s="31">
        <f t="shared" ref="BB3:BB46" si="10">BA3+AV3+AQ3+AL3+AG3+AB3+W3+R3+M3+H3</f>
        <v>107.5</v>
      </c>
      <c r="BC3" s="20">
        <f t="shared" ref="BC3:BC46" si="11">AW3+AR3+AM3+AH3+AC3+X3+S3+N3+I3+D3</f>
        <v>22</v>
      </c>
      <c r="BD3" s="21">
        <f t="shared" ref="BD3:BD46" si="12">BB3/BC3</f>
        <v>4.8863636363636367</v>
      </c>
      <c r="BE3" s="49">
        <f>(BB3+'المستوى الأول '!BL4)/('المستوى الأول '!BM4+'المستوى الثاني '!BC3)</f>
        <v>4.7888888888888888</v>
      </c>
      <c r="BF3" s="23" t="str">
        <f>VLOOKUP(BE3,المرجع!$D$3:$F$11,3,TRUE)</f>
        <v xml:space="preserve">ممتاز مرتفع </v>
      </c>
      <c r="BG3" s="22">
        <f t="shared" ref="BG3:BG46" si="13">RANK(BD3,$BD$2:$BD$46)</f>
        <v>2</v>
      </c>
    </row>
    <row r="4" spans="2:59" ht="23.5">
      <c r="B4" s="27">
        <v>2024154</v>
      </c>
      <c r="C4" s="28" t="s">
        <v>15</v>
      </c>
      <c r="D4" s="5">
        <v>1</v>
      </c>
      <c r="E4" s="25">
        <v>96</v>
      </c>
      <c r="F4" s="11">
        <f>VLOOKUP(E4,المرجع!$B$2:$C$11,2)</f>
        <v>5</v>
      </c>
      <c r="G4" s="8" t="str">
        <f>VLOOKUP(F4,المرجع!$D$2:$E$11,2)</f>
        <v xml:space="preserve">أ+ </v>
      </c>
      <c r="H4" s="10">
        <f t="shared" si="0"/>
        <v>5</v>
      </c>
      <c r="I4" s="5">
        <v>2</v>
      </c>
      <c r="J4" s="25">
        <v>82</v>
      </c>
      <c r="K4" s="11">
        <f>VLOOKUP(J4,المرجع!$B$2:$C$11,2)</f>
        <v>4</v>
      </c>
      <c r="L4" s="8" t="str">
        <f>VLOOKUP(K4,[1]المرجع!$D$3:$E$12,2)</f>
        <v>ب</v>
      </c>
      <c r="M4" s="10">
        <f t="shared" si="1"/>
        <v>8</v>
      </c>
      <c r="N4" s="15">
        <v>3</v>
      </c>
      <c r="O4" s="25">
        <v>100</v>
      </c>
      <c r="P4" s="11">
        <f>VLOOKUP(O4,المرجع!$B$2:$C$11,2)</f>
        <v>5</v>
      </c>
      <c r="Q4" s="8" t="str">
        <f>VLOOKUP(P4,[1]المرجع!$D$3:$E$12,2)</f>
        <v xml:space="preserve">أ+ </v>
      </c>
      <c r="R4" s="10">
        <f t="shared" si="2"/>
        <v>15</v>
      </c>
      <c r="S4" s="15">
        <v>3</v>
      </c>
      <c r="T4" s="25">
        <v>92</v>
      </c>
      <c r="U4" s="11">
        <f>VLOOKUP(T4,المرجع!$B$2:$C$11,2)</f>
        <v>4.75</v>
      </c>
      <c r="V4" s="8" t="str">
        <f>VLOOKUP(U4,[1]المرجع!$D$3:$E$12,2)</f>
        <v>أ</v>
      </c>
      <c r="W4" s="10">
        <f t="shared" si="3"/>
        <v>14.25</v>
      </c>
      <c r="X4" s="15">
        <v>3</v>
      </c>
      <c r="Y4" s="25">
        <v>100</v>
      </c>
      <c r="Z4" s="11">
        <f>VLOOKUP(Y4,المرجع!$B$2:$C$11,2)</f>
        <v>5</v>
      </c>
      <c r="AA4" s="8" t="str">
        <f>VLOOKUP(Z4,[1]المرجع!$D$3:$E$12,2)</f>
        <v xml:space="preserve">أ+ </v>
      </c>
      <c r="AB4" s="10">
        <f t="shared" si="4"/>
        <v>15</v>
      </c>
      <c r="AC4" s="15">
        <v>2</v>
      </c>
      <c r="AD4" s="25">
        <v>89</v>
      </c>
      <c r="AE4" s="11">
        <f>VLOOKUP(AD4,المرجع!$B$2:$C$11,2)</f>
        <v>4.5</v>
      </c>
      <c r="AF4" s="8" t="str">
        <f>VLOOKUP(AE4,[1]المرجع!$D$3:$E$12,2)</f>
        <v>ب+</v>
      </c>
      <c r="AG4" s="10">
        <f t="shared" si="5"/>
        <v>9</v>
      </c>
      <c r="AH4" s="15">
        <v>2</v>
      </c>
      <c r="AI4" s="25">
        <v>90</v>
      </c>
      <c r="AJ4" s="11">
        <f>VLOOKUP(AI4,المرجع!$B$2:$C$11,2)</f>
        <v>4.75</v>
      </c>
      <c r="AK4" s="8" t="str">
        <f>VLOOKUP(AJ4,[1]المرجع!$D$3:$E$12,2)</f>
        <v>أ</v>
      </c>
      <c r="AL4" s="10">
        <f t="shared" si="6"/>
        <v>9.5</v>
      </c>
      <c r="AM4" s="15">
        <v>2</v>
      </c>
      <c r="AN4" s="25">
        <v>95</v>
      </c>
      <c r="AO4" s="11">
        <f>VLOOKUP(AN4,المرجع!$B$2:$C$11,2)</f>
        <v>5</v>
      </c>
      <c r="AP4" s="8" t="str">
        <f>VLOOKUP(AO4,[1]المرجع!$D$3:$E$12,2)</f>
        <v xml:space="preserve">أ+ </v>
      </c>
      <c r="AQ4" s="10">
        <f t="shared" si="7"/>
        <v>10</v>
      </c>
      <c r="AR4" s="15">
        <v>2</v>
      </c>
      <c r="AS4" s="25">
        <v>90</v>
      </c>
      <c r="AT4" s="11">
        <f>VLOOKUP(AS4,المرجع!$B$2:$C$11,2)</f>
        <v>4.75</v>
      </c>
      <c r="AU4" s="8" t="str">
        <f>VLOOKUP(AT4,[1]المرجع!$D$3:$E$12,2)</f>
        <v>أ</v>
      </c>
      <c r="AV4" s="10">
        <f t="shared" si="8"/>
        <v>9.5</v>
      </c>
      <c r="AW4" s="15">
        <v>2</v>
      </c>
      <c r="AX4" s="25">
        <v>94</v>
      </c>
      <c r="AY4" s="11">
        <f>VLOOKUP(AX4,المرجع!$B$2:$C$11,2)</f>
        <v>4.75</v>
      </c>
      <c r="AZ4" s="8" t="str">
        <f>VLOOKUP(AY4,[1]المرجع!$D$3:$E$12,2)</f>
        <v>أ</v>
      </c>
      <c r="BA4" s="30">
        <f t="shared" si="9"/>
        <v>9.5</v>
      </c>
      <c r="BB4" s="31">
        <f t="shared" si="10"/>
        <v>104.75</v>
      </c>
      <c r="BC4" s="20">
        <f t="shared" si="11"/>
        <v>22</v>
      </c>
      <c r="BD4" s="21">
        <f t="shared" si="12"/>
        <v>4.7613636363636367</v>
      </c>
      <c r="BE4" s="49">
        <f>(BB4+'المستوى الأول '!BL5)/('المستوى الأول '!BM5+'المستوى الثاني '!BC4)</f>
        <v>4.7611111111111111</v>
      </c>
      <c r="BF4" s="23" t="str">
        <f>VLOOKUP(BE4,المرجع!$D$3:$F$11,3,TRUE)</f>
        <v xml:space="preserve">ممتاز مرتفع </v>
      </c>
      <c r="BG4" s="22">
        <f t="shared" si="13"/>
        <v>4</v>
      </c>
    </row>
    <row r="5" spans="2:59" ht="23.5">
      <c r="B5" s="27">
        <v>2024153</v>
      </c>
      <c r="C5" s="28" t="s">
        <v>16</v>
      </c>
      <c r="D5" s="5">
        <v>1</v>
      </c>
      <c r="E5" s="25">
        <v>97</v>
      </c>
      <c r="F5" s="11">
        <f>VLOOKUP(E5,المرجع!$B$2:$C$11,2)</f>
        <v>5</v>
      </c>
      <c r="G5" s="8" t="str">
        <f>VLOOKUP(F5,المرجع!$D$2:$E$11,2)</f>
        <v xml:space="preserve">أ+ </v>
      </c>
      <c r="H5" s="10">
        <f t="shared" si="0"/>
        <v>5</v>
      </c>
      <c r="I5" s="5">
        <v>2</v>
      </c>
      <c r="J5" s="25">
        <v>83</v>
      </c>
      <c r="K5" s="11">
        <f>VLOOKUP(J5,المرجع!$B$2:$C$11,2)</f>
        <v>4</v>
      </c>
      <c r="L5" s="8" t="str">
        <f>VLOOKUP(K5,[1]المرجع!$D$3:$E$12,2)</f>
        <v>ب</v>
      </c>
      <c r="M5" s="10">
        <f t="shared" si="1"/>
        <v>8</v>
      </c>
      <c r="N5" s="15">
        <v>3</v>
      </c>
      <c r="O5" s="25">
        <v>100</v>
      </c>
      <c r="P5" s="11">
        <f>VLOOKUP(O5,المرجع!$B$2:$C$11,2)</f>
        <v>5</v>
      </c>
      <c r="Q5" s="8" t="str">
        <f>VLOOKUP(P5,[1]المرجع!$D$3:$E$12,2)</f>
        <v xml:space="preserve">أ+ </v>
      </c>
      <c r="R5" s="10">
        <f t="shared" si="2"/>
        <v>15</v>
      </c>
      <c r="S5" s="15">
        <v>3</v>
      </c>
      <c r="T5" s="25">
        <v>97</v>
      </c>
      <c r="U5" s="11">
        <f>VLOOKUP(T5,المرجع!$B$2:$C$11,2)</f>
        <v>5</v>
      </c>
      <c r="V5" s="8" t="str">
        <f>VLOOKUP(U5,[1]المرجع!$D$3:$E$12,2)</f>
        <v xml:space="preserve">أ+ </v>
      </c>
      <c r="W5" s="10">
        <f t="shared" si="3"/>
        <v>15</v>
      </c>
      <c r="X5" s="15">
        <v>3</v>
      </c>
      <c r="Y5" s="25">
        <v>95</v>
      </c>
      <c r="Z5" s="11">
        <f>VLOOKUP(Y5,المرجع!$B$2:$C$11,2)</f>
        <v>5</v>
      </c>
      <c r="AA5" s="8" t="str">
        <f>VLOOKUP(Z5,[1]المرجع!$D$3:$E$12,2)</f>
        <v xml:space="preserve">أ+ </v>
      </c>
      <c r="AB5" s="10">
        <f t="shared" si="4"/>
        <v>15</v>
      </c>
      <c r="AC5" s="15">
        <v>2</v>
      </c>
      <c r="AD5" s="25">
        <v>92</v>
      </c>
      <c r="AE5" s="11">
        <f>VLOOKUP(AD5,المرجع!$B$2:$C$11,2)</f>
        <v>4.75</v>
      </c>
      <c r="AF5" s="8" t="str">
        <f>VLOOKUP(AE5,[1]المرجع!$D$3:$E$12,2)</f>
        <v>أ</v>
      </c>
      <c r="AG5" s="10">
        <f t="shared" si="5"/>
        <v>9.5</v>
      </c>
      <c r="AH5" s="15">
        <v>2</v>
      </c>
      <c r="AI5" s="25">
        <v>90</v>
      </c>
      <c r="AJ5" s="11">
        <f>VLOOKUP(AI5,المرجع!$B$2:$C$11,2)</f>
        <v>4.75</v>
      </c>
      <c r="AK5" s="8" t="str">
        <f>VLOOKUP(AJ5,[1]المرجع!$D$3:$E$12,2)</f>
        <v>أ</v>
      </c>
      <c r="AL5" s="10">
        <f t="shared" si="6"/>
        <v>9.5</v>
      </c>
      <c r="AM5" s="15">
        <v>2</v>
      </c>
      <c r="AN5" s="25">
        <v>94</v>
      </c>
      <c r="AO5" s="11">
        <f>VLOOKUP(AN5,المرجع!$B$2:$C$11,2)</f>
        <v>4.75</v>
      </c>
      <c r="AP5" s="8" t="str">
        <f>VLOOKUP(AO5,[1]المرجع!$D$3:$E$12,2)</f>
        <v>أ</v>
      </c>
      <c r="AQ5" s="10">
        <f t="shared" si="7"/>
        <v>9.5</v>
      </c>
      <c r="AR5" s="15">
        <v>2</v>
      </c>
      <c r="AS5" s="25">
        <v>85</v>
      </c>
      <c r="AT5" s="11">
        <f>VLOOKUP(AS5,المرجع!$B$2:$C$11,2)</f>
        <v>4.5</v>
      </c>
      <c r="AU5" s="8" t="str">
        <f>VLOOKUP(AT5,[1]المرجع!$D$3:$E$12,2)</f>
        <v>ب+</v>
      </c>
      <c r="AV5" s="10">
        <f t="shared" si="8"/>
        <v>9</v>
      </c>
      <c r="AW5" s="15">
        <v>2</v>
      </c>
      <c r="AX5" s="25">
        <v>94</v>
      </c>
      <c r="AY5" s="11">
        <f>VLOOKUP(AX5,المرجع!$B$2:$C$11,2)</f>
        <v>4.75</v>
      </c>
      <c r="AZ5" s="8" t="str">
        <f>VLOOKUP(AY5,[1]المرجع!$D$3:$E$12,2)</f>
        <v>أ</v>
      </c>
      <c r="BA5" s="30">
        <f t="shared" si="9"/>
        <v>9.5</v>
      </c>
      <c r="BB5" s="31">
        <f t="shared" si="10"/>
        <v>105</v>
      </c>
      <c r="BC5" s="20">
        <f t="shared" si="11"/>
        <v>22</v>
      </c>
      <c r="BD5" s="21">
        <f t="shared" si="12"/>
        <v>4.7727272727272725</v>
      </c>
      <c r="BE5" s="49">
        <f>(BB5+'المستوى الأول '!BL6)/('المستوى الأول '!BM6+'المستوى الثاني '!BC5)</f>
        <v>4.7722222222222221</v>
      </c>
      <c r="BF5" s="23" t="str">
        <f>VLOOKUP(BE5,المرجع!$D$3:$F$11,3,TRUE)</f>
        <v xml:space="preserve">ممتاز مرتفع </v>
      </c>
      <c r="BG5" s="22">
        <f t="shared" si="13"/>
        <v>3</v>
      </c>
    </row>
    <row r="6" spans="2:59" ht="23.5">
      <c r="B6" s="27">
        <v>2024180</v>
      </c>
      <c r="C6" s="28" t="s">
        <v>18</v>
      </c>
      <c r="D6" s="5">
        <v>1</v>
      </c>
      <c r="E6" s="25">
        <v>90</v>
      </c>
      <c r="F6" s="11">
        <f>VLOOKUP(E6,المرجع!$B$2:$C$11,2)</f>
        <v>4.75</v>
      </c>
      <c r="G6" s="8" t="str">
        <f>VLOOKUP(F6,المرجع!$D$2:$E$11,2)</f>
        <v>أ</v>
      </c>
      <c r="H6" s="10">
        <f t="shared" si="0"/>
        <v>4.75</v>
      </c>
      <c r="I6" s="5">
        <v>2</v>
      </c>
      <c r="J6" s="25">
        <v>64</v>
      </c>
      <c r="K6" s="11">
        <f>VLOOKUP(J6,المرجع!$B$2:$C$11,2)</f>
        <v>2</v>
      </c>
      <c r="L6" s="8" t="str">
        <f>VLOOKUP(K6,[1]المرجع!$D$3:$E$12,2)</f>
        <v>د</v>
      </c>
      <c r="M6" s="10">
        <f t="shared" si="1"/>
        <v>4</v>
      </c>
      <c r="N6" s="15">
        <v>3</v>
      </c>
      <c r="O6" s="25">
        <v>95</v>
      </c>
      <c r="P6" s="11">
        <f>VLOOKUP(O6,المرجع!$B$2:$C$11,2)</f>
        <v>5</v>
      </c>
      <c r="Q6" s="8" t="str">
        <f>VLOOKUP(P6,[1]المرجع!$D$3:$E$12,2)</f>
        <v xml:space="preserve">أ+ </v>
      </c>
      <c r="R6" s="10">
        <f t="shared" si="2"/>
        <v>15</v>
      </c>
      <c r="S6" s="15">
        <v>3</v>
      </c>
      <c r="T6" s="25">
        <v>96</v>
      </c>
      <c r="U6" s="11">
        <f>VLOOKUP(T6,المرجع!$B$2:$C$11,2)</f>
        <v>5</v>
      </c>
      <c r="V6" s="8" t="str">
        <f>VLOOKUP(U6,[1]المرجع!$D$3:$E$12,2)</f>
        <v xml:space="preserve">أ+ </v>
      </c>
      <c r="W6" s="10">
        <f t="shared" si="3"/>
        <v>15</v>
      </c>
      <c r="X6" s="15">
        <v>3</v>
      </c>
      <c r="Y6" s="25">
        <v>95</v>
      </c>
      <c r="Z6" s="11">
        <f>VLOOKUP(Y6,المرجع!$B$2:$C$11,2)</f>
        <v>5</v>
      </c>
      <c r="AA6" s="8" t="str">
        <f>VLOOKUP(Z6,[1]المرجع!$D$3:$E$12,2)</f>
        <v xml:space="preserve">أ+ </v>
      </c>
      <c r="AB6" s="10">
        <f t="shared" si="4"/>
        <v>15</v>
      </c>
      <c r="AC6" s="15">
        <v>2</v>
      </c>
      <c r="AD6" s="25">
        <v>93</v>
      </c>
      <c r="AE6" s="11">
        <f>VLOOKUP(AD6,المرجع!$B$2:$C$11,2)</f>
        <v>4.75</v>
      </c>
      <c r="AF6" s="8" t="str">
        <f>VLOOKUP(AE6,[1]المرجع!$D$3:$E$12,2)</f>
        <v>أ</v>
      </c>
      <c r="AG6" s="10">
        <f t="shared" si="5"/>
        <v>9.5</v>
      </c>
      <c r="AH6" s="15">
        <v>2</v>
      </c>
      <c r="AI6" s="25">
        <v>100</v>
      </c>
      <c r="AJ6" s="11">
        <f>VLOOKUP(AI6,المرجع!$B$2:$C$11,2)</f>
        <v>5</v>
      </c>
      <c r="AK6" s="8" t="str">
        <f>VLOOKUP(AJ6,[1]المرجع!$D$3:$E$12,2)</f>
        <v xml:space="preserve">أ+ </v>
      </c>
      <c r="AL6" s="10">
        <f t="shared" si="6"/>
        <v>10</v>
      </c>
      <c r="AM6" s="15">
        <v>2</v>
      </c>
      <c r="AN6" s="25">
        <v>85</v>
      </c>
      <c r="AO6" s="11">
        <f>VLOOKUP(AN6,المرجع!$B$2:$C$11,2)</f>
        <v>4.5</v>
      </c>
      <c r="AP6" s="8" t="str">
        <f>VLOOKUP(AO6,[1]المرجع!$D$3:$E$12,2)</f>
        <v>ب+</v>
      </c>
      <c r="AQ6" s="10">
        <f t="shared" si="7"/>
        <v>9</v>
      </c>
      <c r="AR6" s="15">
        <v>2</v>
      </c>
      <c r="AS6" s="25">
        <v>100</v>
      </c>
      <c r="AT6" s="11">
        <f>VLOOKUP(AS6,المرجع!$B$2:$C$11,2)</f>
        <v>5</v>
      </c>
      <c r="AU6" s="8" t="str">
        <f>VLOOKUP(AT6,[1]المرجع!$D$3:$E$12,2)</f>
        <v xml:space="preserve">أ+ </v>
      </c>
      <c r="AV6" s="10">
        <f t="shared" si="8"/>
        <v>10</v>
      </c>
      <c r="AW6" s="15">
        <v>2</v>
      </c>
      <c r="AX6" s="25">
        <v>94</v>
      </c>
      <c r="AY6" s="11">
        <f>VLOOKUP(AX6,المرجع!$B$2:$C$11,2)</f>
        <v>4.75</v>
      </c>
      <c r="AZ6" s="8" t="str">
        <f>VLOOKUP(AY6,[1]المرجع!$D$3:$E$12,2)</f>
        <v>أ</v>
      </c>
      <c r="BA6" s="30">
        <f t="shared" si="9"/>
        <v>9.5</v>
      </c>
      <c r="BB6" s="31">
        <f t="shared" si="10"/>
        <v>101.75</v>
      </c>
      <c r="BC6" s="20">
        <f t="shared" si="11"/>
        <v>22</v>
      </c>
      <c r="BD6" s="21">
        <f t="shared" si="12"/>
        <v>4.625</v>
      </c>
      <c r="BE6" s="49">
        <f>(BB6+'المستوى الأول '!BL7)/('المستوى الأول '!BM7+'المستوى الثاني '!BC6)</f>
        <v>4.6833333333333336</v>
      </c>
      <c r="BF6" s="23" t="str">
        <f>VLOOKUP(BE6,المرجع!$D$3:$F$11,3,TRUE)</f>
        <v xml:space="preserve">ممتاز </v>
      </c>
      <c r="BG6" s="22">
        <f t="shared" si="13"/>
        <v>6</v>
      </c>
    </row>
    <row r="7" spans="2:59" ht="23.5">
      <c r="B7" s="27">
        <v>2024205</v>
      </c>
      <c r="C7" s="28" t="s">
        <v>30</v>
      </c>
      <c r="D7" s="5">
        <v>1</v>
      </c>
      <c r="E7" s="25">
        <v>92</v>
      </c>
      <c r="F7" s="11">
        <f>VLOOKUP(E7,المرجع!$B$2:$C$11,2)</f>
        <v>4.75</v>
      </c>
      <c r="G7" s="8" t="str">
        <f>VLOOKUP(F7,المرجع!$D$2:$E$11,2)</f>
        <v>أ</v>
      </c>
      <c r="H7" s="10">
        <f t="shared" si="0"/>
        <v>4.75</v>
      </c>
      <c r="I7" s="5">
        <v>2</v>
      </c>
      <c r="J7" s="25">
        <v>82</v>
      </c>
      <c r="K7" s="11">
        <f>VLOOKUP(J7,المرجع!$B$2:$C$11,2)</f>
        <v>4</v>
      </c>
      <c r="L7" s="8" t="str">
        <f>VLOOKUP(K7,[1]المرجع!$D$3:$E$12,2)</f>
        <v>ب</v>
      </c>
      <c r="M7" s="10">
        <f t="shared" si="1"/>
        <v>8</v>
      </c>
      <c r="N7" s="15">
        <v>3</v>
      </c>
      <c r="O7" s="25">
        <v>87</v>
      </c>
      <c r="P7" s="11">
        <f>VLOOKUP(O7,المرجع!$B$2:$C$11,2)</f>
        <v>4.5</v>
      </c>
      <c r="Q7" s="8" t="str">
        <f>VLOOKUP(P7,[1]المرجع!$D$3:$E$12,2)</f>
        <v>ب+</v>
      </c>
      <c r="R7" s="10">
        <f t="shared" si="2"/>
        <v>13.5</v>
      </c>
      <c r="S7" s="15">
        <v>3</v>
      </c>
      <c r="T7" s="25">
        <v>93</v>
      </c>
      <c r="U7" s="11">
        <f>VLOOKUP(T7,المرجع!$B$2:$C$11,2)</f>
        <v>4.75</v>
      </c>
      <c r="V7" s="8" t="str">
        <f>VLOOKUP(U7,[1]المرجع!$D$3:$E$12,2)</f>
        <v>أ</v>
      </c>
      <c r="W7" s="10">
        <f t="shared" si="3"/>
        <v>14.25</v>
      </c>
      <c r="X7" s="15">
        <v>3</v>
      </c>
      <c r="Y7" s="25">
        <v>95</v>
      </c>
      <c r="Z7" s="11">
        <f>VLOOKUP(Y7,المرجع!$B$2:$C$11,2)</f>
        <v>5</v>
      </c>
      <c r="AA7" s="8" t="str">
        <f>VLOOKUP(Z7,[1]المرجع!$D$3:$E$12,2)</f>
        <v xml:space="preserve">أ+ </v>
      </c>
      <c r="AB7" s="10">
        <f t="shared" si="4"/>
        <v>15</v>
      </c>
      <c r="AC7" s="15">
        <v>2</v>
      </c>
      <c r="AD7" s="25">
        <v>88</v>
      </c>
      <c r="AE7" s="11">
        <f>VLOOKUP(AD7,المرجع!$B$2:$C$11,2)</f>
        <v>4.5</v>
      </c>
      <c r="AF7" s="8" t="str">
        <f>VLOOKUP(AE7,[1]المرجع!$D$3:$E$12,2)</f>
        <v>ب+</v>
      </c>
      <c r="AG7" s="10">
        <f t="shared" si="5"/>
        <v>9</v>
      </c>
      <c r="AH7" s="15">
        <v>2</v>
      </c>
      <c r="AI7" s="25">
        <v>100</v>
      </c>
      <c r="AJ7" s="11">
        <f>VLOOKUP(AI7,المرجع!$B$2:$C$11,2)</f>
        <v>5</v>
      </c>
      <c r="AK7" s="8" t="str">
        <f>VLOOKUP(AJ7,[1]المرجع!$D$3:$E$12,2)</f>
        <v xml:space="preserve">أ+ </v>
      </c>
      <c r="AL7" s="10">
        <f t="shared" si="6"/>
        <v>10</v>
      </c>
      <c r="AM7" s="15">
        <v>2</v>
      </c>
      <c r="AN7" s="25">
        <v>90</v>
      </c>
      <c r="AO7" s="11">
        <f>VLOOKUP(AN7,المرجع!$B$2:$C$11,2)</f>
        <v>4.75</v>
      </c>
      <c r="AP7" s="8" t="str">
        <f>VLOOKUP(AO7,[1]المرجع!$D$3:$E$12,2)</f>
        <v>أ</v>
      </c>
      <c r="AQ7" s="10">
        <f t="shared" si="7"/>
        <v>9.5</v>
      </c>
      <c r="AR7" s="15">
        <v>2</v>
      </c>
      <c r="AS7" s="25">
        <v>97</v>
      </c>
      <c r="AT7" s="11">
        <f>VLOOKUP(AS7,المرجع!$B$2:$C$11,2)</f>
        <v>5</v>
      </c>
      <c r="AU7" s="8" t="str">
        <f>VLOOKUP(AT7,[1]المرجع!$D$3:$E$12,2)</f>
        <v xml:space="preserve">أ+ </v>
      </c>
      <c r="AV7" s="10">
        <f t="shared" si="8"/>
        <v>10</v>
      </c>
      <c r="AW7" s="15">
        <v>2</v>
      </c>
      <c r="AX7" s="25">
        <v>81</v>
      </c>
      <c r="AY7" s="11">
        <f>VLOOKUP(AX7,المرجع!$B$2:$C$11,2)</f>
        <v>4</v>
      </c>
      <c r="AZ7" s="8" t="str">
        <f>VLOOKUP(AY7,[1]المرجع!$D$3:$E$12,2)</f>
        <v>ب</v>
      </c>
      <c r="BA7" s="30">
        <f t="shared" si="9"/>
        <v>8</v>
      </c>
      <c r="BB7" s="31">
        <f t="shared" si="10"/>
        <v>102</v>
      </c>
      <c r="BC7" s="20">
        <f t="shared" si="11"/>
        <v>22</v>
      </c>
      <c r="BD7" s="21">
        <f t="shared" si="12"/>
        <v>4.6363636363636367</v>
      </c>
      <c r="BE7" s="49">
        <f>(BB7+'المستوى الأول '!BL8)/('المستوى الأول '!BM8+'المستوى الثاني '!BC7)</f>
        <v>4.5888888888888886</v>
      </c>
      <c r="BF7" s="23" t="str">
        <f>VLOOKUP(BE7,المرجع!$D$3:$F$11,3,TRUE)</f>
        <v>جيد جد مرتفع</v>
      </c>
      <c r="BG7" s="22">
        <f t="shared" si="13"/>
        <v>5</v>
      </c>
    </row>
    <row r="8" spans="2:59" ht="23.5">
      <c r="B8" s="27">
        <v>2024178</v>
      </c>
      <c r="C8" s="28" t="s">
        <v>20</v>
      </c>
      <c r="D8" s="5">
        <v>1</v>
      </c>
      <c r="E8" s="25">
        <v>90</v>
      </c>
      <c r="F8" s="11">
        <f>VLOOKUP(E8,المرجع!$B$2:$C$11,2)</f>
        <v>4.75</v>
      </c>
      <c r="G8" s="8" t="str">
        <f>VLOOKUP(F8,المرجع!$D$2:$E$11,2)</f>
        <v>أ</v>
      </c>
      <c r="H8" s="10">
        <f t="shared" si="0"/>
        <v>4.75</v>
      </c>
      <c r="I8" s="5">
        <v>2</v>
      </c>
      <c r="J8" s="25">
        <v>68</v>
      </c>
      <c r="K8" s="11">
        <f>VLOOKUP(J8,المرجع!$B$2:$C$11,2)</f>
        <v>2.5</v>
      </c>
      <c r="L8" s="8" t="str">
        <f>VLOOKUP(K8,[1]المرجع!$D$3:$E$12,2)</f>
        <v>د+</v>
      </c>
      <c r="M8" s="10">
        <f t="shared" si="1"/>
        <v>5</v>
      </c>
      <c r="N8" s="15">
        <v>3</v>
      </c>
      <c r="O8" s="25">
        <v>93</v>
      </c>
      <c r="P8" s="11">
        <f>VLOOKUP(O8,المرجع!$B$2:$C$11,2)</f>
        <v>4.75</v>
      </c>
      <c r="Q8" s="8" t="str">
        <f>VLOOKUP(P8,[1]المرجع!$D$3:$E$12,2)</f>
        <v>أ</v>
      </c>
      <c r="R8" s="10">
        <f t="shared" si="2"/>
        <v>14.25</v>
      </c>
      <c r="S8" s="15">
        <v>3</v>
      </c>
      <c r="T8" s="25">
        <v>96</v>
      </c>
      <c r="U8" s="11">
        <f>VLOOKUP(T8,المرجع!$B$2:$C$11,2)</f>
        <v>5</v>
      </c>
      <c r="V8" s="8" t="str">
        <f>VLOOKUP(U8,[1]المرجع!$D$3:$E$12,2)</f>
        <v xml:space="preserve">أ+ </v>
      </c>
      <c r="W8" s="10">
        <f t="shared" si="3"/>
        <v>15</v>
      </c>
      <c r="X8" s="15">
        <v>3</v>
      </c>
      <c r="Y8" s="25">
        <v>97</v>
      </c>
      <c r="Z8" s="11">
        <f>VLOOKUP(Y8,المرجع!$B$2:$C$11,2)</f>
        <v>5</v>
      </c>
      <c r="AA8" s="8" t="str">
        <f>VLOOKUP(Z8,[1]المرجع!$D$3:$E$12,2)</f>
        <v xml:space="preserve">أ+ </v>
      </c>
      <c r="AB8" s="10">
        <f t="shared" si="4"/>
        <v>15</v>
      </c>
      <c r="AC8" s="15">
        <v>2</v>
      </c>
      <c r="AD8" s="25">
        <v>87</v>
      </c>
      <c r="AE8" s="11">
        <f>VLOOKUP(AD8,المرجع!$B$2:$C$11,2)</f>
        <v>4.5</v>
      </c>
      <c r="AF8" s="8" t="str">
        <f>VLOOKUP(AE8,[1]المرجع!$D$3:$E$12,2)</f>
        <v>ب+</v>
      </c>
      <c r="AG8" s="10">
        <f t="shared" si="5"/>
        <v>9</v>
      </c>
      <c r="AH8" s="15">
        <v>2</v>
      </c>
      <c r="AI8" s="25">
        <v>100</v>
      </c>
      <c r="AJ8" s="11">
        <f>VLOOKUP(AI8,المرجع!$B$2:$C$11,2)</f>
        <v>5</v>
      </c>
      <c r="AK8" s="8" t="str">
        <f>VLOOKUP(AJ8,[1]المرجع!$D$3:$E$12,2)</f>
        <v xml:space="preserve">أ+ </v>
      </c>
      <c r="AL8" s="10">
        <f t="shared" si="6"/>
        <v>10</v>
      </c>
      <c r="AM8" s="15">
        <v>2</v>
      </c>
      <c r="AN8" s="25">
        <v>85</v>
      </c>
      <c r="AO8" s="11">
        <f>VLOOKUP(AN8,المرجع!$B$2:$C$11,2)</f>
        <v>4.5</v>
      </c>
      <c r="AP8" s="8" t="str">
        <f>VLOOKUP(AO8,[1]المرجع!$D$3:$E$12,2)</f>
        <v>ب+</v>
      </c>
      <c r="AQ8" s="10">
        <f t="shared" si="7"/>
        <v>9</v>
      </c>
      <c r="AR8" s="15">
        <v>2</v>
      </c>
      <c r="AS8" s="25">
        <v>85</v>
      </c>
      <c r="AT8" s="11">
        <f>VLOOKUP(AS8,المرجع!$B$2:$C$11,2)</f>
        <v>4.5</v>
      </c>
      <c r="AU8" s="8" t="str">
        <f>VLOOKUP(AT8,[1]المرجع!$D$3:$E$12,2)</f>
        <v>ب+</v>
      </c>
      <c r="AV8" s="10">
        <f t="shared" si="8"/>
        <v>9</v>
      </c>
      <c r="AW8" s="15">
        <v>2</v>
      </c>
      <c r="AX8" s="25">
        <v>100</v>
      </c>
      <c r="AY8" s="11">
        <f>VLOOKUP(AX8,المرجع!$B$2:$C$11,2)</f>
        <v>5</v>
      </c>
      <c r="AZ8" s="8" t="str">
        <f>VLOOKUP(AY8,[1]المرجع!$D$3:$E$12,2)</f>
        <v xml:space="preserve">أ+ </v>
      </c>
      <c r="BA8" s="30">
        <f t="shared" si="9"/>
        <v>10</v>
      </c>
      <c r="BB8" s="31">
        <f t="shared" si="10"/>
        <v>101</v>
      </c>
      <c r="BC8" s="20">
        <f t="shared" si="11"/>
        <v>22</v>
      </c>
      <c r="BD8" s="21">
        <f t="shared" si="12"/>
        <v>4.5909090909090908</v>
      </c>
      <c r="BE8" s="49">
        <f>(BB8+'المستوى الأول '!BL9)/('المستوى الأول '!BM9+'المستوى الثاني '!BC8)</f>
        <v>4.5222222222222221</v>
      </c>
      <c r="BF8" s="23" t="str">
        <f>VLOOKUP(BE8,المرجع!$D$3:$F$11,3,TRUE)</f>
        <v>جيد جد مرتفع</v>
      </c>
      <c r="BG8" s="22">
        <f t="shared" si="13"/>
        <v>7</v>
      </c>
    </row>
    <row r="9" spans="2:59" ht="23.5">
      <c r="B9" s="27">
        <v>2024304</v>
      </c>
      <c r="C9" s="28" t="s">
        <v>25</v>
      </c>
      <c r="D9" s="5">
        <v>1</v>
      </c>
      <c r="E9" s="25">
        <v>96</v>
      </c>
      <c r="F9" s="11">
        <f>VLOOKUP(E9,المرجع!$B$2:$C$11,2)</f>
        <v>5</v>
      </c>
      <c r="G9" s="8" t="str">
        <f>VLOOKUP(F9,المرجع!$D$2:$E$11,2)</f>
        <v xml:space="preserve">أ+ </v>
      </c>
      <c r="H9" s="10">
        <f t="shared" si="0"/>
        <v>5</v>
      </c>
      <c r="I9" s="5">
        <v>2</v>
      </c>
      <c r="J9" s="25">
        <v>73</v>
      </c>
      <c r="K9" s="11">
        <f>VLOOKUP(J9,المرجع!$B$2:$C$11,2)</f>
        <v>3</v>
      </c>
      <c r="L9" s="8" t="str">
        <f>VLOOKUP(K9,[1]المرجع!$D$3:$E$12,2)</f>
        <v>ج</v>
      </c>
      <c r="M9" s="10">
        <f t="shared" si="1"/>
        <v>6</v>
      </c>
      <c r="N9" s="15">
        <v>3</v>
      </c>
      <c r="O9" s="25">
        <v>80</v>
      </c>
      <c r="P9" s="11">
        <f>VLOOKUP(O9,المرجع!$B$2:$C$11,2)</f>
        <v>4</v>
      </c>
      <c r="Q9" s="8" t="str">
        <f>VLOOKUP(P9,[1]المرجع!$D$3:$E$12,2)</f>
        <v>ب</v>
      </c>
      <c r="R9" s="10">
        <f t="shared" si="2"/>
        <v>12</v>
      </c>
      <c r="S9" s="15">
        <v>3</v>
      </c>
      <c r="T9" s="25">
        <v>100</v>
      </c>
      <c r="U9" s="11">
        <f>VLOOKUP(T9,المرجع!$B$2:$C$11,2)</f>
        <v>5</v>
      </c>
      <c r="V9" s="8" t="str">
        <f>VLOOKUP(U9,[1]المرجع!$D$3:$E$12,2)</f>
        <v xml:space="preserve">أ+ </v>
      </c>
      <c r="W9" s="10">
        <f t="shared" si="3"/>
        <v>15</v>
      </c>
      <c r="X9" s="15">
        <v>3</v>
      </c>
      <c r="Y9" s="25">
        <v>92</v>
      </c>
      <c r="Z9" s="11">
        <f>VLOOKUP(Y9,المرجع!$B$2:$C$11,2)</f>
        <v>4.75</v>
      </c>
      <c r="AA9" s="8" t="str">
        <f>VLOOKUP(Z9,[1]المرجع!$D$3:$E$12,2)</f>
        <v>أ</v>
      </c>
      <c r="AB9" s="10">
        <f t="shared" si="4"/>
        <v>14.25</v>
      </c>
      <c r="AC9" s="15">
        <v>2</v>
      </c>
      <c r="AD9" s="25">
        <v>92</v>
      </c>
      <c r="AE9" s="11">
        <f>VLOOKUP(AD9,المرجع!$B$2:$C$11,2)</f>
        <v>4.75</v>
      </c>
      <c r="AF9" s="8" t="str">
        <f>VLOOKUP(AE9,[1]المرجع!$D$3:$E$12,2)</f>
        <v>أ</v>
      </c>
      <c r="AG9" s="10">
        <f t="shared" si="5"/>
        <v>9.5</v>
      </c>
      <c r="AH9" s="15">
        <v>2</v>
      </c>
      <c r="AI9" s="25">
        <v>100</v>
      </c>
      <c r="AJ9" s="11">
        <f>VLOOKUP(AI9,المرجع!$B$2:$C$11,2)</f>
        <v>5</v>
      </c>
      <c r="AK9" s="8" t="str">
        <f>VLOOKUP(AJ9,[1]المرجع!$D$3:$E$12,2)</f>
        <v xml:space="preserve">أ+ </v>
      </c>
      <c r="AL9" s="10">
        <f t="shared" si="6"/>
        <v>10</v>
      </c>
      <c r="AM9" s="15">
        <v>2</v>
      </c>
      <c r="AN9" s="25">
        <v>90</v>
      </c>
      <c r="AO9" s="11">
        <f>VLOOKUP(AN9,المرجع!$B$2:$C$11,2)</f>
        <v>4.75</v>
      </c>
      <c r="AP9" s="8" t="str">
        <f>VLOOKUP(AO9,[1]المرجع!$D$3:$E$12,2)</f>
        <v>أ</v>
      </c>
      <c r="AQ9" s="10">
        <f t="shared" si="7"/>
        <v>9.5</v>
      </c>
      <c r="AR9" s="15">
        <v>2</v>
      </c>
      <c r="AS9" s="25">
        <v>88</v>
      </c>
      <c r="AT9" s="11">
        <f>VLOOKUP(AS9,المرجع!$B$2:$C$11,2)</f>
        <v>4.5</v>
      </c>
      <c r="AU9" s="8" t="str">
        <f>VLOOKUP(AT9,[1]المرجع!$D$3:$E$12,2)</f>
        <v>ب+</v>
      </c>
      <c r="AV9" s="10">
        <f t="shared" si="8"/>
        <v>9</v>
      </c>
      <c r="AW9" s="15">
        <v>2</v>
      </c>
      <c r="AX9" s="25">
        <v>81</v>
      </c>
      <c r="AY9" s="11">
        <f>VLOOKUP(AX9,المرجع!$B$2:$C$11,2)</f>
        <v>4</v>
      </c>
      <c r="AZ9" s="8" t="str">
        <f>VLOOKUP(AY9,[1]المرجع!$D$3:$E$12,2)</f>
        <v>ب</v>
      </c>
      <c r="BA9" s="30">
        <f t="shared" si="9"/>
        <v>8</v>
      </c>
      <c r="BB9" s="31">
        <f t="shared" si="10"/>
        <v>98.25</v>
      </c>
      <c r="BC9" s="20">
        <f t="shared" si="11"/>
        <v>22</v>
      </c>
      <c r="BD9" s="21">
        <f t="shared" si="12"/>
        <v>4.4659090909090908</v>
      </c>
      <c r="BE9" s="49">
        <f>(BB9+'المستوى الأول '!BL10)/('المستوى الأول '!BM10+'المستوى الثاني '!BC9)</f>
        <v>4.4722222222222223</v>
      </c>
      <c r="BF9" s="23" t="str">
        <f>VLOOKUP(BE9,المرجع!$D$3:$F$11,3,TRUE)</f>
        <v>جيد جد مرتفع</v>
      </c>
      <c r="BG9" s="22">
        <f t="shared" si="13"/>
        <v>8</v>
      </c>
    </row>
    <row r="10" spans="2:59" ht="23.5">
      <c r="B10" s="27">
        <v>2024152</v>
      </c>
      <c r="C10" s="28" t="s">
        <v>19</v>
      </c>
      <c r="D10" s="5">
        <v>1</v>
      </c>
      <c r="E10" s="25">
        <v>93</v>
      </c>
      <c r="F10" s="11">
        <f>VLOOKUP(E10,المرجع!$B$2:$C$11,2)</f>
        <v>4.75</v>
      </c>
      <c r="G10" s="8" t="str">
        <f>VLOOKUP(F10,المرجع!$D$2:$E$11,2)</f>
        <v>أ</v>
      </c>
      <c r="H10" s="10">
        <f t="shared" si="0"/>
        <v>4.75</v>
      </c>
      <c r="I10" s="5">
        <v>2</v>
      </c>
      <c r="J10" s="25">
        <v>72</v>
      </c>
      <c r="K10" s="11">
        <f>VLOOKUP(J10,المرجع!$B$2:$C$11,2)</f>
        <v>3</v>
      </c>
      <c r="L10" s="8" t="str">
        <f>VLOOKUP(K10,[1]المرجع!$D$3:$E$12,2)</f>
        <v>ج</v>
      </c>
      <c r="M10" s="10">
        <f t="shared" si="1"/>
        <v>6</v>
      </c>
      <c r="N10" s="15">
        <v>3</v>
      </c>
      <c r="O10" s="25">
        <v>97</v>
      </c>
      <c r="P10" s="11">
        <f>VLOOKUP(O10,المرجع!$B$2:$C$11,2)</f>
        <v>5</v>
      </c>
      <c r="Q10" s="8" t="str">
        <f>VLOOKUP(P10,[1]المرجع!$D$3:$E$12,2)</f>
        <v xml:space="preserve">أ+ </v>
      </c>
      <c r="R10" s="10">
        <f t="shared" si="2"/>
        <v>15</v>
      </c>
      <c r="S10" s="15">
        <v>3</v>
      </c>
      <c r="T10" s="25">
        <v>99</v>
      </c>
      <c r="U10" s="11">
        <f>VLOOKUP(T10,المرجع!$B$2:$C$11,2)</f>
        <v>5</v>
      </c>
      <c r="V10" s="8" t="str">
        <f>VLOOKUP(U10,[1]المرجع!$D$3:$E$12,2)</f>
        <v xml:space="preserve">أ+ </v>
      </c>
      <c r="W10" s="10">
        <f t="shared" si="3"/>
        <v>15</v>
      </c>
      <c r="X10" s="15">
        <v>3</v>
      </c>
      <c r="Y10" s="25">
        <v>100</v>
      </c>
      <c r="Z10" s="11">
        <f>VLOOKUP(Y10,المرجع!$B$2:$C$11,2)</f>
        <v>5</v>
      </c>
      <c r="AA10" s="8" t="str">
        <f>VLOOKUP(Z10,[1]المرجع!$D$3:$E$12,2)</f>
        <v xml:space="preserve">أ+ </v>
      </c>
      <c r="AB10" s="10">
        <f t="shared" si="4"/>
        <v>15</v>
      </c>
      <c r="AC10" s="15">
        <v>2</v>
      </c>
      <c r="AD10" s="25">
        <v>89</v>
      </c>
      <c r="AE10" s="11">
        <f>VLOOKUP(AD10,المرجع!$B$2:$C$11,2)</f>
        <v>4.5</v>
      </c>
      <c r="AF10" s="8" t="str">
        <f>VLOOKUP(AE10,[1]المرجع!$D$3:$E$12,2)</f>
        <v>ب+</v>
      </c>
      <c r="AG10" s="10">
        <f t="shared" si="5"/>
        <v>9</v>
      </c>
      <c r="AH10" s="15">
        <v>2</v>
      </c>
      <c r="AI10" s="25">
        <v>88</v>
      </c>
      <c r="AJ10" s="11">
        <f>VLOOKUP(AI10,المرجع!$B$2:$C$11,2)</f>
        <v>4.5</v>
      </c>
      <c r="AK10" s="8" t="str">
        <f>VLOOKUP(AJ10,[1]المرجع!$D$3:$E$12,2)</f>
        <v>ب+</v>
      </c>
      <c r="AL10" s="10">
        <f t="shared" si="6"/>
        <v>9</v>
      </c>
      <c r="AM10" s="15">
        <v>2</v>
      </c>
      <c r="AN10" s="25">
        <v>88</v>
      </c>
      <c r="AO10" s="11">
        <f>VLOOKUP(AN10,المرجع!$B$2:$C$11,2)</f>
        <v>4.5</v>
      </c>
      <c r="AP10" s="8" t="str">
        <f>VLOOKUP(AO10,[1]المرجع!$D$3:$E$12,2)</f>
        <v>ب+</v>
      </c>
      <c r="AQ10" s="10">
        <f t="shared" si="7"/>
        <v>9</v>
      </c>
      <c r="AR10" s="15">
        <v>2</v>
      </c>
      <c r="AS10" s="25">
        <v>86</v>
      </c>
      <c r="AT10" s="11">
        <f>VLOOKUP(AS10,المرجع!$B$2:$C$11,2)</f>
        <v>4.5</v>
      </c>
      <c r="AU10" s="8" t="str">
        <f>VLOOKUP(AT10,[1]المرجع!$D$3:$E$12,2)</f>
        <v>ب+</v>
      </c>
      <c r="AV10" s="10">
        <f t="shared" si="8"/>
        <v>9</v>
      </c>
      <c r="AW10" s="15">
        <v>2</v>
      </c>
      <c r="AX10" s="25">
        <v>68</v>
      </c>
      <c r="AY10" s="11">
        <f>VLOOKUP(AX10,المرجع!$B$2:$C$11,2)</f>
        <v>2.5</v>
      </c>
      <c r="AZ10" s="8" t="str">
        <f>VLOOKUP(AY10,[1]المرجع!$D$3:$E$12,2)</f>
        <v>د+</v>
      </c>
      <c r="BA10" s="30">
        <f t="shared" si="9"/>
        <v>5</v>
      </c>
      <c r="BB10" s="31">
        <f t="shared" si="10"/>
        <v>96.75</v>
      </c>
      <c r="BC10" s="20">
        <f t="shared" si="11"/>
        <v>22</v>
      </c>
      <c r="BD10" s="21">
        <f t="shared" si="12"/>
        <v>4.3977272727272725</v>
      </c>
      <c r="BE10" s="49">
        <f>(BB10+'المستوى الأول '!BL11)/('المستوى الأول '!BM11+'المستوى الثاني '!BC10)</f>
        <v>4.3944444444444448</v>
      </c>
      <c r="BF10" s="23" t="str">
        <f>VLOOKUP(BE10,المرجع!$D$3:$F$11,3,TRUE)</f>
        <v>جيد جد مرتفع</v>
      </c>
      <c r="BG10" s="22">
        <f t="shared" si="13"/>
        <v>9</v>
      </c>
    </row>
    <row r="11" spans="2:59" ht="23.5">
      <c r="B11" s="27">
        <v>2024210</v>
      </c>
      <c r="C11" s="28" t="s">
        <v>28</v>
      </c>
      <c r="D11" s="5">
        <v>1</v>
      </c>
      <c r="E11" s="25">
        <v>95</v>
      </c>
      <c r="F11" s="11">
        <f>VLOOKUP(E11,المرجع!$B$2:$C$11,2)</f>
        <v>5</v>
      </c>
      <c r="G11" s="8" t="str">
        <f>VLOOKUP(F11,المرجع!$D$2:$E$11,2)</f>
        <v xml:space="preserve">أ+ </v>
      </c>
      <c r="H11" s="10">
        <f t="shared" si="0"/>
        <v>5</v>
      </c>
      <c r="I11" s="5">
        <v>2</v>
      </c>
      <c r="J11" s="25">
        <v>80</v>
      </c>
      <c r="K11" s="11">
        <f>VLOOKUP(J11,المرجع!$B$2:$C$11,2)</f>
        <v>4</v>
      </c>
      <c r="L11" s="8" t="str">
        <f>VLOOKUP(K11,[1]المرجع!$D$3:$E$12,2)</f>
        <v>ب</v>
      </c>
      <c r="M11" s="10">
        <f t="shared" si="1"/>
        <v>8</v>
      </c>
      <c r="N11" s="15">
        <v>3</v>
      </c>
      <c r="O11" s="25">
        <v>95</v>
      </c>
      <c r="P11" s="11">
        <f>VLOOKUP(O11,المرجع!$B$2:$C$11,2)</f>
        <v>5</v>
      </c>
      <c r="Q11" s="8" t="str">
        <f>VLOOKUP(P11,[1]المرجع!$D$3:$E$12,2)</f>
        <v xml:space="preserve">أ+ </v>
      </c>
      <c r="R11" s="10">
        <f t="shared" si="2"/>
        <v>15</v>
      </c>
      <c r="S11" s="15">
        <v>3</v>
      </c>
      <c r="T11" s="25">
        <v>94</v>
      </c>
      <c r="U11" s="11">
        <f>VLOOKUP(T11,المرجع!$B$2:$C$11,2)</f>
        <v>4.75</v>
      </c>
      <c r="V11" s="8" t="str">
        <f>VLOOKUP(U11,[1]المرجع!$D$3:$E$12,2)</f>
        <v>أ</v>
      </c>
      <c r="W11" s="10">
        <f t="shared" si="3"/>
        <v>14.25</v>
      </c>
      <c r="X11" s="15">
        <v>3</v>
      </c>
      <c r="Y11" s="25">
        <v>100</v>
      </c>
      <c r="Z11" s="11">
        <f>VLOOKUP(Y11,المرجع!$B$2:$C$11,2)</f>
        <v>5</v>
      </c>
      <c r="AA11" s="8" t="str">
        <f>VLOOKUP(Z11,[1]المرجع!$D$3:$E$12,2)</f>
        <v xml:space="preserve">أ+ </v>
      </c>
      <c r="AB11" s="10">
        <f t="shared" si="4"/>
        <v>15</v>
      </c>
      <c r="AC11" s="15">
        <v>2</v>
      </c>
      <c r="AD11" s="25">
        <v>92</v>
      </c>
      <c r="AE11" s="11">
        <f>VLOOKUP(AD11,المرجع!$B$2:$C$11,2)</f>
        <v>4.75</v>
      </c>
      <c r="AF11" s="8" t="str">
        <f>VLOOKUP(AE11,[1]المرجع!$D$3:$E$12,2)</f>
        <v>أ</v>
      </c>
      <c r="AG11" s="10">
        <f t="shared" si="5"/>
        <v>9.5</v>
      </c>
      <c r="AH11" s="15">
        <v>2</v>
      </c>
      <c r="AI11" s="25">
        <v>73</v>
      </c>
      <c r="AJ11" s="11">
        <f>VLOOKUP(AI11,المرجع!$B$2:$C$11,2)</f>
        <v>3</v>
      </c>
      <c r="AK11" s="8" t="str">
        <f>VLOOKUP(AJ11,[1]المرجع!$D$3:$E$12,2)</f>
        <v>ج</v>
      </c>
      <c r="AL11" s="10">
        <f t="shared" si="6"/>
        <v>6</v>
      </c>
      <c r="AM11" s="15">
        <v>2</v>
      </c>
      <c r="AN11" s="25">
        <v>100</v>
      </c>
      <c r="AO11" s="11">
        <f>VLOOKUP(AN11,المرجع!$B$2:$C$11,2)</f>
        <v>5</v>
      </c>
      <c r="AP11" s="8" t="str">
        <f>VLOOKUP(AO11,[1]المرجع!$D$3:$E$12,2)</f>
        <v xml:space="preserve">أ+ </v>
      </c>
      <c r="AQ11" s="10">
        <f t="shared" si="7"/>
        <v>10</v>
      </c>
      <c r="AR11" s="15">
        <v>2</v>
      </c>
      <c r="AS11" s="25">
        <v>90</v>
      </c>
      <c r="AT11" s="11">
        <f>VLOOKUP(AS11,المرجع!$B$2:$C$11,2)</f>
        <v>4.75</v>
      </c>
      <c r="AU11" s="8" t="str">
        <f>VLOOKUP(AT11,[1]المرجع!$D$3:$E$12,2)</f>
        <v>أ</v>
      </c>
      <c r="AV11" s="10">
        <f t="shared" si="8"/>
        <v>9.5</v>
      </c>
      <c r="AW11" s="15">
        <v>2</v>
      </c>
      <c r="AX11" s="25">
        <v>50</v>
      </c>
      <c r="AY11" s="11">
        <f>VLOOKUP(AX11,المرجع!$B$2:$C$11,2)</f>
        <v>2</v>
      </c>
      <c r="AZ11" s="8" t="str">
        <f>VLOOKUP(AY11,[1]المرجع!$D$3:$E$12,2)</f>
        <v>د</v>
      </c>
      <c r="BA11" s="30">
        <f t="shared" si="9"/>
        <v>4</v>
      </c>
      <c r="BB11" s="31">
        <f t="shared" si="10"/>
        <v>96.25</v>
      </c>
      <c r="BC11" s="20">
        <f t="shared" si="11"/>
        <v>22</v>
      </c>
      <c r="BD11" s="21">
        <f t="shared" si="12"/>
        <v>4.375</v>
      </c>
      <c r="BE11" s="49">
        <f>(BB11+'المستوى الأول '!BL12)/('المستوى الأول '!BM12+'المستوى الثاني '!BC11)</f>
        <v>4.3277777777777775</v>
      </c>
      <c r="BF11" s="23" t="str">
        <f>VLOOKUP(BE11,المرجع!$D$3:$F$11,3,TRUE)</f>
        <v>جيد جد مرتفع</v>
      </c>
      <c r="BG11" s="22">
        <f t="shared" si="13"/>
        <v>10</v>
      </c>
    </row>
    <row r="12" spans="2:59" ht="23.5">
      <c r="B12" s="27">
        <v>2024157</v>
      </c>
      <c r="C12" s="28" t="s">
        <v>32</v>
      </c>
      <c r="D12" s="5">
        <v>1</v>
      </c>
      <c r="E12" s="25">
        <v>90</v>
      </c>
      <c r="F12" s="11">
        <f>VLOOKUP(E12,المرجع!$B$2:$C$11,2)</f>
        <v>4.75</v>
      </c>
      <c r="G12" s="8" t="str">
        <f>VLOOKUP(F12,المرجع!$D$2:$E$11,2)</f>
        <v>أ</v>
      </c>
      <c r="H12" s="10">
        <f t="shared" si="0"/>
        <v>4.75</v>
      </c>
      <c r="I12" s="5">
        <v>2</v>
      </c>
      <c r="J12" s="25">
        <v>74</v>
      </c>
      <c r="K12" s="11">
        <f>VLOOKUP(J12,المرجع!$B$2:$C$11,2)</f>
        <v>3</v>
      </c>
      <c r="L12" s="8" t="str">
        <f>VLOOKUP(K12,[1]المرجع!$D$3:$E$12,2)</f>
        <v>ج</v>
      </c>
      <c r="M12" s="10">
        <f t="shared" si="1"/>
        <v>6</v>
      </c>
      <c r="N12" s="15">
        <v>3</v>
      </c>
      <c r="O12" s="25">
        <v>100</v>
      </c>
      <c r="P12" s="11">
        <f>VLOOKUP(O12,المرجع!$B$2:$C$11,2)</f>
        <v>5</v>
      </c>
      <c r="Q12" s="8" t="str">
        <f>VLOOKUP(P12,[1]المرجع!$D$3:$E$12,2)</f>
        <v xml:space="preserve">أ+ </v>
      </c>
      <c r="R12" s="10">
        <f t="shared" si="2"/>
        <v>15</v>
      </c>
      <c r="S12" s="15">
        <v>3</v>
      </c>
      <c r="T12" s="25">
        <v>96</v>
      </c>
      <c r="U12" s="11">
        <f>VLOOKUP(T12,المرجع!$B$2:$C$11,2)</f>
        <v>5</v>
      </c>
      <c r="V12" s="8" t="str">
        <f>VLOOKUP(U12,[1]المرجع!$D$3:$E$12,2)</f>
        <v xml:space="preserve">أ+ </v>
      </c>
      <c r="W12" s="10">
        <f t="shared" si="3"/>
        <v>15</v>
      </c>
      <c r="X12" s="15">
        <v>3</v>
      </c>
      <c r="Y12" s="25">
        <v>95</v>
      </c>
      <c r="Z12" s="11">
        <f>VLOOKUP(Y12,المرجع!$B$2:$C$11,2)</f>
        <v>5</v>
      </c>
      <c r="AA12" s="8" t="str">
        <f>VLOOKUP(Z12,[1]المرجع!$D$3:$E$12,2)</f>
        <v xml:space="preserve">أ+ </v>
      </c>
      <c r="AB12" s="10">
        <f t="shared" si="4"/>
        <v>15</v>
      </c>
      <c r="AC12" s="15">
        <v>2</v>
      </c>
      <c r="AD12" s="25">
        <v>84</v>
      </c>
      <c r="AE12" s="11">
        <f>VLOOKUP(AD12,المرجع!$B$2:$C$11,2)</f>
        <v>4</v>
      </c>
      <c r="AF12" s="8" t="str">
        <f>VLOOKUP(AE12,[1]المرجع!$D$3:$E$12,2)</f>
        <v>ب</v>
      </c>
      <c r="AG12" s="10">
        <f t="shared" si="5"/>
        <v>8</v>
      </c>
      <c r="AH12" s="15">
        <v>2</v>
      </c>
      <c r="AI12" s="25">
        <v>92</v>
      </c>
      <c r="AJ12" s="11">
        <f>VLOOKUP(AI12,المرجع!$B$2:$C$11,2)</f>
        <v>4.75</v>
      </c>
      <c r="AK12" s="8" t="str">
        <f>VLOOKUP(AJ12,[1]المرجع!$D$3:$E$12,2)</f>
        <v>أ</v>
      </c>
      <c r="AL12" s="10">
        <f t="shared" si="6"/>
        <v>9.5</v>
      </c>
      <c r="AM12" s="15">
        <v>2</v>
      </c>
      <c r="AN12" s="25">
        <v>85</v>
      </c>
      <c r="AO12" s="11">
        <f>VLOOKUP(AN12,المرجع!$B$2:$C$11,2)</f>
        <v>4.5</v>
      </c>
      <c r="AP12" s="8" t="str">
        <f>VLOOKUP(AO12,[1]المرجع!$D$3:$E$12,2)</f>
        <v>ب+</v>
      </c>
      <c r="AQ12" s="10">
        <f t="shared" si="7"/>
        <v>9</v>
      </c>
      <c r="AR12" s="15">
        <v>2</v>
      </c>
      <c r="AS12" s="25">
        <v>90</v>
      </c>
      <c r="AT12" s="11">
        <f>VLOOKUP(AS12,المرجع!$B$2:$C$11,2)</f>
        <v>4.75</v>
      </c>
      <c r="AU12" s="8" t="str">
        <f>VLOOKUP(AT12,[1]المرجع!$D$3:$E$12,2)</f>
        <v>أ</v>
      </c>
      <c r="AV12" s="10">
        <f t="shared" si="8"/>
        <v>9.5</v>
      </c>
      <c r="AW12" s="15">
        <v>2</v>
      </c>
      <c r="AX12" s="25">
        <v>60</v>
      </c>
      <c r="AY12" s="11">
        <f>VLOOKUP(AX12,المرجع!$B$2:$C$11,2)</f>
        <v>2</v>
      </c>
      <c r="AZ12" s="8" t="str">
        <f>VLOOKUP(AY12,[1]المرجع!$D$3:$E$12,2)</f>
        <v>د</v>
      </c>
      <c r="BA12" s="30">
        <f t="shared" si="9"/>
        <v>4</v>
      </c>
      <c r="BB12" s="31">
        <f t="shared" si="10"/>
        <v>95.75</v>
      </c>
      <c r="BC12" s="20">
        <f t="shared" si="11"/>
        <v>22</v>
      </c>
      <c r="BD12" s="21">
        <f t="shared" si="12"/>
        <v>4.3522727272727275</v>
      </c>
      <c r="BE12" s="49">
        <f>(BB12+'المستوى الأول '!BL13)/('المستوى الأول '!BM13+'المستوى الثاني '!BC12)</f>
        <v>4.3</v>
      </c>
      <c r="BF12" s="23" t="str">
        <f>VLOOKUP(BE12,المرجع!$D$3:$F$11,3,TRUE)</f>
        <v>جيد جد مرتفع</v>
      </c>
      <c r="BG12" s="22">
        <f t="shared" si="13"/>
        <v>11</v>
      </c>
    </row>
    <row r="13" spans="2:59" ht="23.5">
      <c r="B13" s="27">
        <v>2024155</v>
      </c>
      <c r="C13" s="28" t="s">
        <v>17</v>
      </c>
      <c r="D13" s="5">
        <v>1</v>
      </c>
      <c r="E13" s="25">
        <v>75</v>
      </c>
      <c r="F13" s="11">
        <f>VLOOKUP(E13,المرجع!$B$2:$C$11,2)</f>
        <v>3.5</v>
      </c>
      <c r="G13" s="8" t="str">
        <f>VLOOKUP(F13,المرجع!$D$2:$E$11,2)</f>
        <v>ج+</v>
      </c>
      <c r="H13" s="10">
        <f t="shared" si="0"/>
        <v>3.5</v>
      </c>
      <c r="I13" s="5">
        <v>2</v>
      </c>
      <c r="J13" s="25">
        <v>79</v>
      </c>
      <c r="K13" s="11">
        <f>VLOOKUP(J13,المرجع!$B$2:$C$11,2)</f>
        <v>3.5</v>
      </c>
      <c r="L13" s="8" t="str">
        <f>VLOOKUP(K13,[1]المرجع!$D$3:$E$12,2)</f>
        <v>ج+</v>
      </c>
      <c r="M13" s="10">
        <f t="shared" si="1"/>
        <v>7</v>
      </c>
      <c r="N13" s="15">
        <v>3</v>
      </c>
      <c r="O13" s="25">
        <v>81</v>
      </c>
      <c r="P13" s="11">
        <f>VLOOKUP(O13,المرجع!$B$2:$C$11,2)</f>
        <v>4</v>
      </c>
      <c r="Q13" s="8" t="str">
        <f>VLOOKUP(P13,[1]المرجع!$D$3:$E$12,2)</f>
        <v>ب</v>
      </c>
      <c r="R13" s="10">
        <f t="shared" si="2"/>
        <v>12</v>
      </c>
      <c r="S13" s="15">
        <v>3</v>
      </c>
      <c r="T13" s="25">
        <v>89</v>
      </c>
      <c r="U13" s="11">
        <f>VLOOKUP(T13,المرجع!$B$2:$C$11,2)</f>
        <v>4.5</v>
      </c>
      <c r="V13" s="8" t="str">
        <f>VLOOKUP(U13,[1]المرجع!$D$3:$E$12,2)</f>
        <v>ب+</v>
      </c>
      <c r="W13" s="10">
        <f t="shared" si="3"/>
        <v>13.5</v>
      </c>
      <c r="X13" s="15">
        <v>3</v>
      </c>
      <c r="Y13" s="25">
        <v>95</v>
      </c>
      <c r="Z13" s="11">
        <f>VLOOKUP(Y13,المرجع!$B$2:$C$11,2)</f>
        <v>5</v>
      </c>
      <c r="AA13" s="8" t="str">
        <f>VLOOKUP(Z13,[1]المرجع!$D$3:$E$12,2)</f>
        <v xml:space="preserve">أ+ </v>
      </c>
      <c r="AB13" s="10">
        <f t="shared" si="4"/>
        <v>15</v>
      </c>
      <c r="AC13" s="15">
        <v>2</v>
      </c>
      <c r="AD13" s="25">
        <v>83</v>
      </c>
      <c r="AE13" s="11">
        <f>VLOOKUP(AD13,المرجع!$B$2:$C$11,2)</f>
        <v>4</v>
      </c>
      <c r="AF13" s="8" t="str">
        <f>VLOOKUP(AE13,[1]المرجع!$D$3:$E$12,2)</f>
        <v>ب</v>
      </c>
      <c r="AG13" s="10">
        <f t="shared" si="5"/>
        <v>8</v>
      </c>
      <c r="AH13" s="15">
        <v>2</v>
      </c>
      <c r="AI13" s="25">
        <v>97</v>
      </c>
      <c r="AJ13" s="11">
        <f>VLOOKUP(AI13,المرجع!$B$2:$C$11,2)</f>
        <v>5</v>
      </c>
      <c r="AK13" s="8" t="str">
        <f>VLOOKUP(AJ13,[1]المرجع!$D$3:$E$12,2)</f>
        <v xml:space="preserve">أ+ </v>
      </c>
      <c r="AL13" s="10">
        <f t="shared" si="6"/>
        <v>10</v>
      </c>
      <c r="AM13" s="15">
        <v>2</v>
      </c>
      <c r="AN13" s="25">
        <v>95</v>
      </c>
      <c r="AO13" s="11">
        <f>VLOOKUP(AN13,المرجع!$B$2:$C$11,2)</f>
        <v>5</v>
      </c>
      <c r="AP13" s="8" t="str">
        <f>VLOOKUP(AO13,[1]المرجع!$D$3:$E$12,2)</f>
        <v xml:space="preserve">أ+ </v>
      </c>
      <c r="AQ13" s="10">
        <f t="shared" si="7"/>
        <v>10</v>
      </c>
      <c r="AR13" s="15">
        <v>2</v>
      </c>
      <c r="AS13" s="25">
        <v>77</v>
      </c>
      <c r="AT13" s="11">
        <f>VLOOKUP(AS13,المرجع!$B$2:$C$11,2)</f>
        <v>3.5</v>
      </c>
      <c r="AU13" s="8" t="str">
        <f>VLOOKUP(AT13,[1]المرجع!$D$3:$E$12,2)</f>
        <v>ج+</v>
      </c>
      <c r="AV13" s="10">
        <f t="shared" si="8"/>
        <v>7</v>
      </c>
      <c r="AW13" s="15">
        <v>2</v>
      </c>
      <c r="AX13" s="25">
        <v>90</v>
      </c>
      <c r="AY13" s="11">
        <f>VLOOKUP(AX13,المرجع!$B$2:$C$11,2)</f>
        <v>4.75</v>
      </c>
      <c r="AZ13" s="8" t="str">
        <f>VLOOKUP(AY13,[1]المرجع!$D$3:$E$12,2)</f>
        <v>أ</v>
      </c>
      <c r="BA13" s="30">
        <f t="shared" si="9"/>
        <v>9.5</v>
      </c>
      <c r="BB13" s="31">
        <f t="shared" si="10"/>
        <v>95.5</v>
      </c>
      <c r="BC13" s="20">
        <f t="shared" si="11"/>
        <v>22</v>
      </c>
      <c r="BD13" s="21">
        <f t="shared" si="12"/>
        <v>4.3409090909090908</v>
      </c>
      <c r="BE13" s="49">
        <f>(BB13+'المستوى الأول '!BL14)/('المستوى الأول '!BM14+'المستوى الثاني '!BC13)</f>
        <v>4.2222222222222223</v>
      </c>
      <c r="BF13" s="23" t="str">
        <f>VLOOKUP(BE13,المرجع!$D$3:$F$11,3,TRUE)</f>
        <v>جيد جد مرتفع</v>
      </c>
      <c r="BG13" s="22">
        <f t="shared" si="13"/>
        <v>12</v>
      </c>
    </row>
    <row r="14" spans="2:59" ht="23.5">
      <c r="B14" s="27">
        <v>2024162</v>
      </c>
      <c r="C14" s="28" t="s">
        <v>22</v>
      </c>
      <c r="D14" s="5">
        <v>1</v>
      </c>
      <c r="E14" s="25">
        <v>95</v>
      </c>
      <c r="F14" s="11">
        <f>VLOOKUP(E14,المرجع!$B$2:$C$11,2)</f>
        <v>5</v>
      </c>
      <c r="G14" s="8" t="str">
        <f>VLOOKUP(F14,المرجع!$D$2:$E$11,2)</f>
        <v xml:space="preserve">أ+ </v>
      </c>
      <c r="H14" s="10">
        <f t="shared" si="0"/>
        <v>5</v>
      </c>
      <c r="I14" s="5">
        <v>2</v>
      </c>
      <c r="J14" s="25">
        <v>65</v>
      </c>
      <c r="K14" s="11">
        <f>VLOOKUP(J14,المرجع!$B$2:$C$11,2)</f>
        <v>2.5</v>
      </c>
      <c r="L14" s="8" t="str">
        <f>VLOOKUP(K14,[1]المرجع!$D$3:$E$12,2)</f>
        <v>د+</v>
      </c>
      <c r="M14" s="10">
        <f t="shared" si="1"/>
        <v>5</v>
      </c>
      <c r="N14" s="15">
        <v>3</v>
      </c>
      <c r="O14" s="25">
        <v>94</v>
      </c>
      <c r="P14" s="11">
        <f>VLOOKUP(O14,المرجع!$B$2:$C$11,2)</f>
        <v>4.75</v>
      </c>
      <c r="Q14" s="8" t="str">
        <f>VLOOKUP(P14,[1]المرجع!$D$3:$E$12,2)</f>
        <v>أ</v>
      </c>
      <c r="R14" s="10">
        <f t="shared" si="2"/>
        <v>14.25</v>
      </c>
      <c r="S14" s="15">
        <v>3</v>
      </c>
      <c r="T14" s="25">
        <v>93</v>
      </c>
      <c r="U14" s="11">
        <f>VLOOKUP(T14,المرجع!$B$2:$C$11,2)</f>
        <v>4.75</v>
      </c>
      <c r="V14" s="8" t="str">
        <f>VLOOKUP(U14,[1]المرجع!$D$3:$E$12,2)</f>
        <v>أ</v>
      </c>
      <c r="W14" s="10">
        <f t="shared" si="3"/>
        <v>14.25</v>
      </c>
      <c r="X14" s="15">
        <v>3</v>
      </c>
      <c r="Y14" s="25">
        <v>90</v>
      </c>
      <c r="Z14" s="11">
        <f>VLOOKUP(Y14,المرجع!$B$2:$C$11,2)</f>
        <v>4.75</v>
      </c>
      <c r="AA14" s="8" t="str">
        <f>VLOOKUP(Z14,[1]المرجع!$D$3:$E$12,2)</f>
        <v>أ</v>
      </c>
      <c r="AB14" s="10">
        <f t="shared" si="4"/>
        <v>14.25</v>
      </c>
      <c r="AC14" s="15">
        <v>2</v>
      </c>
      <c r="AD14" s="25">
        <v>84</v>
      </c>
      <c r="AE14" s="11">
        <f>VLOOKUP(AD14,المرجع!$B$2:$C$11,2)</f>
        <v>4</v>
      </c>
      <c r="AF14" s="8" t="str">
        <f>VLOOKUP(AE14,[1]المرجع!$D$3:$E$12,2)</f>
        <v>ب</v>
      </c>
      <c r="AG14" s="10">
        <f t="shared" si="5"/>
        <v>8</v>
      </c>
      <c r="AH14" s="15">
        <v>2</v>
      </c>
      <c r="AI14" s="25">
        <v>87</v>
      </c>
      <c r="AJ14" s="11">
        <f>VLOOKUP(AI14,المرجع!$B$2:$C$11,2)</f>
        <v>4.5</v>
      </c>
      <c r="AK14" s="8" t="str">
        <f>VLOOKUP(AJ14,[1]المرجع!$D$3:$E$12,2)</f>
        <v>ب+</v>
      </c>
      <c r="AL14" s="10">
        <f t="shared" si="6"/>
        <v>9</v>
      </c>
      <c r="AM14" s="15">
        <v>2</v>
      </c>
      <c r="AN14" s="25">
        <v>75</v>
      </c>
      <c r="AO14" s="11">
        <f>VLOOKUP(AN14,المرجع!$B$2:$C$11,2)</f>
        <v>3.5</v>
      </c>
      <c r="AP14" s="8" t="str">
        <f>VLOOKUP(AO14,[1]المرجع!$D$3:$E$12,2)</f>
        <v>ج+</v>
      </c>
      <c r="AQ14" s="10">
        <f t="shared" si="7"/>
        <v>7</v>
      </c>
      <c r="AR14" s="15">
        <v>2</v>
      </c>
      <c r="AS14" s="25">
        <v>100</v>
      </c>
      <c r="AT14" s="11">
        <f>VLOOKUP(AS14,المرجع!$B$2:$C$11,2)</f>
        <v>5</v>
      </c>
      <c r="AU14" s="8" t="str">
        <f>VLOOKUP(AT14,[1]المرجع!$D$3:$E$12,2)</f>
        <v xml:space="preserve">أ+ </v>
      </c>
      <c r="AV14" s="10">
        <f t="shared" si="8"/>
        <v>10</v>
      </c>
      <c r="AW14" s="15">
        <v>2</v>
      </c>
      <c r="AX14" s="25">
        <v>70</v>
      </c>
      <c r="AY14" s="11">
        <f>VLOOKUP(AX14,المرجع!$B$2:$C$11,2)</f>
        <v>3</v>
      </c>
      <c r="AZ14" s="8" t="str">
        <f>VLOOKUP(AY14,[1]المرجع!$D$3:$E$12,2)</f>
        <v>ج</v>
      </c>
      <c r="BA14" s="30">
        <f t="shared" si="9"/>
        <v>6</v>
      </c>
      <c r="BB14" s="31">
        <f t="shared" si="10"/>
        <v>92.75</v>
      </c>
      <c r="BC14" s="20">
        <f t="shared" si="11"/>
        <v>22</v>
      </c>
      <c r="BD14" s="21">
        <f t="shared" si="12"/>
        <v>4.2159090909090908</v>
      </c>
      <c r="BE14" s="49">
        <f>(BB14+'المستوى الأول '!BL15)/('المستوى الأول '!BM15+'المستوى الثاني '!BC14)</f>
        <v>4.1944444444444446</v>
      </c>
      <c r="BF14" s="23" t="str">
        <f>VLOOKUP(BE14,المرجع!$D$3:$F$11,3,TRUE)</f>
        <v>جيد جد مرتفع</v>
      </c>
      <c r="BG14" s="22">
        <f t="shared" si="13"/>
        <v>13</v>
      </c>
    </row>
    <row r="15" spans="2:59" ht="23.5">
      <c r="B15" s="27">
        <v>2024209</v>
      </c>
      <c r="C15" s="28" t="s">
        <v>26</v>
      </c>
      <c r="D15" s="5">
        <v>1</v>
      </c>
      <c r="E15" s="25">
        <v>98</v>
      </c>
      <c r="F15" s="11">
        <f>VLOOKUP(E15,المرجع!$B$2:$C$11,2)</f>
        <v>5</v>
      </c>
      <c r="G15" s="8" t="str">
        <f>VLOOKUP(F15,المرجع!$D$2:$E$11,2)</f>
        <v xml:space="preserve">أ+ </v>
      </c>
      <c r="H15" s="10">
        <f t="shared" si="0"/>
        <v>5</v>
      </c>
      <c r="I15" s="5">
        <v>2</v>
      </c>
      <c r="J15" s="25">
        <v>58</v>
      </c>
      <c r="K15" s="11">
        <f>VLOOKUP(J15,المرجع!$B$2:$C$11,2)</f>
        <v>2</v>
      </c>
      <c r="L15" s="8" t="str">
        <f>VLOOKUP(K15,[1]المرجع!$D$3:$E$12,2)</f>
        <v>د</v>
      </c>
      <c r="M15" s="10">
        <f t="shared" si="1"/>
        <v>4</v>
      </c>
      <c r="N15" s="15">
        <v>3</v>
      </c>
      <c r="O15" s="25">
        <v>94</v>
      </c>
      <c r="P15" s="11">
        <f>VLOOKUP(O15,المرجع!$B$2:$C$11,2)</f>
        <v>4.75</v>
      </c>
      <c r="Q15" s="8" t="str">
        <f>VLOOKUP(P15,[1]المرجع!$D$3:$E$12,2)</f>
        <v>أ</v>
      </c>
      <c r="R15" s="10">
        <f t="shared" si="2"/>
        <v>14.25</v>
      </c>
      <c r="S15" s="15">
        <v>3</v>
      </c>
      <c r="T15" s="25">
        <v>99</v>
      </c>
      <c r="U15" s="11">
        <f>VLOOKUP(T15,المرجع!$B$2:$C$11,2)</f>
        <v>5</v>
      </c>
      <c r="V15" s="8" t="str">
        <f>VLOOKUP(U15,[1]المرجع!$D$3:$E$12,2)</f>
        <v xml:space="preserve">أ+ </v>
      </c>
      <c r="W15" s="10">
        <f t="shared" si="3"/>
        <v>15</v>
      </c>
      <c r="X15" s="15">
        <v>3</v>
      </c>
      <c r="Y15" s="25">
        <v>100</v>
      </c>
      <c r="Z15" s="11">
        <f>VLOOKUP(Y15,المرجع!$B$2:$C$11,2)</f>
        <v>5</v>
      </c>
      <c r="AA15" s="8" t="str">
        <f>VLOOKUP(Z15,[1]المرجع!$D$3:$E$12,2)</f>
        <v xml:space="preserve">أ+ </v>
      </c>
      <c r="AB15" s="10">
        <f t="shared" si="4"/>
        <v>15</v>
      </c>
      <c r="AC15" s="15">
        <v>2</v>
      </c>
      <c r="AD15" s="25">
        <v>78</v>
      </c>
      <c r="AE15" s="11">
        <f>VLOOKUP(AD15,المرجع!$B$2:$C$11,2)</f>
        <v>3.5</v>
      </c>
      <c r="AF15" s="8" t="str">
        <f>VLOOKUP(AE15,[1]المرجع!$D$3:$E$12,2)</f>
        <v>ج+</v>
      </c>
      <c r="AG15" s="10">
        <f t="shared" si="5"/>
        <v>7</v>
      </c>
      <c r="AH15" s="15">
        <v>2</v>
      </c>
      <c r="AI15" s="25">
        <v>90</v>
      </c>
      <c r="AJ15" s="11">
        <f>VLOOKUP(AI15,المرجع!$B$2:$C$11,2)</f>
        <v>4.75</v>
      </c>
      <c r="AK15" s="8" t="str">
        <f>VLOOKUP(AJ15,[1]المرجع!$D$3:$E$12,2)</f>
        <v>أ</v>
      </c>
      <c r="AL15" s="10">
        <f t="shared" si="6"/>
        <v>9.5</v>
      </c>
      <c r="AM15" s="15">
        <v>2</v>
      </c>
      <c r="AN15" s="25">
        <v>60</v>
      </c>
      <c r="AO15" s="11">
        <f>VLOOKUP(AN15,المرجع!$B$2:$C$11,2)</f>
        <v>2</v>
      </c>
      <c r="AP15" s="8" t="str">
        <f>VLOOKUP(AO15,[1]المرجع!$D$3:$E$12,2)</f>
        <v>د</v>
      </c>
      <c r="AQ15" s="10">
        <f t="shared" si="7"/>
        <v>4</v>
      </c>
      <c r="AR15" s="15">
        <v>2</v>
      </c>
      <c r="AS15" s="25">
        <v>100</v>
      </c>
      <c r="AT15" s="11">
        <f>VLOOKUP(AS15,المرجع!$B$2:$C$11,2)</f>
        <v>5</v>
      </c>
      <c r="AU15" s="8" t="str">
        <f>VLOOKUP(AT15,[1]المرجع!$D$3:$E$12,2)</f>
        <v xml:space="preserve">أ+ </v>
      </c>
      <c r="AV15" s="10">
        <f t="shared" si="8"/>
        <v>10</v>
      </c>
      <c r="AW15" s="15">
        <v>2</v>
      </c>
      <c r="AX15" s="25">
        <v>66</v>
      </c>
      <c r="AY15" s="11">
        <f>VLOOKUP(AX15,المرجع!$B$2:$C$11,2)</f>
        <v>2.5</v>
      </c>
      <c r="AZ15" s="8" t="str">
        <f>VLOOKUP(AY15,[1]المرجع!$D$3:$E$12,2)</f>
        <v>د+</v>
      </c>
      <c r="BA15" s="30">
        <f t="shared" si="9"/>
        <v>5</v>
      </c>
      <c r="BB15" s="31">
        <f t="shared" si="10"/>
        <v>88.75</v>
      </c>
      <c r="BC15" s="20">
        <f t="shared" si="11"/>
        <v>22</v>
      </c>
      <c r="BD15" s="21">
        <f t="shared" si="12"/>
        <v>4.0340909090909092</v>
      </c>
      <c r="BE15" s="49">
        <f>(BB15+'المستوى الأول '!BL16)/('المستوى الأول '!BM16+'المستوى الثاني '!BC15)</f>
        <v>4.1166666666666663</v>
      </c>
      <c r="BF15" s="23" t="str">
        <f>VLOOKUP(BE15,المرجع!$D$3:$F$11,3,TRUE)</f>
        <v>جيد جد مرتفع</v>
      </c>
      <c r="BG15" s="22">
        <f t="shared" si="13"/>
        <v>18</v>
      </c>
    </row>
    <row r="16" spans="2:59" ht="23.5">
      <c r="B16" s="27">
        <v>2024303</v>
      </c>
      <c r="C16" s="28" t="s">
        <v>21</v>
      </c>
      <c r="D16" s="5">
        <v>1</v>
      </c>
      <c r="E16" s="25">
        <v>93</v>
      </c>
      <c r="F16" s="11">
        <f>VLOOKUP(E16,المرجع!$B$2:$C$11,2)</f>
        <v>4.75</v>
      </c>
      <c r="G16" s="8" t="str">
        <f>VLOOKUP(F16,المرجع!$D$2:$E$11,2)</f>
        <v>أ</v>
      </c>
      <c r="H16" s="10">
        <f t="shared" si="0"/>
        <v>4.75</v>
      </c>
      <c r="I16" s="5">
        <v>2</v>
      </c>
      <c r="J16" s="25">
        <v>78</v>
      </c>
      <c r="K16" s="11">
        <f>VLOOKUP(J16,المرجع!$B$2:$C$11,2)</f>
        <v>3.5</v>
      </c>
      <c r="L16" s="8" t="str">
        <f>VLOOKUP(K16,[1]المرجع!$D$3:$E$12,2)</f>
        <v>ج+</v>
      </c>
      <c r="M16" s="10">
        <f t="shared" si="1"/>
        <v>7</v>
      </c>
      <c r="N16" s="15">
        <v>3</v>
      </c>
      <c r="O16" s="25">
        <v>83</v>
      </c>
      <c r="P16" s="11">
        <f>VLOOKUP(O16,المرجع!$B$2:$C$11,2)</f>
        <v>4</v>
      </c>
      <c r="Q16" s="8" t="str">
        <f>VLOOKUP(P16,[1]المرجع!$D$3:$E$12,2)</f>
        <v>ب</v>
      </c>
      <c r="R16" s="10">
        <f t="shared" si="2"/>
        <v>12</v>
      </c>
      <c r="S16" s="15">
        <v>3</v>
      </c>
      <c r="T16" s="25">
        <v>97</v>
      </c>
      <c r="U16" s="11">
        <f>VLOOKUP(T16,المرجع!$B$2:$C$11,2)</f>
        <v>5</v>
      </c>
      <c r="V16" s="8" t="str">
        <f>VLOOKUP(U16,[1]المرجع!$D$3:$E$12,2)</f>
        <v xml:space="preserve">أ+ </v>
      </c>
      <c r="W16" s="10">
        <f t="shared" si="3"/>
        <v>15</v>
      </c>
      <c r="X16" s="15">
        <v>3</v>
      </c>
      <c r="Y16" s="25">
        <v>95</v>
      </c>
      <c r="Z16" s="11">
        <f>VLOOKUP(Y16,المرجع!$B$2:$C$11,2)</f>
        <v>5</v>
      </c>
      <c r="AA16" s="8" t="str">
        <f>VLOOKUP(Z16,[1]المرجع!$D$3:$E$12,2)</f>
        <v xml:space="preserve">أ+ </v>
      </c>
      <c r="AB16" s="10">
        <f t="shared" si="4"/>
        <v>15</v>
      </c>
      <c r="AC16" s="15">
        <v>2</v>
      </c>
      <c r="AD16" s="25">
        <v>90</v>
      </c>
      <c r="AE16" s="11">
        <f>VLOOKUP(AD16,المرجع!$B$2:$C$11,2)</f>
        <v>4.75</v>
      </c>
      <c r="AF16" s="8" t="str">
        <f>VLOOKUP(AE16,[1]المرجع!$D$3:$E$12,2)</f>
        <v>أ</v>
      </c>
      <c r="AG16" s="10">
        <f t="shared" si="5"/>
        <v>9.5</v>
      </c>
      <c r="AH16" s="15">
        <v>2</v>
      </c>
      <c r="AI16" s="25">
        <v>100</v>
      </c>
      <c r="AJ16" s="11">
        <f>VLOOKUP(AI16,المرجع!$B$2:$C$11,2)</f>
        <v>5</v>
      </c>
      <c r="AK16" s="8" t="str">
        <f>VLOOKUP(AJ16,[1]المرجع!$D$3:$E$12,2)</f>
        <v xml:space="preserve">أ+ </v>
      </c>
      <c r="AL16" s="10">
        <f t="shared" si="6"/>
        <v>10</v>
      </c>
      <c r="AM16" s="15">
        <v>2</v>
      </c>
      <c r="AN16" s="25">
        <v>65</v>
      </c>
      <c r="AO16" s="11">
        <f>VLOOKUP(AN16,المرجع!$B$2:$C$11,2)</f>
        <v>2.5</v>
      </c>
      <c r="AP16" s="8" t="str">
        <f>VLOOKUP(AO16,[1]المرجع!$D$3:$E$12,2)</f>
        <v>د+</v>
      </c>
      <c r="AQ16" s="10">
        <f t="shared" si="7"/>
        <v>5</v>
      </c>
      <c r="AR16" s="15">
        <v>2</v>
      </c>
      <c r="AS16" s="25">
        <v>66</v>
      </c>
      <c r="AT16" s="11">
        <f>VLOOKUP(AS16,المرجع!$B$2:$C$11,2)</f>
        <v>2.5</v>
      </c>
      <c r="AU16" s="8" t="str">
        <f>VLOOKUP(AT16,[1]المرجع!$D$3:$E$12,2)</f>
        <v>د+</v>
      </c>
      <c r="AV16" s="10">
        <f t="shared" si="8"/>
        <v>5</v>
      </c>
      <c r="AW16" s="15">
        <v>2</v>
      </c>
      <c r="AX16" s="25">
        <v>76</v>
      </c>
      <c r="AY16" s="11">
        <f>VLOOKUP(AX16,المرجع!$B$2:$C$11,2)</f>
        <v>3.5</v>
      </c>
      <c r="AZ16" s="8" t="str">
        <f>VLOOKUP(AY16,[1]المرجع!$D$3:$E$12,2)</f>
        <v>ج+</v>
      </c>
      <c r="BA16" s="30">
        <f t="shared" si="9"/>
        <v>7</v>
      </c>
      <c r="BB16" s="31">
        <f t="shared" si="10"/>
        <v>90.25</v>
      </c>
      <c r="BC16" s="20">
        <f t="shared" si="11"/>
        <v>22</v>
      </c>
      <c r="BD16" s="21">
        <f t="shared" si="12"/>
        <v>4.1022727272727275</v>
      </c>
      <c r="BE16" s="49">
        <f>(BB16+'المستوى الأول '!BL17)/('المستوى الأول '!BM17+'المستوى الثاني '!BC16)</f>
        <v>4.1444444444444448</v>
      </c>
      <c r="BF16" s="23" t="str">
        <f>VLOOKUP(BE16,المرجع!$D$3:$F$11,3,TRUE)</f>
        <v>جيد جد مرتفع</v>
      </c>
      <c r="BG16" s="22">
        <f t="shared" si="13"/>
        <v>16</v>
      </c>
    </row>
    <row r="17" spans="2:59" ht="23.5">
      <c r="B17" s="27">
        <v>2024158</v>
      </c>
      <c r="C17" s="28" t="s">
        <v>31</v>
      </c>
      <c r="D17" s="5">
        <v>1</v>
      </c>
      <c r="E17" s="25">
        <v>82</v>
      </c>
      <c r="F17" s="11">
        <f>VLOOKUP(E17,المرجع!$B$2:$C$11,2)</f>
        <v>4</v>
      </c>
      <c r="G17" s="8" t="str">
        <f>VLOOKUP(F17,المرجع!$D$2:$E$11,2)</f>
        <v>ب</v>
      </c>
      <c r="H17" s="10">
        <f t="shared" si="0"/>
        <v>4</v>
      </c>
      <c r="I17" s="5">
        <v>2</v>
      </c>
      <c r="J17" s="25">
        <v>76</v>
      </c>
      <c r="K17" s="11">
        <f>VLOOKUP(J17,المرجع!$B$2:$C$11,2)</f>
        <v>3.5</v>
      </c>
      <c r="L17" s="8" t="str">
        <f>VLOOKUP(K17,[1]المرجع!$D$3:$E$12,2)</f>
        <v>ج+</v>
      </c>
      <c r="M17" s="10">
        <f t="shared" si="1"/>
        <v>7</v>
      </c>
      <c r="N17" s="15">
        <v>3</v>
      </c>
      <c r="O17" s="25">
        <v>89</v>
      </c>
      <c r="P17" s="11">
        <f>VLOOKUP(O17,المرجع!$B$2:$C$11,2)</f>
        <v>4.5</v>
      </c>
      <c r="Q17" s="8" t="str">
        <f>VLOOKUP(P17,[1]المرجع!$D$3:$E$12,2)</f>
        <v>ب+</v>
      </c>
      <c r="R17" s="10">
        <f t="shared" si="2"/>
        <v>13.5</v>
      </c>
      <c r="S17" s="15">
        <v>3</v>
      </c>
      <c r="T17" s="25">
        <v>86</v>
      </c>
      <c r="U17" s="11">
        <f>VLOOKUP(T17,المرجع!$B$2:$C$11,2)</f>
        <v>4.5</v>
      </c>
      <c r="V17" s="8" t="str">
        <f>VLOOKUP(U17,[1]المرجع!$D$3:$E$12,2)</f>
        <v>ب+</v>
      </c>
      <c r="W17" s="10">
        <f t="shared" si="3"/>
        <v>13.5</v>
      </c>
      <c r="X17" s="15">
        <v>3</v>
      </c>
      <c r="Y17" s="25">
        <v>95</v>
      </c>
      <c r="Z17" s="11">
        <f>VLOOKUP(Y17,المرجع!$B$2:$C$11,2)</f>
        <v>5</v>
      </c>
      <c r="AA17" s="8" t="str">
        <f>VLOOKUP(Z17,[1]المرجع!$D$3:$E$12,2)</f>
        <v xml:space="preserve">أ+ </v>
      </c>
      <c r="AB17" s="10">
        <f t="shared" si="4"/>
        <v>15</v>
      </c>
      <c r="AC17" s="15">
        <v>2</v>
      </c>
      <c r="AD17" s="25">
        <v>73</v>
      </c>
      <c r="AE17" s="11">
        <f>VLOOKUP(AD17,المرجع!$B$2:$C$11,2)</f>
        <v>3</v>
      </c>
      <c r="AF17" s="8" t="str">
        <f>VLOOKUP(AE17,[1]المرجع!$D$3:$E$12,2)</f>
        <v>ج</v>
      </c>
      <c r="AG17" s="10">
        <f t="shared" si="5"/>
        <v>6</v>
      </c>
      <c r="AH17" s="15">
        <v>2</v>
      </c>
      <c r="AI17" s="25">
        <v>88</v>
      </c>
      <c r="AJ17" s="11">
        <f>VLOOKUP(AI17,المرجع!$B$2:$C$11,2)</f>
        <v>4.5</v>
      </c>
      <c r="AK17" s="8" t="str">
        <f>VLOOKUP(AJ17,[1]المرجع!$D$3:$E$12,2)</f>
        <v>ب+</v>
      </c>
      <c r="AL17" s="10">
        <f t="shared" si="6"/>
        <v>9</v>
      </c>
      <c r="AM17" s="15">
        <v>2</v>
      </c>
      <c r="AN17" s="25">
        <v>83</v>
      </c>
      <c r="AO17" s="11">
        <f>VLOOKUP(AN17,المرجع!$B$2:$C$11,2)</f>
        <v>4</v>
      </c>
      <c r="AP17" s="8" t="str">
        <f>VLOOKUP(AO17,[1]المرجع!$D$3:$E$12,2)</f>
        <v>ب</v>
      </c>
      <c r="AQ17" s="10">
        <f t="shared" si="7"/>
        <v>8</v>
      </c>
      <c r="AR17" s="15">
        <v>2</v>
      </c>
      <c r="AS17" s="25">
        <v>86</v>
      </c>
      <c r="AT17" s="11">
        <f>VLOOKUP(AS17,المرجع!$B$2:$C$11,2)</f>
        <v>4.5</v>
      </c>
      <c r="AU17" s="8" t="str">
        <f>VLOOKUP(AT17,[1]المرجع!$D$3:$E$12,2)</f>
        <v>ب+</v>
      </c>
      <c r="AV17" s="10">
        <f t="shared" si="8"/>
        <v>9</v>
      </c>
      <c r="AW17" s="15">
        <v>2</v>
      </c>
      <c r="AX17" s="25">
        <v>71</v>
      </c>
      <c r="AY17" s="11">
        <f>VLOOKUP(AX17,المرجع!$B$2:$C$11,2)</f>
        <v>3</v>
      </c>
      <c r="AZ17" s="8" t="str">
        <f>VLOOKUP(AY17,[1]المرجع!$D$3:$E$12,2)</f>
        <v>ج</v>
      </c>
      <c r="BA17" s="30">
        <f t="shared" si="9"/>
        <v>6</v>
      </c>
      <c r="BB17" s="31">
        <f t="shared" si="10"/>
        <v>91</v>
      </c>
      <c r="BC17" s="20">
        <f t="shared" si="11"/>
        <v>22</v>
      </c>
      <c r="BD17" s="21">
        <f t="shared" si="12"/>
        <v>4.1363636363636367</v>
      </c>
      <c r="BE17" s="49">
        <f>(BB17+'المستوى الأول '!BL18)/('المستوى الأول '!BM18+'المستوى الثاني '!BC17)</f>
        <v>4.1611111111111114</v>
      </c>
      <c r="BF17" s="23" t="str">
        <f>VLOOKUP(BE17,المرجع!$D$3:$F$11,3,TRUE)</f>
        <v>جيد جد مرتفع</v>
      </c>
      <c r="BG17" s="22">
        <f t="shared" si="13"/>
        <v>14</v>
      </c>
    </row>
    <row r="18" spans="2:59" ht="23.5">
      <c r="B18" s="27">
        <v>2024179</v>
      </c>
      <c r="C18" s="28" t="s">
        <v>42</v>
      </c>
      <c r="D18" s="5">
        <v>1</v>
      </c>
      <c r="E18" s="25">
        <v>90</v>
      </c>
      <c r="F18" s="11">
        <f>VLOOKUP(E18,المرجع!$B$2:$C$11,2)</f>
        <v>4.75</v>
      </c>
      <c r="G18" s="8" t="str">
        <f>VLOOKUP(F18,المرجع!$D$2:$E$11,2)</f>
        <v>أ</v>
      </c>
      <c r="H18" s="10">
        <f t="shared" si="0"/>
        <v>4.75</v>
      </c>
      <c r="I18" s="5">
        <v>2</v>
      </c>
      <c r="J18" s="25">
        <v>50</v>
      </c>
      <c r="K18" s="11">
        <f>VLOOKUP(J18,المرجع!$B$2:$C$11,2)</f>
        <v>2</v>
      </c>
      <c r="L18" s="8" t="str">
        <f>VLOOKUP(K18,[1]المرجع!$D$3:$E$12,2)</f>
        <v>د</v>
      </c>
      <c r="M18" s="10">
        <f t="shared" si="1"/>
        <v>4</v>
      </c>
      <c r="N18" s="15">
        <v>3</v>
      </c>
      <c r="O18" s="25">
        <v>91</v>
      </c>
      <c r="P18" s="11">
        <f>VLOOKUP(O18,المرجع!$B$2:$C$11,2)</f>
        <v>4.75</v>
      </c>
      <c r="Q18" s="8" t="str">
        <f>VLOOKUP(P18,[1]المرجع!$D$3:$E$12,2)</f>
        <v>أ</v>
      </c>
      <c r="R18" s="10">
        <f t="shared" si="2"/>
        <v>14.25</v>
      </c>
      <c r="S18" s="15">
        <v>3</v>
      </c>
      <c r="T18" s="25">
        <v>100</v>
      </c>
      <c r="U18" s="11">
        <f>VLOOKUP(T18,المرجع!$B$2:$C$11,2)</f>
        <v>5</v>
      </c>
      <c r="V18" s="8" t="str">
        <f>VLOOKUP(U18,[1]المرجع!$D$3:$E$12,2)</f>
        <v xml:space="preserve">أ+ </v>
      </c>
      <c r="W18" s="10">
        <f t="shared" si="3"/>
        <v>15</v>
      </c>
      <c r="X18" s="15">
        <v>3</v>
      </c>
      <c r="Y18" s="25">
        <v>80</v>
      </c>
      <c r="Z18" s="11">
        <f>VLOOKUP(Y18,المرجع!$B$2:$C$11,2)</f>
        <v>4</v>
      </c>
      <c r="AA18" s="8" t="str">
        <f>VLOOKUP(Z18,[1]المرجع!$D$3:$E$12,2)</f>
        <v>ب</v>
      </c>
      <c r="AB18" s="10">
        <f t="shared" si="4"/>
        <v>12</v>
      </c>
      <c r="AC18" s="15">
        <v>2</v>
      </c>
      <c r="AD18" s="25">
        <v>79</v>
      </c>
      <c r="AE18" s="11">
        <f>VLOOKUP(AD18,المرجع!$B$2:$C$11,2)</f>
        <v>3.5</v>
      </c>
      <c r="AF18" s="8" t="str">
        <f>VLOOKUP(AE18,[1]المرجع!$D$3:$E$12,2)</f>
        <v>ج+</v>
      </c>
      <c r="AG18" s="10">
        <f t="shared" si="5"/>
        <v>7</v>
      </c>
      <c r="AH18" s="15">
        <v>2</v>
      </c>
      <c r="AI18" s="25">
        <v>97</v>
      </c>
      <c r="AJ18" s="11">
        <f>VLOOKUP(AI18,المرجع!$B$2:$C$11,2)</f>
        <v>5</v>
      </c>
      <c r="AK18" s="8" t="str">
        <f>VLOOKUP(AJ18,[1]المرجع!$D$3:$E$12,2)</f>
        <v xml:space="preserve">أ+ </v>
      </c>
      <c r="AL18" s="10">
        <f t="shared" si="6"/>
        <v>10</v>
      </c>
      <c r="AM18" s="15">
        <v>2</v>
      </c>
      <c r="AN18" s="25">
        <v>80</v>
      </c>
      <c r="AO18" s="11">
        <f>VLOOKUP(AN18,المرجع!$B$2:$C$11,2)</f>
        <v>4</v>
      </c>
      <c r="AP18" s="8" t="str">
        <f>VLOOKUP(AO18,[1]المرجع!$D$3:$E$12,2)</f>
        <v>ب</v>
      </c>
      <c r="AQ18" s="10">
        <f t="shared" si="7"/>
        <v>8</v>
      </c>
      <c r="AR18" s="15">
        <v>2</v>
      </c>
      <c r="AS18" s="25">
        <v>100</v>
      </c>
      <c r="AT18" s="11">
        <f>VLOOKUP(AS18,المرجع!$B$2:$C$11,2)</f>
        <v>5</v>
      </c>
      <c r="AU18" s="8" t="str">
        <f>VLOOKUP(AT18,[1]المرجع!$D$3:$E$12,2)</f>
        <v xml:space="preserve">أ+ </v>
      </c>
      <c r="AV18" s="10">
        <f t="shared" si="8"/>
        <v>10</v>
      </c>
      <c r="AW18" s="15">
        <v>2</v>
      </c>
      <c r="AX18" s="25">
        <v>58</v>
      </c>
      <c r="AY18" s="11">
        <f>VLOOKUP(AX18,المرجع!$B$2:$C$11,2)</f>
        <v>2</v>
      </c>
      <c r="AZ18" s="8" t="str">
        <f>VLOOKUP(AY18,[1]المرجع!$D$3:$E$12,2)</f>
        <v>د</v>
      </c>
      <c r="BA18" s="30">
        <f t="shared" si="9"/>
        <v>4</v>
      </c>
      <c r="BB18" s="31">
        <f t="shared" si="10"/>
        <v>89</v>
      </c>
      <c r="BC18" s="20">
        <f t="shared" si="11"/>
        <v>22</v>
      </c>
      <c r="BD18" s="21">
        <f t="shared" si="12"/>
        <v>4.0454545454545459</v>
      </c>
      <c r="BE18" s="49">
        <f>(BB18+'المستوى الأول '!BL19)/('المستوى الأول '!BM19+'المستوى الثاني '!BC18)</f>
        <v>4.0055555555555555</v>
      </c>
      <c r="BF18" s="23" t="str">
        <f>VLOOKUP(BE18,المرجع!$D$3:$F$11,3,TRUE)</f>
        <v xml:space="preserve">جيد جدا </v>
      </c>
      <c r="BG18" s="22">
        <f t="shared" si="13"/>
        <v>17</v>
      </c>
    </row>
    <row r="19" spans="2:59" ht="23.5">
      <c r="B19" s="27">
        <v>2024176</v>
      </c>
      <c r="C19" s="28" t="s">
        <v>27</v>
      </c>
      <c r="D19" s="5">
        <v>1</v>
      </c>
      <c r="E19" s="25">
        <v>75</v>
      </c>
      <c r="F19" s="11">
        <f>VLOOKUP(E19,المرجع!$B$2:$C$11,2)</f>
        <v>3.5</v>
      </c>
      <c r="G19" s="8" t="str">
        <f>VLOOKUP(F19,المرجع!$D$2:$E$11,2)</f>
        <v>ج+</v>
      </c>
      <c r="H19" s="10">
        <f t="shared" si="0"/>
        <v>3.5</v>
      </c>
      <c r="I19" s="5">
        <v>2</v>
      </c>
      <c r="J19" s="25">
        <v>50</v>
      </c>
      <c r="K19" s="11">
        <f>VLOOKUP(J19,المرجع!$B$2:$C$11,2)</f>
        <v>2</v>
      </c>
      <c r="L19" s="8" t="str">
        <f>VLOOKUP(K19,[1]المرجع!$D$3:$E$12,2)</f>
        <v>د</v>
      </c>
      <c r="M19" s="10">
        <f t="shared" si="1"/>
        <v>4</v>
      </c>
      <c r="N19" s="15">
        <v>3</v>
      </c>
      <c r="O19" s="25">
        <v>90</v>
      </c>
      <c r="P19" s="11">
        <f>VLOOKUP(O19,المرجع!$B$2:$C$11,2)</f>
        <v>4.75</v>
      </c>
      <c r="Q19" s="8" t="str">
        <f>VLOOKUP(P19,[1]المرجع!$D$3:$E$12,2)</f>
        <v>أ</v>
      </c>
      <c r="R19" s="10">
        <f t="shared" si="2"/>
        <v>14.25</v>
      </c>
      <c r="S19" s="15">
        <v>3</v>
      </c>
      <c r="T19" s="25">
        <v>90</v>
      </c>
      <c r="U19" s="11">
        <f>VLOOKUP(T19,المرجع!$B$2:$C$11,2)</f>
        <v>4.75</v>
      </c>
      <c r="V19" s="8" t="str">
        <f>VLOOKUP(U19,[1]المرجع!$D$3:$E$12,2)</f>
        <v>أ</v>
      </c>
      <c r="W19" s="10">
        <f t="shared" si="3"/>
        <v>14.25</v>
      </c>
      <c r="X19" s="15">
        <v>3</v>
      </c>
      <c r="Y19" s="25">
        <v>70</v>
      </c>
      <c r="Z19" s="11">
        <f>VLOOKUP(Y19,المرجع!$B$2:$C$11,2)</f>
        <v>3</v>
      </c>
      <c r="AA19" s="8" t="str">
        <f>VLOOKUP(Z19,[1]المرجع!$D$3:$E$12,2)</f>
        <v>ج</v>
      </c>
      <c r="AB19" s="10">
        <f t="shared" si="4"/>
        <v>9</v>
      </c>
      <c r="AC19" s="15">
        <v>2</v>
      </c>
      <c r="AD19" s="25">
        <v>86</v>
      </c>
      <c r="AE19" s="11">
        <f>VLOOKUP(AD19,المرجع!$B$2:$C$11,2)</f>
        <v>4.5</v>
      </c>
      <c r="AF19" s="8" t="str">
        <f>VLOOKUP(AE19,[1]المرجع!$D$3:$E$12,2)</f>
        <v>ب+</v>
      </c>
      <c r="AG19" s="10">
        <f t="shared" si="5"/>
        <v>9</v>
      </c>
      <c r="AH19" s="15">
        <v>2</v>
      </c>
      <c r="AI19" s="25">
        <v>97</v>
      </c>
      <c r="AJ19" s="11">
        <f>VLOOKUP(AI19,المرجع!$B$2:$C$11,2)</f>
        <v>5</v>
      </c>
      <c r="AK19" s="8" t="str">
        <f>VLOOKUP(AJ19,[1]المرجع!$D$3:$E$12,2)</f>
        <v xml:space="preserve">أ+ </v>
      </c>
      <c r="AL19" s="10">
        <f t="shared" si="6"/>
        <v>10</v>
      </c>
      <c r="AM19" s="15">
        <v>2</v>
      </c>
      <c r="AN19" s="25">
        <v>80</v>
      </c>
      <c r="AO19" s="11">
        <f>VLOOKUP(AN19,المرجع!$B$2:$C$11,2)</f>
        <v>4</v>
      </c>
      <c r="AP19" s="8" t="str">
        <f>VLOOKUP(AO19,[1]المرجع!$D$3:$E$12,2)</f>
        <v>ب</v>
      </c>
      <c r="AQ19" s="10">
        <f t="shared" si="7"/>
        <v>8</v>
      </c>
      <c r="AR19" s="15">
        <v>2</v>
      </c>
      <c r="AS19" s="25">
        <v>90</v>
      </c>
      <c r="AT19" s="11">
        <f>VLOOKUP(AS19,المرجع!$B$2:$C$11,2)</f>
        <v>4.75</v>
      </c>
      <c r="AU19" s="8" t="str">
        <f>VLOOKUP(AT19,[1]المرجع!$D$3:$E$12,2)</f>
        <v>أ</v>
      </c>
      <c r="AV19" s="10">
        <f t="shared" si="8"/>
        <v>9.5</v>
      </c>
      <c r="AW19" s="15">
        <v>2</v>
      </c>
      <c r="AX19" s="25">
        <v>90</v>
      </c>
      <c r="AY19" s="11">
        <f>VLOOKUP(AX19,المرجع!$B$2:$C$11,2)</f>
        <v>4.75</v>
      </c>
      <c r="AZ19" s="8" t="str">
        <f>VLOOKUP(AY19,[1]المرجع!$D$3:$E$12,2)</f>
        <v>أ</v>
      </c>
      <c r="BA19" s="30">
        <f t="shared" si="9"/>
        <v>9.5</v>
      </c>
      <c r="BB19" s="31">
        <f t="shared" si="10"/>
        <v>91</v>
      </c>
      <c r="BC19" s="20">
        <f t="shared" si="11"/>
        <v>22</v>
      </c>
      <c r="BD19" s="21">
        <f t="shared" si="12"/>
        <v>4.1363636363636367</v>
      </c>
      <c r="BE19" s="49">
        <f>(BB19+'المستوى الأول '!BL20)/('المستوى الأول '!BM20+'المستوى الثاني '!BC19)</f>
        <v>3.9777777777777779</v>
      </c>
      <c r="BF19" s="23" t="str">
        <f>VLOOKUP(BE19,المرجع!$D$3:$F$11,3,TRUE)</f>
        <v xml:space="preserve">جيد جدا </v>
      </c>
      <c r="BG19" s="22">
        <f t="shared" si="13"/>
        <v>14</v>
      </c>
    </row>
    <row r="20" spans="2:59" ht="23.5">
      <c r="B20" s="27">
        <v>2024161</v>
      </c>
      <c r="C20" s="28" t="s">
        <v>24</v>
      </c>
      <c r="D20" s="5">
        <v>1</v>
      </c>
      <c r="E20" s="25">
        <v>95</v>
      </c>
      <c r="F20" s="11">
        <f>VLOOKUP(E20,المرجع!$B$2:$C$11,2)</f>
        <v>5</v>
      </c>
      <c r="G20" s="8" t="str">
        <f>VLOOKUP(F20,المرجع!$D$2:$E$11,2)</f>
        <v xml:space="preserve">أ+ </v>
      </c>
      <c r="H20" s="10">
        <f t="shared" si="0"/>
        <v>5</v>
      </c>
      <c r="I20" s="5">
        <v>2</v>
      </c>
      <c r="J20" s="25">
        <v>85</v>
      </c>
      <c r="K20" s="11">
        <f>VLOOKUP(J20,المرجع!$B$2:$C$11,2)</f>
        <v>4.5</v>
      </c>
      <c r="L20" s="8" t="str">
        <f>VLOOKUP(K20,[1]المرجع!$D$3:$E$12,2)</f>
        <v>ب+</v>
      </c>
      <c r="M20" s="10">
        <f t="shared" si="1"/>
        <v>9</v>
      </c>
      <c r="N20" s="15">
        <v>3</v>
      </c>
      <c r="O20" s="25">
        <v>73</v>
      </c>
      <c r="P20" s="11">
        <f>VLOOKUP(O20,المرجع!$B$2:$C$11,2)</f>
        <v>3</v>
      </c>
      <c r="Q20" s="8" t="str">
        <f>VLOOKUP(P20,[1]المرجع!$D$3:$E$12,2)</f>
        <v>ج</v>
      </c>
      <c r="R20" s="10">
        <f t="shared" si="2"/>
        <v>9</v>
      </c>
      <c r="S20" s="15">
        <v>3</v>
      </c>
      <c r="T20" s="25">
        <v>93</v>
      </c>
      <c r="U20" s="11">
        <f>VLOOKUP(T20,المرجع!$B$2:$C$11,2)</f>
        <v>4.75</v>
      </c>
      <c r="V20" s="8" t="str">
        <f>VLOOKUP(U20,[1]المرجع!$D$3:$E$12,2)</f>
        <v>أ</v>
      </c>
      <c r="W20" s="10">
        <f t="shared" si="3"/>
        <v>14.25</v>
      </c>
      <c r="X20" s="15">
        <v>3</v>
      </c>
      <c r="Y20" s="25">
        <v>95</v>
      </c>
      <c r="Z20" s="11">
        <f>VLOOKUP(Y20,المرجع!$B$2:$C$11,2)</f>
        <v>5</v>
      </c>
      <c r="AA20" s="8" t="str">
        <f>VLOOKUP(Z20,[1]المرجع!$D$3:$E$12,2)</f>
        <v xml:space="preserve">أ+ </v>
      </c>
      <c r="AB20" s="10">
        <f t="shared" si="4"/>
        <v>15</v>
      </c>
      <c r="AC20" s="15">
        <v>2</v>
      </c>
      <c r="AD20" s="25">
        <v>79</v>
      </c>
      <c r="AE20" s="11">
        <f>VLOOKUP(AD20,المرجع!$B$2:$C$11,2)</f>
        <v>3.5</v>
      </c>
      <c r="AF20" s="8" t="str">
        <f>VLOOKUP(AE20,[1]المرجع!$D$3:$E$12,2)</f>
        <v>ج+</v>
      </c>
      <c r="AG20" s="10">
        <f t="shared" si="5"/>
        <v>7</v>
      </c>
      <c r="AH20" s="15">
        <v>2</v>
      </c>
      <c r="AI20" s="25">
        <v>70</v>
      </c>
      <c r="AJ20" s="11">
        <f>VLOOKUP(AI20,المرجع!$B$2:$C$11,2)</f>
        <v>3</v>
      </c>
      <c r="AK20" s="8" t="str">
        <f>VLOOKUP(AJ20,[1]المرجع!$D$3:$E$12,2)</f>
        <v>ج</v>
      </c>
      <c r="AL20" s="10">
        <f t="shared" si="6"/>
        <v>6</v>
      </c>
      <c r="AM20" s="15">
        <v>2</v>
      </c>
      <c r="AN20" s="25">
        <v>85</v>
      </c>
      <c r="AO20" s="11">
        <f>VLOOKUP(AN20,المرجع!$B$2:$C$11,2)</f>
        <v>4.5</v>
      </c>
      <c r="AP20" s="8" t="str">
        <f>VLOOKUP(AO20,[1]المرجع!$D$3:$E$12,2)</f>
        <v>ب+</v>
      </c>
      <c r="AQ20" s="10">
        <f t="shared" si="7"/>
        <v>9</v>
      </c>
      <c r="AR20" s="15">
        <v>2</v>
      </c>
      <c r="AS20" s="25">
        <v>51</v>
      </c>
      <c r="AT20" s="11">
        <f>VLOOKUP(AS20,المرجع!$B$2:$C$11,2)</f>
        <v>2</v>
      </c>
      <c r="AU20" s="8" t="str">
        <f>VLOOKUP(AT20,[1]المرجع!$D$3:$E$12,2)</f>
        <v>د</v>
      </c>
      <c r="AV20" s="10">
        <f t="shared" si="8"/>
        <v>4</v>
      </c>
      <c r="AW20" s="15">
        <v>2</v>
      </c>
      <c r="AX20" s="25">
        <v>88</v>
      </c>
      <c r="AY20" s="11">
        <f>VLOOKUP(AX20,المرجع!$B$2:$C$11,2)</f>
        <v>4.5</v>
      </c>
      <c r="AZ20" s="8" t="str">
        <f>VLOOKUP(AY20,[1]المرجع!$D$3:$E$12,2)</f>
        <v>ب+</v>
      </c>
      <c r="BA20" s="30">
        <f t="shared" si="9"/>
        <v>9</v>
      </c>
      <c r="BB20" s="31">
        <f t="shared" si="10"/>
        <v>87.25</v>
      </c>
      <c r="BC20" s="20">
        <f t="shared" si="11"/>
        <v>22</v>
      </c>
      <c r="BD20" s="21">
        <f t="shared" si="12"/>
        <v>3.9659090909090908</v>
      </c>
      <c r="BE20" s="49">
        <f>(BB20+'المستوى الأول '!BL21)/('المستوى الأول '!BM21+'المستوى الثاني '!BC20)</f>
        <v>3.8833333333333333</v>
      </c>
      <c r="BF20" s="23" t="str">
        <f>VLOOKUP(BE20,المرجع!$D$3:$F$11,3,TRUE)</f>
        <v xml:space="preserve">جيد جدا </v>
      </c>
      <c r="BG20" s="22">
        <f t="shared" si="13"/>
        <v>19</v>
      </c>
    </row>
    <row r="21" spans="2:59" ht="23.5">
      <c r="B21" s="27">
        <v>2024212</v>
      </c>
      <c r="C21" s="28" t="s">
        <v>34</v>
      </c>
      <c r="D21" s="5">
        <v>1</v>
      </c>
      <c r="E21" s="25">
        <v>86</v>
      </c>
      <c r="F21" s="11">
        <f>VLOOKUP(E21,المرجع!$B$2:$C$11,2)</f>
        <v>4.5</v>
      </c>
      <c r="G21" s="8" t="str">
        <f>VLOOKUP(F21,المرجع!$D$2:$E$11,2)</f>
        <v>ب+</v>
      </c>
      <c r="H21" s="10">
        <f t="shared" si="0"/>
        <v>4.5</v>
      </c>
      <c r="I21" s="5">
        <v>2</v>
      </c>
      <c r="J21" s="25">
        <v>57</v>
      </c>
      <c r="K21" s="11">
        <f>VLOOKUP(J21,المرجع!$B$2:$C$11,2)</f>
        <v>2</v>
      </c>
      <c r="L21" s="8" t="str">
        <f>VLOOKUP(K21,[1]المرجع!$D$3:$E$12,2)</f>
        <v>د</v>
      </c>
      <c r="M21" s="10">
        <f t="shared" si="1"/>
        <v>4</v>
      </c>
      <c r="N21" s="15">
        <v>3</v>
      </c>
      <c r="O21" s="25">
        <v>85</v>
      </c>
      <c r="P21" s="11">
        <f>VLOOKUP(O21,المرجع!$B$2:$C$11,2)</f>
        <v>4.5</v>
      </c>
      <c r="Q21" s="8" t="str">
        <f>VLOOKUP(P21,[1]المرجع!$D$3:$E$12,2)</f>
        <v>ب+</v>
      </c>
      <c r="R21" s="10">
        <f t="shared" si="2"/>
        <v>13.5</v>
      </c>
      <c r="S21" s="15">
        <v>3</v>
      </c>
      <c r="T21" s="25">
        <v>96</v>
      </c>
      <c r="U21" s="11">
        <f>VLOOKUP(T21,المرجع!$B$2:$C$11,2)</f>
        <v>5</v>
      </c>
      <c r="V21" s="8" t="str">
        <f>VLOOKUP(U21,[1]المرجع!$D$3:$E$12,2)</f>
        <v xml:space="preserve">أ+ </v>
      </c>
      <c r="W21" s="10">
        <f t="shared" si="3"/>
        <v>15</v>
      </c>
      <c r="X21" s="15">
        <v>3</v>
      </c>
      <c r="Y21" s="25">
        <v>75</v>
      </c>
      <c r="Z21" s="11">
        <f>VLOOKUP(Y21,المرجع!$B$2:$C$11,2)</f>
        <v>3.5</v>
      </c>
      <c r="AA21" s="8" t="str">
        <f>VLOOKUP(Z21,[1]المرجع!$D$3:$E$12,2)</f>
        <v>ج+</v>
      </c>
      <c r="AB21" s="10">
        <f t="shared" si="4"/>
        <v>10.5</v>
      </c>
      <c r="AC21" s="15">
        <v>2</v>
      </c>
      <c r="AD21" s="25">
        <v>80</v>
      </c>
      <c r="AE21" s="11">
        <f>VLOOKUP(AD21,المرجع!$B$2:$C$11,2)</f>
        <v>4</v>
      </c>
      <c r="AF21" s="8" t="str">
        <f>VLOOKUP(AE21,[1]المرجع!$D$3:$E$12,2)</f>
        <v>ب</v>
      </c>
      <c r="AG21" s="10">
        <f t="shared" si="5"/>
        <v>8</v>
      </c>
      <c r="AH21" s="15">
        <v>2</v>
      </c>
      <c r="AI21" s="25">
        <v>80</v>
      </c>
      <c r="AJ21" s="11">
        <f>VLOOKUP(AI21,المرجع!$B$2:$C$11,2)</f>
        <v>4</v>
      </c>
      <c r="AK21" s="8" t="str">
        <f>VLOOKUP(AJ21,[1]المرجع!$D$3:$E$12,2)</f>
        <v>ب</v>
      </c>
      <c r="AL21" s="10">
        <f t="shared" si="6"/>
        <v>8</v>
      </c>
      <c r="AM21" s="15">
        <v>2</v>
      </c>
      <c r="AN21" s="25">
        <v>97</v>
      </c>
      <c r="AO21" s="11">
        <f>VLOOKUP(AN21,المرجع!$B$2:$C$11,2)</f>
        <v>5</v>
      </c>
      <c r="AP21" s="8" t="str">
        <f>VLOOKUP(AO21,[1]المرجع!$D$3:$E$12,2)</f>
        <v xml:space="preserve">أ+ </v>
      </c>
      <c r="AQ21" s="10">
        <f t="shared" si="7"/>
        <v>10</v>
      </c>
      <c r="AR21" s="15">
        <v>2</v>
      </c>
      <c r="AS21" s="25">
        <v>89</v>
      </c>
      <c r="AT21" s="11">
        <f>VLOOKUP(AS21,المرجع!$B$2:$C$11,2)</f>
        <v>4.5</v>
      </c>
      <c r="AU21" s="8" t="str">
        <f>VLOOKUP(AT21,[1]المرجع!$D$3:$E$12,2)</f>
        <v>ب+</v>
      </c>
      <c r="AV21" s="10">
        <f t="shared" si="8"/>
        <v>9</v>
      </c>
      <c r="AW21" s="15">
        <v>2</v>
      </c>
      <c r="AX21" s="25">
        <v>64</v>
      </c>
      <c r="AY21" s="11">
        <f>VLOOKUP(AX21,المرجع!$B$2:$C$11,2)</f>
        <v>2</v>
      </c>
      <c r="AZ21" s="8" t="str">
        <f>VLOOKUP(AY21,[1]المرجع!$D$3:$E$12,2)</f>
        <v>د</v>
      </c>
      <c r="BA21" s="30">
        <f t="shared" si="9"/>
        <v>4</v>
      </c>
      <c r="BB21" s="31">
        <f t="shared" si="10"/>
        <v>86.5</v>
      </c>
      <c r="BC21" s="20">
        <f t="shared" si="11"/>
        <v>22</v>
      </c>
      <c r="BD21" s="21">
        <f t="shared" si="12"/>
        <v>3.9318181818181817</v>
      </c>
      <c r="BE21" s="49">
        <f>(BB21+'المستوى الأول '!BL22)/('المستوى الأول '!BM22+'المستوى الثاني '!BC21)</f>
        <v>3.7722222222222221</v>
      </c>
      <c r="BF21" s="23" t="str">
        <f>VLOOKUP(BE21,المرجع!$D$3:$F$11,3,TRUE)</f>
        <v xml:space="preserve">جيد جدا </v>
      </c>
      <c r="BG21" s="22">
        <f t="shared" si="13"/>
        <v>20</v>
      </c>
    </row>
    <row r="22" spans="2:59" ht="23.5">
      <c r="B22" s="27">
        <v>2024188</v>
      </c>
      <c r="C22" s="28" t="s">
        <v>43</v>
      </c>
      <c r="D22" s="5">
        <v>1</v>
      </c>
      <c r="E22" s="25">
        <v>90</v>
      </c>
      <c r="F22" s="11">
        <f>VLOOKUP(E22,المرجع!$B$2:$C$11,2)</f>
        <v>4.75</v>
      </c>
      <c r="G22" s="8" t="str">
        <f>VLOOKUP(F22,المرجع!$D$2:$E$11,2)</f>
        <v>أ</v>
      </c>
      <c r="H22" s="10">
        <f t="shared" si="0"/>
        <v>4.75</v>
      </c>
      <c r="I22" s="5">
        <v>2</v>
      </c>
      <c r="J22" s="25">
        <v>65</v>
      </c>
      <c r="K22" s="11">
        <f>VLOOKUP(J22,المرجع!$B$2:$C$11,2)</f>
        <v>2.5</v>
      </c>
      <c r="L22" s="8" t="str">
        <f>VLOOKUP(K22,[1]المرجع!$D$3:$E$12,2)</f>
        <v>د+</v>
      </c>
      <c r="M22" s="10">
        <f t="shared" si="1"/>
        <v>5</v>
      </c>
      <c r="N22" s="15">
        <v>3</v>
      </c>
      <c r="O22" s="25">
        <v>59</v>
      </c>
      <c r="P22" s="11">
        <f>VLOOKUP(O22,المرجع!$B$2:$C$11,2)</f>
        <v>2</v>
      </c>
      <c r="Q22" s="8" t="str">
        <f>VLOOKUP(P22,[1]المرجع!$D$3:$E$12,2)</f>
        <v>د</v>
      </c>
      <c r="R22" s="10">
        <f t="shared" si="2"/>
        <v>6</v>
      </c>
      <c r="S22" s="15">
        <v>3</v>
      </c>
      <c r="T22" s="25">
        <v>80</v>
      </c>
      <c r="U22" s="11">
        <f>VLOOKUP(T22,المرجع!$B$2:$C$11,2)</f>
        <v>4</v>
      </c>
      <c r="V22" s="8" t="str">
        <f>VLOOKUP(U22,[1]المرجع!$D$3:$E$12,2)</f>
        <v>ب</v>
      </c>
      <c r="W22" s="10">
        <f t="shared" si="3"/>
        <v>12</v>
      </c>
      <c r="X22" s="15">
        <v>3</v>
      </c>
      <c r="Y22" s="25">
        <v>85</v>
      </c>
      <c r="Z22" s="11">
        <f>VLOOKUP(Y22,المرجع!$B$2:$C$11,2)</f>
        <v>4.5</v>
      </c>
      <c r="AA22" s="8" t="str">
        <f>VLOOKUP(Z22,[1]المرجع!$D$3:$E$12,2)</f>
        <v>ب+</v>
      </c>
      <c r="AB22" s="10">
        <f t="shared" si="4"/>
        <v>13.5</v>
      </c>
      <c r="AC22" s="15">
        <v>2</v>
      </c>
      <c r="AD22" s="25">
        <v>79</v>
      </c>
      <c r="AE22" s="11">
        <f>VLOOKUP(AD22,المرجع!$B$2:$C$11,2)</f>
        <v>3.5</v>
      </c>
      <c r="AF22" s="8" t="str">
        <f>VLOOKUP(AE22,[1]المرجع!$D$3:$E$12,2)</f>
        <v>ج+</v>
      </c>
      <c r="AG22" s="10">
        <f t="shared" si="5"/>
        <v>7</v>
      </c>
      <c r="AH22" s="15">
        <v>2</v>
      </c>
      <c r="AI22" s="25">
        <v>92</v>
      </c>
      <c r="AJ22" s="11">
        <f>VLOOKUP(AI22,المرجع!$B$2:$C$11,2)</f>
        <v>4.75</v>
      </c>
      <c r="AK22" s="8" t="str">
        <f>VLOOKUP(AJ22,[1]المرجع!$D$3:$E$12,2)</f>
        <v>أ</v>
      </c>
      <c r="AL22" s="10">
        <f t="shared" si="6"/>
        <v>9.5</v>
      </c>
      <c r="AM22" s="15">
        <v>2</v>
      </c>
      <c r="AN22" s="25">
        <v>68</v>
      </c>
      <c r="AO22" s="11">
        <f>VLOOKUP(AN22,المرجع!$B$2:$C$11,2)</f>
        <v>2.5</v>
      </c>
      <c r="AP22" s="8" t="str">
        <f>VLOOKUP(AO22,[1]المرجع!$D$3:$E$12,2)</f>
        <v>د+</v>
      </c>
      <c r="AQ22" s="10">
        <f t="shared" si="7"/>
        <v>5</v>
      </c>
      <c r="AR22" s="15">
        <v>2</v>
      </c>
      <c r="AS22" s="25">
        <v>95</v>
      </c>
      <c r="AT22" s="11">
        <f>VLOOKUP(AS22,المرجع!$B$2:$C$11,2)</f>
        <v>5</v>
      </c>
      <c r="AU22" s="8" t="str">
        <f>VLOOKUP(AT22,[1]المرجع!$D$3:$E$12,2)</f>
        <v xml:space="preserve">أ+ </v>
      </c>
      <c r="AV22" s="10">
        <f t="shared" si="8"/>
        <v>10</v>
      </c>
      <c r="AW22" s="15">
        <v>2</v>
      </c>
      <c r="AX22" s="25">
        <v>70</v>
      </c>
      <c r="AY22" s="11">
        <f>VLOOKUP(AX22,المرجع!$B$2:$C$11,2)</f>
        <v>3</v>
      </c>
      <c r="AZ22" s="8" t="str">
        <f>VLOOKUP(AY22,[1]المرجع!$D$3:$E$12,2)</f>
        <v>ج</v>
      </c>
      <c r="BA22" s="30">
        <f t="shared" si="9"/>
        <v>6</v>
      </c>
      <c r="BB22" s="31">
        <f t="shared" si="10"/>
        <v>78.75</v>
      </c>
      <c r="BC22" s="20">
        <f t="shared" si="11"/>
        <v>22</v>
      </c>
      <c r="BD22" s="21">
        <f t="shared" si="12"/>
        <v>3.5795454545454546</v>
      </c>
      <c r="BE22" s="49">
        <f>(BB22+'المستوى الأول '!BL23)/('المستوى الأول '!BM23+'المستوى الثاني '!BC22)</f>
        <v>3.6666666666666665</v>
      </c>
      <c r="BF22" s="23" t="str">
        <f>VLOOKUP(BE22,المرجع!$D$3:$F$11,3,TRUE)</f>
        <v xml:space="preserve">جيد جدا </v>
      </c>
      <c r="BG22" s="22">
        <f t="shared" si="13"/>
        <v>21</v>
      </c>
    </row>
    <row r="23" spans="2:59" ht="23.5">
      <c r="B23" s="27">
        <v>2024193</v>
      </c>
      <c r="C23" s="28" t="s">
        <v>39</v>
      </c>
      <c r="D23" s="5">
        <v>1</v>
      </c>
      <c r="E23" s="25">
        <v>94</v>
      </c>
      <c r="F23" s="11">
        <f>VLOOKUP(E23,المرجع!$B$2:$C$11,2)</f>
        <v>4.75</v>
      </c>
      <c r="G23" s="8" t="str">
        <f>VLOOKUP(F23,المرجع!$D$2:$E$11,2)</f>
        <v>أ</v>
      </c>
      <c r="H23" s="10">
        <f t="shared" si="0"/>
        <v>4.75</v>
      </c>
      <c r="I23" s="5">
        <v>2</v>
      </c>
      <c r="J23" s="25">
        <v>83</v>
      </c>
      <c r="K23" s="11">
        <f>VLOOKUP(J23,المرجع!$B$2:$C$11,2)</f>
        <v>4</v>
      </c>
      <c r="L23" s="8" t="str">
        <f>VLOOKUP(K23,[1]المرجع!$D$3:$E$12,2)</f>
        <v>ب</v>
      </c>
      <c r="M23" s="10">
        <f t="shared" si="1"/>
        <v>8</v>
      </c>
      <c r="N23" s="15">
        <v>3</v>
      </c>
      <c r="O23" s="25">
        <v>69</v>
      </c>
      <c r="P23" s="11">
        <f>VLOOKUP(O23,المرجع!$B$2:$C$11,2)</f>
        <v>2.5</v>
      </c>
      <c r="Q23" s="8" t="str">
        <f>VLOOKUP(P23,[1]المرجع!$D$3:$E$12,2)</f>
        <v>د+</v>
      </c>
      <c r="R23" s="10">
        <f t="shared" si="2"/>
        <v>7.5</v>
      </c>
      <c r="S23" s="15">
        <v>3</v>
      </c>
      <c r="T23" s="25">
        <v>89</v>
      </c>
      <c r="U23" s="11">
        <f>VLOOKUP(T23,المرجع!$B$2:$C$11,2)</f>
        <v>4.5</v>
      </c>
      <c r="V23" s="8" t="str">
        <f>VLOOKUP(U23,[1]المرجع!$D$3:$E$12,2)</f>
        <v>ب+</v>
      </c>
      <c r="W23" s="10">
        <f t="shared" si="3"/>
        <v>13.5</v>
      </c>
      <c r="X23" s="15">
        <v>3</v>
      </c>
      <c r="Y23" s="25">
        <v>96</v>
      </c>
      <c r="Z23" s="11">
        <f>VLOOKUP(Y23,المرجع!$B$2:$C$11,2)</f>
        <v>5</v>
      </c>
      <c r="AA23" s="8" t="str">
        <f>VLOOKUP(Z23,[1]المرجع!$D$3:$E$12,2)</f>
        <v xml:space="preserve">أ+ </v>
      </c>
      <c r="AB23" s="10">
        <f t="shared" si="4"/>
        <v>15</v>
      </c>
      <c r="AC23" s="15">
        <v>2</v>
      </c>
      <c r="AD23" s="25">
        <v>72</v>
      </c>
      <c r="AE23" s="11">
        <f>VLOOKUP(AD23,المرجع!$B$2:$C$11,2)</f>
        <v>3</v>
      </c>
      <c r="AF23" s="8" t="str">
        <f>VLOOKUP(AE23,[1]المرجع!$D$3:$E$12,2)</f>
        <v>ج</v>
      </c>
      <c r="AG23" s="10">
        <f t="shared" si="5"/>
        <v>6</v>
      </c>
      <c r="AH23" s="15">
        <v>2</v>
      </c>
      <c r="AI23" s="25">
        <v>80</v>
      </c>
      <c r="AJ23" s="11">
        <f>VLOOKUP(AI23,المرجع!$B$2:$C$11,2)</f>
        <v>4</v>
      </c>
      <c r="AK23" s="8" t="str">
        <f>VLOOKUP(AJ23,[1]المرجع!$D$3:$E$12,2)</f>
        <v>ب</v>
      </c>
      <c r="AL23" s="10">
        <f t="shared" si="6"/>
        <v>8</v>
      </c>
      <c r="AM23" s="15">
        <v>2</v>
      </c>
      <c r="AN23" s="25">
        <v>70</v>
      </c>
      <c r="AO23" s="11">
        <f>VLOOKUP(AN23,المرجع!$B$2:$C$11,2)</f>
        <v>3</v>
      </c>
      <c r="AP23" s="8" t="str">
        <f>VLOOKUP(AO23,[1]المرجع!$D$3:$E$12,2)</f>
        <v>ج</v>
      </c>
      <c r="AQ23" s="10">
        <f t="shared" si="7"/>
        <v>6</v>
      </c>
      <c r="AR23" s="15">
        <v>2</v>
      </c>
      <c r="AS23" s="25">
        <v>72</v>
      </c>
      <c r="AT23" s="11">
        <f>VLOOKUP(AS23,المرجع!$B$2:$C$11,2)</f>
        <v>3</v>
      </c>
      <c r="AU23" s="8" t="str">
        <f>VLOOKUP(AT23,[1]المرجع!$D$3:$E$12,2)</f>
        <v>ج</v>
      </c>
      <c r="AV23" s="10">
        <f t="shared" si="8"/>
        <v>6</v>
      </c>
      <c r="AW23" s="15">
        <v>2</v>
      </c>
      <c r="AX23" s="25">
        <v>50</v>
      </c>
      <c r="AY23" s="11">
        <f>VLOOKUP(AX23,المرجع!$B$2:$C$11,2)</f>
        <v>2</v>
      </c>
      <c r="AZ23" s="8" t="str">
        <f>VLOOKUP(AY23,[1]المرجع!$D$3:$E$12,2)</f>
        <v>د</v>
      </c>
      <c r="BA23" s="30">
        <f t="shared" si="9"/>
        <v>4</v>
      </c>
      <c r="BB23" s="31">
        <f t="shared" si="10"/>
        <v>78.75</v>
      </c>
      <c r="BC23" s="20">
        <f t="shared" si="11"/>
        <v>22</v>
      </c>
      <c r="BD23" s="21">
        <f t="shared" si="12"/>
        <v>3.5795454545454546</v>
      </c>
      <c r="BE23" s="49">
        <f>(BB23+'المستوى الأول '!BL24)/('المستوى الأول '!BM24+'المستوى الثاني '!BC23)</f>
        <v>3.7</v>
      </c>
      <c r="BF23" s="23" t="str">
        <f>VLOOKUP(BE23,المرجع!$D$3:$F$11,3,TRUE)</f>
        <v xml:space="preserve">جيد جدا </v>
      </c>
      <c r="BG23" s="22">
        <f t="shared" si="13"/>
        <v>21</v>
      </c>
    </row>
    <row r="24" spans="2:59" ht="23.5">
      <c r="B24" s="27">
        <v>2024187</v>
      </c>
      <c r="C24" s="28" t="s">
        <v>35</v>
      </c>
      <c r="D24" s="5">
        <v>1</v>
      </c>
      <c r="E24" s="25">
        <v>90</v>
      </c>
      <c r="F24" s="11">
        <f>VLOOKUP(E24,المرجع!$B$2:$C$11,2)</f>
        <v>4.75</v>
      </c>
      <c r="G24" s="8" t="str">
        <f>VLOOKUP(F24,المرجع!$D$2:$E$11,2)</f>
        <v>أ</v>
      </c>
      <c r="H24" s="10">
        <f t="shared" si="0"/>
        <v>4.75</v>
      </c>
      <c r="I24" s="5">
        <v>2</v>
      </c>
      <c r="J24" s="25">
        <v>51</v>
      </c>
      <c r="K24" s="11">
        <f>VLOOKUP(J24,المرجع!$B$2:$C$11,2)</f>
        <v>2</v>
      </c>
      <c r="L24" s="8" t="str">
        <f>VLOOKUP(K24,[1]المرجع!$D$3:$E$12,2)</f>
        <v>د</v>
      </c>
      <c r="M24" s="10">
        <f t="shared" si="1"/>
        <v>4</v>
      </c>
      <c r="N24" s="15">
        <v>3</v>
      </c>
      <c r="O24" s="25">
        <v>50</v>
      </c>
      <c r="P24" s="11">
        <f>VLOOKUP(O24,المرجع!$B$2:$C$11,2)</f>
        <v>2</v>
      </c>
      <c r="Q24" s="8" t="str">
        <f>VLOOKUP(P24,[1]المرجع!$D$3:$E$12,2)</f>
        <v>د</v>
      </c>
      <c r="R24" s="10">
        <f t="shared" si="2"/>
        <v>6</v>
      </c>
      <c r="S24" s="15">
        <v>3</v>
      </c>
      <c r="T24" s="25">
        <v>82</v>
      </c>
      <c r="U24" s="11">
        <f>VLOOKUP(T24,المرجع!$B$2:$C$11,2)</f>
        <v>4</v>
      </c>
      <c r="V24" s="8" t="str">
        <f>VLOOKUP(U24,[1]المرجع!$D$3:$E$12,2)</f>
        <v>ب</v>
      </c>
      <c r="W24" s="10">
        <f t="shared" si="3"/>
        <v>12</v>
      </c>
      <c r="X24" s="15">
        <v>3</v>
      </c>
      <c r="Y24" s="25">
        <v>97</v>
      </c>
      <c r="Z24" s="11">
        <f>VLOOKUP(Y24,المرجع!$B$2:$C$11,2)</f>
        <v>5</v>
      </c>
      <c r="AA24" s="8" t="str">
        <f>VLOOKUP(Z24,[1]المرجع!$D$3:$E$12,2)</f>
        <v xml:space="preserve">أ+ </v>
      </c>
      <c r="AB24" s="10">
        <f t="shared" si="4"/>
        <v>15</v>
      </c>
      <c r="AC24" s="15">
        <v>2</v>
      </c>
      <c r="AD24" s="25">
        <v>79</v>
      </c>
      <c r="AE24" s="11">
        <f>VLOOKUP(AD24,المرجع!$B$2:$C$11,2)</f>
        <v>3.5</v>
      </c>
      <c r="AF24" s="8" t="str">
        <f>VLOOKUP(AE24,[1]المرجع!$D$3:$E$12,2)</f>
        <v>ج+</v>
      </c>
      <c r="AG24" s="10">
        <f t="shared" si="5"/>
        <v>7</v>
      </c>
      <c r="AH24" s="15">
        <v>2</v>
      </c>
      <c r="AI24" s="25">
        <v>80</v>
      </c>
      <c r="AJ24" s="11">
        <f>VLOOKUP(AI24,المرجع!$B$2:$C$11,2)</f>
        <v>4</v>
      </c>
      <c r="AK24" s="8" t="str">
        <f>VLOOKUP(AJ24,[1]المرجع!$D$3:$E$12,2)</f>
        <v>ب</v>
      </c>
      <c r="AL24" s="10">
        <f t="shared" si="6"/>
        <v>8</v>
      </c>
      <c r="AM24" s="15">
        <v>2</v>
      </c>
      <c r="AN24" s="25">
        <v>70</v>
      </c>
      <c r="AO24" s="11">
        <f>VLOOKUP(AN24,المرجع!$B$2:$C$11,2)</f>
        <v>3</v>
      </c>
      <c r="AP24" s="8" t="str">
        <f>VLOOKUP(AO24,[1]المرجع!$D$3:$E$12,2)</f>
        <v>ج</v>
      </c>
      <c r="AQ24" s="10">
        <f t="shared" si="7"/>
        <v>6</v>
      </c>
      <c r="AR24" s="15">
        <v>2</v>
      </c>
      <c r="AS24" s="25">
        <v>69</v>
      </c>
      <c r="AT24" s="11">
        <f>VLOOKUP(AS24,المرجع!$B$2:$C$11,2)</f>
        <v>2.5</v>
      </c>
      <c r="AU24" s="8" t="str">
        <f>VLOOKUP(AT24,[1]المرجع!$D$3:$E$12,2)</f>
        <v>د+</v>
      </c>
      <c r="AV24" s="10">
        <f t="shared" si="8"/>
        <v>5</v>
      </c>
      <c r="AW24" s="15">
        <v>2</v>
      </c>
      <c r="AX24" s="25">
        <v>88</v>
      </c>
      <c r="AY24" s="11">
        <f>VLOOKUP(AX24,المرجع!$B$2:$C$11,2)</f>
        <v>4.5</v>
      </c>
      <c r="AZ24" s="8" t="str">
        <f>VLOOKUP(AY24,[1]المرجع!$D$3:$E$12,2)</f>
        <v>ب+</v>
      </c>
      <c r="BA24" s="30">
        <f t="shared" si="9"/>
        <v>9</v>
      </c>
      <c r="BB24" s="31">
        <f t="shared" si="10"/>
        <v>76.75</v>
      </c>
      <c r="BC24" s="20">
        <f t="shared" si="11"/>
        <v>22</v>
      </c>
      <c r="BD24" s="21">
        <f t="shared" si="12"/>
        <v>3.4886363636363638</v>
      </c>
      <c r="BE24" s="49">
        <f>(BB24+'المستوى الأول '!BL25)/('المستوى الأول '!BM25+'المستوى الثاني '!BC24)</f>
        <v>3.5722222222222224</v>
      </c>
      <c r="BF24" s="23" t="str">
        <f>VLOOKUP(BE24,المرجع!$D$3:$F$11,3,TRUE)</f>
        <v xml:space="preserve">جيد مرتفع </v>
      </c>
      <c r="BG24" s="22">
        <f t="shared" si="13"/>
        <v>24</v>
      </c>
    </row>
    <row r="25" spans="2:59" ht="23.5">
      <c r="B25" s="27">
        <v>2024191</v>
      </c>
      <c r="C25" s="28" t="s">
        <v>45</v>
      </c>
      <c r="D25" s="5">
        <v>1</v>
      </c>
      <c r="E25" s="25">
        <v>68</v>
      </c>
      <c r="F25" s="11">
        <f>VLOOKUP(E25,المرجع!$B$2:$C$11,2)</f>
        <v>2.5</v>
      </c>
      <c r="G25" s="8" t="str">
        <f>VLOOKUP(F25,المرجع!$D$2:$E$11,2)</f>
        <v>د+</v>
      </c>
      <c r="H25" s="10">
        <f t="shared" si="0"/>
        <v>2.5</v>
      </c>
      <c r="I25" s="5">
        <v>2</v>
      </c>
      <c r="J25" s="25">
        <v>62</v>
      </c>
      <c r="K25" s="11">
        <f>VLOOKUP(J25,المرجع!$B$2:$C$11,2)</f>
        <v>2</v>
      </c>
      <c r="L25" s="8" t="str">
        <f>VLOOKUP(K25,[1]المرجع!$D$3:$E$12,2)</f>
        <v>د</v>
      </c>
      <c r="M25" s="10">
        <f t="shared" si="1"/>
        <v>4</v>
      </c>
      <c r="N25" s="15">
        <v>3</v>
      </c>
      <c r="O25" s="25">
        <v>82</v>
      </c>
      <c r="P25" s="11">
        <f>VLOOKUP(O25,المرجع!$B$2:$C$11,2)</f>
        <v>4</v>
      </c>
      <c r="Q25" s="8" t="str">
        <f>VLOOKUP(P25,[1]المرجع!$D$3:$E$12,2)</f>
        <v>ب</v>
      </c>
      <c r="R25" s="10">
        <f t="shared" si="2"/>
        <v>12</v>
      </c>
      <c r="S25" s="15">
        <v>3</v>
      </c>
      <c r="T25" s="25">
        <v>98</v>
      </c>
      <c r="U25" s="11">
        <f>VLOOKUP(T25,المرجع!$B$2:$C$11,2)</f>
        <v>5</v>
      </c>
      <c r="V25" s="8" t="str">
        <f>VLOOKUP(U25,[1]المرجع!$D$3:$E$12,2)</f>
        <v xml:space="preserve">أ+ </v>
      </c>
      <c r="W25" s="10">
        <f t="shared" si="3"/>
        <v>15</v>
      </c>
      <c r="X25" s="15">
        <v>3</v>
      </c>
      <c r="Y25" s="25">
        <v>70</v>
      </c>
      <c r="Z25" s="11">
        <f>VLOOKUP(Y25,المرجع!$B$2:$C$11,2)</f>
        <v>3</v>
      </c>
      <c r="AA25" s="8" t="str">
        <f>VLOOKUP(Z25,[1]المرجع!$D$3:$E$12,2)</f>
        <v>ج</v>
      </c>
      <c r="AB25" s="10">
        <f t="shared" si="4"/>
        <v>9</v>
      </c>
      <c r="AC25" s="15">
        <v>2</v>
      </c>
      <c r="AD25" s="25">
        <v>78</v>
      </c>
      <c r="AE25" s="11">
        <f>VLOOKUP(AD25,المرجع!$B$2:$C$11,2)</f>
        <v>3.5</v>
      </c>
      <c r="AF25" s="8" t="str">
        <f>VLOOKUP(AE25,[1]المرجع!$D$3:$E$12,2)</f>
        <v>ج+</v>
      </c>
      <c r="AG25" s="10">
        <f t="shared" si="5"/>
        <v>7</v>
      </c>
      <c r="AH25" s="15">
        <v>2</v>
      </c>
      <c r="AI25" s="25">
        <v>100</v>
      </c>
      <c r="AJ25" s="11">
        <f>VLOOKUP(AI25,المرجع!$B$2:$C$11,2)</f>
        <v>5</v>
      </c>
      <c r="AK25" s="8" t="str">
        <f>VLOOKUP(AJ25,[1]المرجع!$D$3:$E$12,2)</f>
        <v xml:space="preserve">أ+ </v>
      </c>
      <c r="AL25" s="10">
        <f t="shared" si="6"/>
        <v>10</v>
      </c>
      <c r="AM25" s="15">
        <v>2</v>
      </c>
      <c r="AN25" s="25">
        <v>70</v>
      </c>
      <c r="AO25" s="11">
        <f>VLOOKUP(AN25,المرجع!$B$2:$C$11,2)</f>
        <v>3</v>
      </c>
      <c r="AP25" s="8" t="str">
        <f>VLOOKUP(AO25,[1]المرجع!$D$3:$E$12,2)</f>
        <v>ج</v>
      </c>
      <c r="AQ25" s="10">
        <f t="shared" si="7"/>
        <v>6</v>
      </c>
      <c r="AR25" s="15">
        <v>2</v>
      </c>
      <c r="AS25" s="25">
        <v>66</v>
      </c>
      <c r="AT25" s="11">
        <f>VLOOKUP(AS25,المرجع!$B$2:$C$11,2)</f>
        <v>2.5</v>
      </c>
      <c r="AU25" s="8" t="str">
        <f>VLOOKUP(AT25,[1]المرجع!$D$3:$E$12,2)</f>
        <v>د+</v>
      </c>
      <c r="AV25" s="10">
        <f t="shared" si="8"/>
        <v>5</v>
      </c>
      <c r="AW25" s="15">
        <v>2</v>
      </c>
      <c r="AX25" s="25">
        <v>55</v>
      </c>
      <c r="AY25" s="11">
        <f>VLOOKUP(AX25,المرجع!$B$2:$C$11,2)</f>
        <v>2</v>
      </c>
      <c r="AZ25" s="8" t="str">
        <f>VLOOKUP(AY25,[1]المرجع!$D$3:$E$12,2)</f>
        <v>د</v>
      </c>
      <c r="BA25" s="30">
        <f t="shared" si="9"/>
        <v>4</v>
      </c>
      <c r="BB25" s="31">
        <f t="shared" si="10"/>
        <v>74.5</v>
      </c>
      <c r="BC25" s="20">
        <f t="shared" si="11"/>
        <v>22</v>
      </c>
      <c r="BD25" s="21">
        <f t="shared" si="12"/>
        <v>3.3863636363636362</v>
      </c>
      <c r="BE25" s="49">
        <f>(BB25+'المستوى الأول '!BL26)/('المستوى الأول '!BM26+'المستوى الثاني '!BC25)</f>
        <v>3.55</v>
      </c>
      <c r="BF25" s="23" t="str">
        <f>VLOOKUP(BE25,المرجع!$D$3:$F$11,3,TRUE)</f>
        <v xml:space="preserve">جيد مرتفع </v>
      </c>
      <c r="BG25" s="22">
        <f t="shared" si="13"/>
        <v>26</v>
      </c>
    </row>
    <row r="26" spans="2:59" ht="23.5">
      <c r="B26" s="27">
        <v>2024199</v>
      </c>
      <c r="C26" s="28" t="s">
        <v>48</v>
      </c>
      <c r="D26" s="5">
        <v>1</v>
      </c>
      <c r="E26" s="25">
        <v>88</v>
      </c>
      <c r="F26" s="11">
        <f>VLOOKUP(E26,المرجع!$B$2:$C$11,2)</f>
        <v>4.5</v>
      </c>
      <c r="G26" s="8" t="str">
        <f>VLOOKUP(F26,المرجع!$D$2:$E$11,2)</f>
        <v>ب+</v>
      </c>
      <c r="H26" s="10">
        <f t="shared" si="0"/>
        <v>4.5</v>
      </c>
      <c r="I26" s="5">
        <v>2</v>
      </c>
      <c r="J26" s="25">
        <v>57</v>
      </c>
      <c r="K26" s="11">
        <f>VLOOKUP(J26,المرجع!$B$2:$C$11,2)</f>
        <v>2</v>
      </c>
      <c r="L26" s="8" t="str">
        <f>VLOOKUP(K26,[1]المرجع!$D$3:$E$12,2)</f>
        <v>د</v>
      </c>
      <c r="M26" s="10">
        <f t="shared" si="1"/>
        <v>4</v>
      </c>
      <c r="N26" s="15">
        <v>3</v>
      </c>
      <c r="O26" s="25">
        <v>50</v>
      </c>
      <c r="P26" s="11">
        <f>VLOOKUP(O26,المرجع!$B$2:$C$11,2)</f>
        <v>2</v>
      </c>
      <c r="Q26" s="8" t="str">
        <f>VLOOKUP(P26,[1]المرجع!$D$3:$E$12,2)</f>
        <v>د</v>
      </c>
      <c r="R26" s="10">
        <f t="shared" si="2"/>
        <v>6</v>
      </c>
      <c r="S26" s="15">
        <v>3</v>
      </c>
      <c r="T26" s="25">
        <v>92</v>
      </c>
      <c r="U26" s="11">
        <f>VLOOKUP(T26,المرجع!$B$2:$C$11,2)</f>
        <v>4.75</v>
      </c>
      <c r="V26" s="8" t="str">
        <f>VLOOKUP(U26,[1]المرجع!$D$3:$E$12,2)</f>
        <v>أ</v>
      </c>
      <c r="W26" s="10">
        <f t="shared" si="3"/>
        <v>14.25</v>
      </c>
      <c r="X26" s="15">
        <v>3</v>
      </c>
      <c r="Y26" s="25">
        <v>76</v>
      </c>
      <c r="Z26" s="11">
        <f>VLOOKUP(Y26,المرجع!$B$2:$C$11,2)</f>
        <v>3.5</v>
      </c>
      <c r="AA26" s="8" t="str">
        <f>VLOOKUP(Z26,[1]المرجع!$D$3:$E$12,2)</f>
        <v>ج+</v>
      </c>
      <c r="AB26" s="10">
        <f t="shared" si="4"/>
        <v>10.5</v>
      </c>
      <c r="AC26" s="15">
        <v>2</v>
      </c>
      <c r="AD26" s="25">
        <v>72</v>
      </c>
      <c r="AE26" s="11">
        <f>VLOOKUP(AD26,المرجع!$B$2:$C$11,2)</f>
        <v>3</v>
      </c>
      <c r="AF26" s="8" t="str">
        <f>VLOOKUP(AE26,[1]المرجع!$D$3:$E$12,2)</f>
        <v>ج</v>
      </c>
      <c r="AG26" s="10">
        <f t="shared" si="5"/>
        <v>6</v>
      </c>
      <c r="AH26" s="15">
        <v>2</v>
      </c>
      <c r="AI26" s="25">
        <v>90</v>
      </c>
      <c r="AJ26" s="11">
        <f>VLOOKUP(AI26,المرجع!$B$2:$C$11,2)</f>
        <v>4.75</v>
      </c>
      <c r="AK26" s="8" t="str">
        <f>VLOOKUP(AJ26,[1]المرجع!$D$3:$E$12,2)</f>
        <v>أ</v>
      </c>
      <c r="AL26" s="10">
        <f t="shared" si="6"/>
        <v>9.5</v>
      </c>
      <c r="AM26" s="15">
        <v>2</v>
      </c>
      <c r="AN26" s="25">
        <v>50</v>
      </c>
      <c r="AO26" s="11">
        <f>VLOOKUP(AN26,المرجع!$B$2:$C$11,2)</f>
        <v>2</v>
      </c>
      <c r="AP26" s="8" t="str">
        <f>VLOOKUP(AO26,[1]المرجع!$D$3:$E$12,2)</f>
        <v>د</v>
      </c>
      <c r="AQ26" s="10">
        <f t="shared" si="7"/>
        <v>4</v>
      </c>
      <c r="AR26" s="15">
        <v>2</v>
      </c>
      <c r="AS26" s="25">
        <v>87</v>
      </c>
      <c r="AT26" s="11">
        <f>VLOOKUP(AS26,المرجع!$B$2:$C$11,2)</f>
        <v>4.5</v>
      </c>
      <c r="AU26" s="8" t="str">
        <f>VLOOKUP(AT26,[1]المرجع!$D$3:$E$12,2)</f>
        <v>ب+</v>
      </c>
      <c r="AV26" s="10">
        <f t="shared" si="8"/>
        <v>9</v>
      </c>
      <c r="AW26" s="15">
        <v>2</v>
      </c>
      <c r="AX26" s="25">
        <v>80</v>
      </c>
      <c r="AY26" s="11">
        <f>VLOOKUP(AX26,المرجع!$B$2:$C$11,2)</f>
        <v>4</v>
      </c>
      <c r="AZ26" s="8" t="str">
        <f>VLOOKUP(AY26,[1]المرجع!$D$3:$E$12,2)</f>
        <v>ب</v>
      </c>
      <c r="BA26" s="30">
        <f t="shared" si="9"/>
        <v>8</v>
      </c>
      <c r="BB26" s="31">
        <f t="shared" si="10"/>
        <v>75.75</v>
      </c>
      <c r="BC26" s="20">
        <f t="shared" si="11"/>
        <v>22</v>
      </c>
      <c r="BD26" s="21">
        <f t="shared" si="12"/>
        <v>3.4431818181818183</v>
      </c>
      <c r="BE26" s="49">
        <f>(BB26+'المستوى الأول '!BL27)/('المستوى الأول '!BM27+'المستوى الثاني '!BC26)</f>
        <v>3.5111111111111111</v>
      </c>
      <c r="BF26" s="23" t="str">
        <f>VLOOKUP(BE26,المرجع!$D$3:$F$11,3,TRUE)</f>
        <v xml:space="preserve">جيد مرتفع </v>
      </c>
      <c r="BG26" s="22">
        <f t="shared" si="13"/>
        <v>25</v>
      </c>
    </row>
    <row r="27" spans="2:59" ht="23.5">
      <c r="B27" s="27">
        <v>2024196</v>
      </c>
      <c r="C27" s="28" t="s">
        <v>36</v>
      </c>
      <c r="D27" s="5">
        <v>1</v>
      </c>
      <c r="E27" s="25">
        <v>54</v>
      </c>
      <c r="F27" s="11">
        <f>VLOOKUP(E27,المرجع!$B$2:$C$11,2)</f>
        <v>2</v>
      </c>
      <c r="G27" s="8" t="str">
        <f>VLOOKUP(F27,المرجع!$D$2:$E$11,2)</f>
        <v>د</v>
      </c>
      <c r="H27" s="10">
        <f t="shared" si="0"/>
        <v>2</v>
      </c>
      <c r="I27" s="5">
        <v>2</v>
      </c>
      <c r="J27" s="25">
        <v>50</v>
      </c>
      <c r="K27" s="11">
        <f>VLOOKUP(J27,المرجع!$B$2:$C$11,2)</f>
        <v>2</v>
      </c>
      <c r="L27" s="8" t="str">
        <f>VLOOKUP(K27,[1]المرجع!$D$3:$E$12,2)</f>
        <v>د</v>
      </c>
      <c r="M27" s="10">
        <f t="shared" si="1"/>
        <v>4</v>
      </c>
      <c r="N27" s="15">
        <v>3</v>
      </c>
      <c r="O27" s="25">
        <v>60</v>
      </c>
      <c r="P27" s="11">
        <f>VLOOKUP(O27,المرجع!$B$2:$C$11,2)</f>
        <v>2</v>
      </c>
      <c r="Q27" s="8" t="str">
        <f>VLOOKUP(P27,[1]المرجع!$D$3:$E$12,2)</f>
        <v>د</v>
      </c>
      <c r="R27" s="10">
        <f t="shared" si="2"/>
        <v>6</v>
      </c>
      <c r="S27" s="15">
        <v>3</v>
      </c>
      <c r="T27" s="25">
        <v>91</v>
      </c>
      <c r="U27" s="11">
        <f>VLOOKUP(T27,المرجع!$B$2:$C$11,2)</f>
        <v>4.75</v>
      </c>
      <c r="V27" s="8" t="str">
        <f>VLOOKUP(U27,[1]المرجع!$D$3:$E$12,2)</f>
        <v>أ</v>
      </c>
      <c r="W27" s="10">
        <f t="shared" si="3"/>
        <v>14.25</v>
      </c>
      <c r="X27" s="15">
        <v>3</v>
      </c>
      <c r="Y27" s="25">
        <v>90</v>
      </c>
      <c r="Z27" s="11">
        <f>VLOOKUP(Y27,المرجع!$B$2:$C$11,2)</f>
        <v>4.75</v>
      </c>
      <c r="AA27" s="8" t="str">
        <f>VLOOKUP(Z27,[1]المرجع!$D$3:$E$12,2)</f>
        <v>أ</v>
      </c>
      <c r="AB27" s="10">
        <f t="shared" si="4"/>
        <v>14.25</v>
      </c>
      <c r="AC27" s="15">
        <v>2</v>
      </c>
      <c r="AD27" s="25">
        <v>71</v>
      </c>
      <c r="AE27" s="11">
        <f>VLOOKUP(AD27,المرجع!$B$2:$C$11,2)</f>
        <v>3</v>
      </c>
      <c r="AF27" s="8" t="str">
        <f>VLOOKUP(AE27,[1]المرجع!$D$3:$E$12,2)</f>
        <v>ج</v>
      </c>
      <c r="AG27" s="10">
        <f t="shared" si="5"/>
        <v>6</v>
      </c>
      <c r="AH27" s="15">
        <v>2</v>
      </c>
      <c r="AI27" s="25">
        <v>80</v>
      </c>
      <c r="AJ27" s="11">
        <f>VLOOKUP(AI27,المرجع!$B$2:$C$11,2)</f>
        <v>4</v>
      </c>
      <c r="AK27" s="8" t="str">
        <f>VLOOKUP(AJ27,[1]المرجع!$D$3:$E$12,2)</f>
        <v>ب</v>
      </c>
      <c r="AL27" s="10">
        <f t="shared" si="6"/>
        <v>8</v>
      </c>
      <c r="AM27" s="15">
        <v>2</v>
      </c>
      <c r="AN27" s="25">
        <v>99</v>
      </c>
      <c r="AO27" s="11">
        <f>VLOOKUP(AN27,المرجع!$B$2:$C$11,2)</f>
        <v>5</v>
      </c>
      <c r="AP27" s="8" t="str">
        <f>VLOOKUP(AO27,[1]المرجع!$D$3:$E$12,2)</f>
        <v xml:space="preserve">أ+ </v>
      </c>
      <c r="AQ27" s="10">
        <f t="shared" si="7"/>
        <v>10</v>
      </c>
      <c r="AR27" s="15">
        <v>2</v>
      </c>
      <c r="AS27" s="25">
        <v>90</v>
      </c>
      <c r="AT27" s="11">
        <f>VLOOKUP(AS27,المرجع!$B$2:$C$11,2)</f>
        <v>4.75</v>
      </c>
      <c r="AU27" s="8" t="str">
        <f>VLOOKUP(AT27,[1]المرجع!$D$3:$E$12,2)</f>
        <v>أ</v>
      </c>
      <c r="AV27" s="10">
        <f t="shared" si="8"/>
        <v>9.5</v>
      </c>
      <c r="AW27" s="15">
        <v>2</v>
      </c>
      <c r="AX27" s="25">
        <v>50</v>
      </c>
      <c r="AY27" s="11">
        <f>VLOOKUP(AX27,المرجع!$B$2:$C$11,2)</f>
        <v>2</v>
      </c>
      <c r="AZ27" s="8" t="str">
        <f>VLOOKUP(AY27,[1]المرجع!$D$3:$E$12,2)</f>
        <v>د</v>
      </c>
      <c r="BA27" s="30">
        <f t="shared" si="9"/>
        <v>4</v>
      </c>
      <c r="BB27" s="31">
        <f t="shared" si="10"/>
        <v>78</v>
      </c>
      <c r="BC27" s="20">
        <f t="shared" si="11"/>
        <v>22</v>
      </c>
      <c r="BD27" s="21">
        <f t="shared" si="12"/>
        <v>3.5454545454545454</v>
      </c>
      <c r="BE27" s="49">
        <f>(BB27+'المستوى الأول '!BL28)/('المستوى الأول '!BM28+'المستوى الثاني '!BC27)</f>
        <v>3.6333333333333333</v>
      </c>
      <c r="BF27" s="23" t="str">
        <f>VLOOKUP(BE27,المرجع!$D$3:$F$11,3,TRUE)</f>
        <v xml:space="preserve">جيد جدا </v>
      </c>
      <c r="BG27" s="22">
        <f t="shared" si="13"/>
        <v>23</v>
      </c>
    </row>
    <row r="28" spans="2:59" ht="23.5">
      <c r="B28" s="27">
        <v>2024194</v>
      </c>
      <c r="C28" s="28" t="s">
        <v>38</v>
      </c>
      <c r="D28" s="5">
        <v>1</v>
      </c>
      <c r="E28" s="25">
        <v>75</v>
      </c>
      <c r="F28" s="11">
        <f>VLOOKUP(E28,المرجع!$B$2:$C$11,2)</f>
        <v>3.5</v>
      </c>
      <c r="G28" s="8" t="str">
        <f>VLOOKUP(F28,المرجع!$D$2:$E$11,2)</f>
        <v>ج+</v>
      </c>
      <c r="H28" s="10">
        <f t="shared" si="0"/>
        <v>3.5</v>
      </c>
      <c r="I28" s="5">
        <v>2</v>
      </c>
      <c r="J28" s="25">
        <v>63</v>
      </c>
      <c r="K28" s="11">
        <f>VLOOKUP(J28,المرجع!$B$2:$C$11,2)</f>
        <v>2</v>
      </c>
      <c r="L28" s="8" t="str">
        <f>VLOOKUP(K28,[1]المرجع!$D$3:$E$12,2)</f>
        <v>د</v>
      </c>
      <c r="M28" s="10">
        <f t="shared" si="1"/>
        <v>4</v>
      </c>
      <c r="N28" s="15">
        <v>3</v>
      </c>
      <c r="O28" s="25">
        <v>50</v>
      </c>
      <c r="P28" s="11">
        <f>VLOOKUP(O28,المرجع!$B$2:$C$11,2)</f>
        <v>2</v>
      </c>
      <c r="Q28" s="8" t="str">
        <f>VLOOKUP(P28,[1]المرجع!$D$3:$E$12,2)</f>
        <v>د</v>
      </c>
      <c r="R28" s="10">
        <f t="shared" si="2"/>
        <v>6</v>
      </c>
      <c r="S28" s="15">
        <v>3</v>
      </c>
      <c r="T28" s="25">
        <v>62</v>
      </c>
      <c r="U28" s="11">
        <f>VLOOKUP(T28,المرجع!$B$2:$C$11,2)</f>
        <v>2</v>
      </c>
      <c r="V28" s="8" t="str">
        <f>VLOOKUP(U28,[1]المرجع!$D$3:$E$12,2)</f>
        <v>د</v>
      </c>
      <c r="W28" s="10">
        <f t="shared" si="3"/>
        <v>6</v>
      </c>
      <c r="X28" s="15">
        <v>3</v>
      </c>
      <c r="Y28" s="25">
        <v>90</v>
      </c>
      <c r="Z28" s="11">
        <f>VLOOKUP(Y28,المرجع!$B$2:$C$11,2)</f>
        <v>4.75</v>
      </c>
      <c r="AA28" s="8" t="str">
        <f>VLOOKUP(Z28,[1]المرجع!$D$3:$E$12,2)</f>
        <v>أ</v>
      </c>
      <c r="AB28" s="10">
        <f t="shared" si="4"/>
        <v>14.25</v>
      </c>
      <c r="AC28" s="15">
        <v>2</v>
      </c>
      <c r="AD28" s="25">
        <v>65</v>
      </c>
      <c r="AE28" s="11">
        <f>VLOOKUP(AD28,المرجع!$B$2:$C$11,2)</f>
        <v>2.5</v>
      </c>
      <c r="AF28" s="8" t="str">
        <f>VLOOKUP(AE28,[1]المرجع!$D$3:$E$12,2)</f>
        <v>د+</v>
      </c>
      <c r="AG28" s="10">
        <f t="shared" si="5"/>
        <v>5</v>
      </c>
      <c r="AH28" s="15">
        <v>2</v>
      </c>
      <c r="AI28" s="25">
        <v>84</v>
      </c>
      <c r="AJ28" s="11">
        <f>VLOOKUP(AI28,المرجع!$B$2:$C$11,2)</f>
        <v>4</v>
      </c>
      <c r="AK28" s="8" t="str">
        <f>VLOOKUP(AJ28,[1]المرجع!$D$3:$E$12,2)</f>
        <v>ب</v>
      </c>
      <c r="AL28" s="10">
        <f t="shared" si="6"/>
        <v>8</v>
      </c>
      <c r="AM28" s="15">
        <v>2</v>
      </c>
      <c r="AN28" s="25">
        <v>80</v>
      </c>
      <c r="AO28" s="11">
        <f>VLOOKUP(AN28,المرجع!$B$2:$C$11,2)</f>
        <v>4</v>
      </c>
      <c r="AP28" s="8" t="str">
        <f>VLOOKUP(AO28,[1]المرجع!$D$3:$E$12,2)</f>
        <v>ب</v>
      </c>
      <c r="AQ28" s="10">
        <f t="shared" si="7"/>
        <v>8</v>
      </c>
      <c r="AR28" s="15">
        <v>2</v>
      </c>
      <c r="AS28" s="25">
        <v>90</v>
      </c>
      <c r="AT28" s="11">
        <f>VLOOKUP(AS28,المرجع!$B$2:$C$11,2)</f>
        <v>4.75</v>
      </c>
      <c r="AU28" s="8" t="str">
        <f>VLOOKUP(AT28,[1]المرجع!$D$3:$E$12,2)</f>
        <v>أ</v>
      </c>
      <c r="AV28" s="10">
        <f t="shared" si="8"/>
        <v>9.5</v>
      </c>
      <c r="AW28" s="15">
        <v>2</v>
      </c>
      <c r="AX28" s="25">
        <v>68</v>
      </c>
      <c r="AY28" s="11">
        <f>VLOOKUP(AX28,المرجع!$B$2:$C$11,2)</f>
        <v>2.5</v>
      </c>
      <c r="AZ28" s="8" t="str">
        <f>VLOOKUP(AY28,[1]المرجع!$D$3:$E$12,2)</f>
        <v>د+</v>
      </c>
      <c r="BA28" s="30">
        <f t="shared" si="9"/>
        <v>5</v>
      </c>
      <c r="BB28" s="31">
        <f t="shared" si="10"/>
        <v>69.25</v>
      </c>
      <c r="BC28" s="20">
        <f t="shared" si="11"/>
        <v>22</v>
      </c>
      <c r="BD28" s="21">
        <f t="shared" si="12"/>
        <v>3.1477272727272729</v>
      </c>
      <c r="BE28" s="49">
        <f>(BB28+'المستوى الأول '!BL29)/('المستوى الأول '!BM29+'المستوى الثاني '!BC28)</f>
        <v>3.3055555555555554</v>
      </c>
      <c r="BF28" s="23" t="str">
        <f>VLOOKUP(BE28,المرجع!$D$3:$F$11,3,TRUE)</f>
        <v xml:space="preserve">جيد مرتفع </v>
      </c>
      <c r="BG28" s="22">
        <f t="shared" si="13"/>
        <v>29</v>
      </c>
    </row>
    <row r="29" spans="2:59" ht="23.5">
      <c r="B29" s="27">
        <v>2024208</v>
      </c>
      <c r="C29" s="28" t="s">
        <v>29</v>
      </c>
      <c r="D29" s="5">
        <v>1</v>
      </c>
      <c r="E29" s="25">
        <v>88</v>
      </c>
      <c r="F29" s="11">
        <f>VLOOKUP(E29,المرجع!$B$2:$C$11,2)</f>
        <v>4.5</v>
      </c>
      <c r="G29" s="8" t="str">
        <f>VLOOKUP(F29,المرجع!$D$2:$E$11,2)</f>
        <v>ب+</v>
      </c>
      <c r="H29" s="10">
        <f t="shared" si="0"/>
        <v>4.5</v>
      </c>
      <c r="I29" s="5">
        <v>2</v>
      </c>
      <c r="J29" s="25">
        <v>52</v>
      </c>
      <c r="K29" s="11">
        <f>VLOOKUP(J29,المرجع!$B$2:$C$11,2)</f>
        <v>2</v>
      </c>
      <c r="L29" s="8" t="str">
        <f>VLOOKUP(K29,[1]المرجع!$D$3:$E$12,2)</f>
        <v>د</v>
      </c>
      <c r="M29" s="10">
        <f t="shared" si="1"/>
        <v>4</v>
      </c>
      <c r="N29" s="15">
        <v>3</v>
      </c>
      <c r="O29" s="25">
        <v>73</v>
      </c>
      <c r="P29" s="11">
        <f>VLOOKUP(O29,المرجع!$B$2:$C$11,2)</f>
        <v>3</v>
      </c>
      <c r="Q29" s="8" t="str">
        <f>VLOOKUP(P29,[1]المرجع!$D$3:$E$12,2)</f>
        <v>ج</v>
      </c>
      <c r="R29" s="10">
        <f t="shared" si="2"/>
        <v>9</v>
      </c>
      <c r="S29" s="15">
        <v>3</v>
      </c>
      <c r="T29" s="25">
        <v>94</v>
      </c>
      <c r="U29" s="11">
        <f>VLOOKUP(T29,المرجع!$B$2:$C$11,2)</f>
        <v>4.75</v>
      </c>
      <c r="V29" s="8" t="str">
        <f>VLOOKUP(U29,[1]المرجع!$D$3:$E$12,2)</f>
        <v>أ</v>
      </c>
      <c r="W29" s="10">
        <f t="shared" si="3"/>
        <v>14.25</v>
      </c>
      <c r="X29" s="15">
        <v>3</v>
      </c>
      <c r="Y29" s="25">
        <v>100</v>
      </c>
      <c r="Z29" s="11">
        <f>VLOOKUP(Y29,المرجع!$B$2:$C$11,2)</f>
        <v>5</v>
      </c>
      <c r="AA29" s="8" t="str">
        <f>VLOOKUP(Z29,[1]المرجع!$D$3:$E$12,2)</f>
        <v xml:space="preserve">أ+ </v>
      </c>
      <c r="AB29" s="10">
        <f t="shared" si="4"/>
        <v>15</v>
      </c>
      <c r="AC29" s="15">
        <v>2</v>
      </c>
      <c r="AD29" s="25">
        <v>84</v>
      </c>
      <c r="AE29" s="11">
        <f>VLOOKUP(AD29,المرجع!$B$2:$C$11,2)</f>
        <v>4</v>
      </c>
      <c r="AF29" s="8" t="str">
        <f>VLOOKUP(AE29,[1]المرجع!$D$3:$E$12,2)</f>
        <v>ب</v>
      </c>
      <c r="AG29" s="10">
        <f t="shared" si="5"/>
        <v>8</v>
      </c>
      <c r="AH29" s="15">
        <v>2</v>
      </c>
      <c r="AI29" s="25">
        <v>70</v>
      </c>
      <c r="AJ29" s="11">
        <f>VLOOKUP(AI29,المرجع!$B$2:$C$11,2)</f>
        <v>3</v>
      </c>
      <c r="AK29" s="8" t="str">
        <f>VLOOKUP(AJ29,[1]المرجع!$D$3:$E$12,2)</f>
        <v>ج</v>
      </c>
      <c r="AL29" s="10">
        <f t="shared" si="6"/>
        <v>6</v>
      </c>
      <c r="AM29" s="15">
        <v>2</v>
      </c>
      <c r="AN29" s="25">
        <v>55</v>
      </c>
      <c r="AO29" s="11">
        <f>VLOOKUP(AN29,المرجع!$B$2:$C$11,2)</f>
        <v>2</v>
      </c>
      <c r="AP29" s="8" t="str">
        <f>VLOOKUP(AO29,[1]المرجع!$D$3:$E$12,2)</f>
        <v>د</v>
      </c>
      <c r="AQ29" s="10">
        <f t="shared" si="7"/>
        <v>4</v>
      </c>
      <c r="AR29" s="15">
        <v>2</v>
      </c>
      <c r="AS29" s="25">
        <v>71</v>
      </c>
      <c r="AT29" s="11">
        <f>VLOOKUP(AS29,المرجع!$B$2:$C$11,2)</f>
        <v>3</v>
      </c>
      <c r="AU29" s="8" t="str">
        <f>VLOOKUP(AT29,[1]المرجع!$D$3:$E$12,2)</f>
        <v>ج</v>
      </c>
      <c r="AV29" s="10">
        <f t="shared" si="8"/>
        <v>6</v>
      </c>
      <c r="AW29" s="15">
        <v>2</v>
      </c>
      <c r="AX29" s="25">
        <v>10</v>
      </c>
      <c r="AY29" s="11">
        <f>VLOOKUP(AX29,المرجع!$B$2:$C$11,2)</f>
        <v>0</v>
      </c>
      <c r="AZ29" s="8" t="str">
        <f>VLOOKUP(AY29,[1]المرجع!$D$3:$E$12,2)</f>
        <v>ه</v>
      </c>
      <c r="BA29" s="30">
        <f t="shared" si="9"/>
        <v>0</v>
      </c>
      <c r="BB29" s="31">
        <f t="shared" si="10"/>
        <v>70.75</v>
      </c>
      <c r="BC29" s="20">
        <f t="shared" si="11"/>
        <v>22</v>
      </c>
      <c r="BD29" s="21">
        <f t="shared" si="12"/>
        <v>3.2159090909090908</v>
      </c>
      <c r="BE29" s="49">
        <f>(BB29+'المستوى الأول '!BL30)/('المستوى الأول '!BM30+'المستوى الثاني '!BC29)</f>
        <v>3.3611111111111112</v>
      </c>
      <c r="BF29" s="23" t="str">
        <f>VLOOKUP(BE29,المرجع!$D$3:$F$11,3,TRUE)</f>
        <v xml:space="preserve">جيد مرتفع </v>
      </c>
      <c r="BG29" s="22">
        <f t="shared" si="13"/>
        <v>27</v>
      </c>
    </row>
    <row r="30" spans="2:59" ht="23.5">
      <c r="B30" s="27">
        <v>2024211</v>
      </c>
      <c r="C30" s="28" t="s">
        <v>44</v>
      </c>
      <c r="D30" s="5">
        <v>1</v>
      </c>
      <c r="E30" s="25">
        <v>84</v>
      </c>
      <c r="F30" s="11">
        <f>VLOOKUP(E30,المرجع!$B$2:$C$11,2)</f>
        <v>4</v>
      </c>
      <c r="G30" s="8" t="str">
        <f>VLOOKUP(F30,المرجع!$D$2:$E$11,2)</f>
        <v>ب</v>
      </c>
      <c r="H30" s="10">
        <f t="shared" si="0"/>
        <v>4</v>
      </c>
      <c r="I30" s="5">
        <v>2</v>
      </c>
      <c r="J30" s="25">
        <v>55</v>
      </c>
      <c r="K30" s="11">
        <f>VLOOKUP(J30,المرجع!$B$2:$C$11,2)</f>
        <v>2</v>
      </c>
      <c r="L30" s="8" t="str">
        <f>VLOOKUP(K30,[1]المرجع!$D$3:$E$12,2)</f>
        <v>د</v>
      </c>
      <c r="M30" s="10">
        <f t="shared" si="1"/>
        <v>4</v>
      </c>
      <c r="N30" s="15">
        <v>3</v>
      </c>
      <c r="O30" s="25">
        <v>65</v>
      </c>
      <c r="P30" s="11">
        <f>VLOOKUP(O30,المرجع!$B$2:$C$11,2)</f>
        <v>2.5</v>
      </c>
      <c r="Q30" s="8" t="str">
        <f>VLOOKUP(P30,[1]المرجع!$D$3:$E$12,2)</f>
        <v>د+</v>
      </c>
      <c r="R30" s="10">
        <f t="shared" si="2"/>
        <v>7.5</v>
      </c>
      <c r="S30" s="15">
        <v>3</v>
      </c>
      <c r="T30" s="25">
        <v>90</v>
      </c>
      <c r="U30" s="11">
        <f>VLOOKUP(T30,المرجع!$B$2:$C$11,2)</f>
        <v>4.75</v>
      </c>
      <c r="V30" s="8" t="str">
        <f>VLOOKUP(U30,[1]المرجع!$D$3:$E$12,2)</f>
        <v>أ</v>
      </c>
      <c r="W30" s="10">
        <f t="shared" si="3"/>
        <v>14.25</v>
      </c>
      <c r="X30" s="15">
        <v>3</v>
      </c>
      <c r="Y30" s="25">
        <v>85</v>
      </c>
      <c r="Z30" s="11">
        <f>VLOOKUP(Y30,المرجع!$B$2:$C$11,2)</f>
        <v>4.5</v>
      </c>
      <c r="AA30" s="8" t="str">
        <f>VLOOKUP(Z30,[1]المرجع!$D$3:$E$12,2)</f>
        <v>ب+</v>
      </c>
      <c r="AB30" s="10">
        <f t="shared" si="4"/>
        <v>13.5</v>
      </c>
      <c r="AC30" s="15">
        <v>2</v>
      </c>
      <c r="AD30" s="25">
        <v>78</v>
      </c>
      <c r="AE30" s="11">
        <f>VLOOKUP(AD30,المرجع!$B$2:$C$11,2)</f>
        <v>3.5</v>
      </c>
      <c r="AF30" s="8" t="str">
        <f>VLOOKUP(AE30,[1]المرجع!$D$3:$E$12,2)</f>
        <v>ج+</v>
      </c>
      <c r="AG30" s="10">
        <f t="shared" si="5"/>
        <v>7</v>
      </c>
      <c r="AH30" s="15">
        <v>2</v>
      </c>
      <c r="AI30" s="25">
        <v>65</v>
      </c>
      <c r="AJ30" s="11">
        <f>VLOOKUP(AI30,المرجع!$B$2:$C$11,2)</f>
        <v>2.5</v>
      </c>
      <c r="AK30" s="8" t="str">
        <f>VLOOKUP(AJ30,[1]المرجع!$D$3:$E$12,2)</f>
        <v>د+</v>
      </c>
      <c r="AL30" s="10">
        <f t="shared" si="6"/>
        <v>5</v>
      </c>
      <c r="AM30" s="15">
        <v>2</v>
      </c>
      <c r="AN30" s="25">
        <v>70</v>
      </c>
      <c r="AO30" s="11">
        <f>VLOOKUP(AN30,المرجع!$B$2:$C$11,2)</f>
        <v>3</v>
      </c>
      <c r="AP30" s="8" t="str">
        <f>VLOOKUP(AO30,[1]المرجع!$D$3:$E$12,2)</f>
        <v>ج</v>
      </c>
      <c r="AQ30" s="10">
        <f t="shared" si="7"/>
        <v>6</v>
      </c>
      <c r="AR30" s="15">
        <v>2</v>
      </c>
      <c r="AS30" s="25">
        <v>50</v>
      </c>
      <c r="AT30" s="11">
        <f>VLOOKUP(AS30,المرجع!$B$2:$C$11,2)</f>
        <v>2</v>
      </c>
      <c r="AU30" s="8" t="str">
        <f>VLOOKUP(AT30,[1]المرجع!$D$3:$E$12,2)</f>
        <v>د</v>
      </c>
      <c r="AV30" s="10">
        <f t="shared" si="8"/>
        <v>4</v>
      </c>
      <c r="AW30" s="15">
        <v>2</v>
      </c>
      <c r="AX30" s="25">
        <v>50</v>
      </c>
      <c r="AY30" s="11">
        <f>VLOOKUP(AX30,المرجع!$B$2:$C$11,2)</f>
        <v>2</v>
      </c>
      <c r="AZ30" s="8" t="str">
        <f>VLOOKUP(AY30,[1]المرجع!$D$3:$E$12,2)</f>
        <v>د</v>
      </c>
      <c r="BA30" s="30">
        <f t="shared" si="9"/>
        <v>4</v>
      </c>
      <c r="BB30" s="31">
        <f t="shared" si="10"/>
        <v>69.25</v>
      </c>
      <c r="BC30" s="20">
        <f t="shared" si="11"/>
        <v>22</v>
      </c>
      <c r="BD30" s="21">
        <f t="shared" si="12"/>
        <v>3.1477272727272729</v>
      </c>
      <c r="BE30" s="49">
        <f>(BB30+'المستوى الأول '!BL31)/('المستوى الأول '!BM31+'المستوى الثاني '!BC30)</f>
        <v>3.3277777777777779</v>
      </c>
      <c r="BF30" s="23" t="str">
        <f>VLOOKUP(BE30,المرجع!$D$3:$F$11,3,TRUE)</f>
        <v xml:space="preserve">جيد مرتفع </v>
      </c>
      <c r="BG30" s="22">
        <f t="shared" si="13"/>
        <v>29</v>
      </c>
    </row>
    <row r="31" spans="2:59" ht="23.5">
      <c r="B31" s="27">
        <v>2024182</v>
      </c>
      <c r="C31" s="28" t="s">
        <v>53</v>
      </c>
      <c r="D31" s="5">
        <v>1</v>
      </c>
      <c r="E31" s="25">
        <v>78</v>
      </c>
      <c r="F31" s="11">
        <f>VLOOKUP(E31,المرجع!$B$2:$C$11,2)</f>
        <v>3.5</v>
      </c>
      <c r="G31" s="8" t="str">
        <f>VLOOKUP(F31,المرجع!$D$2:$E$11,2)</f>
        <v>ج+</v>
      </c>
      <c r="H31" s="10">
        <f t="shared" si="0"/>
        <v>3.5</v>
      </c>
      <c r="I31" s="5">
        <v>2</v>
      </c>
      <c r="J31" s="25">
        <v>50</v>
      </c>
      <c r="K31" s="11">
        <f>VLOOKUP(J31,المرجع!$B$2:$C$11,2)</f>
        <v>2</v>
      </c>
      <c r="L31" s="8" t="str">
        <f>VLOOKUP(K31,[1]المرجع!$D$3:$E$12,2)</f>
        <v>د</v>
      </c>
      <c r="M31" s="10">
        <f t="shared" si="1"/>
        <v>4</v>
      </c>
      <c r="N31" s="15">
        <v>3</v>
      </c>
      <c r="O31" s="25">
        <v>53</v>
      </c>
      <c r="P31" s="11">
        <f>VLOOKUP(O31,المرجع!$B$2:$C$11,2)</f>
        <v>2</v>
      </c>
      <c r="Q31" s="8" t="str">
        <f>VLOOKUP(P31,[1]المرجع!$D$3:$E$12,2)</f>
        <v>د</v>
      </c>
      <c r="R31" s="10">
        <f t="shared" si="2"/>
        <v>6</v>
      </c>
      <c r="S31" s="15">
        <v>3</v>
      </c>
      <c r="T31" s="25">
        <v>84</v>
      </c>
      <c r="U31" s="11">
        <f>VLOOKUP(T31,المرجع!$B$2:$C$11,2)</f>
        <v>4</v>
      </c>
      <c r="V31" s="8" t="str">
        <f>VLOOKUP(U31,[1]المرجع!$D$3:$E$12,2)</f>
        <v>ب</v>
      </c>
      <c r="W31" s="10">
        <f t="shared" si="3"/>
        <v>12</v>
      </c>
      <c r="X31" s="15">
        <v>3</v>
      </c>
      <c r="Y31" s="25">
        <v>92</v>
      </c>
      <c r="Z31" s="11">
        <f>VLOOKUP(Y31,المرجع!$B$2:$C$11,2)</f>
        <v>4.75</v>
      </c>
      <c r="AA31" s="8" t="str">
        <f>VLOOKUP(Z31,[1]المرجع!$D$3:$E$12,2)</f>
        <v>أ</v>
      </c>
      <c r="AB31" s="10">
        <f t="shared" si="4"/>
        <v>14.25</v>
      </c>
      <c r="AC31" s="15">
        <v>2</v>
      </c>
      <c r="AD31" s="25">
        <v>71</v>
      </c>
      <c r="AE31" s="11">
        <f>VLOOKUP(AD31,المرجع!$B$2:$C$11,2)</f>
        <v>3</v>
      </c>
      <c r="AF31" s="8" t="str">
        <f>VLOOKUP(AE31,[1]المرجع!$D$3:$E$12,2)</f>
        <v>ج</v>
      </c>
      <c r="AG31" s="10">
        <f t="shared" si="5"/>
        <v>6</v>
      </c>
      <c r="AH31" s="15">
        <v>2</v>
      </c>
      <c r="AI31" s="25">
        <v>90</v>
      </c>
      <c r="AJ31" s="11">
        <f>VLOOKUP(AI31,المرجع!$B$2:$C$11,2)</f>
        <v>4.75</v>
      </c>
      <c r="AK31" s="8" t="str">
        <f>VLOOKUP(AJ31,[1]المرجع!$D$3:$E$12,2)</f>
        <v>أ</v>
      </c>
      <c r="AL31" s="10">
        <f t="shared" si="6"/>
        <v>9.5</v>
      </c>
      <c r="AM31" s="15">
        <v>2</v>
      </c>
      <c r="AN31" s="25">
        <v>50</v>
      </c>
      <c r="AO31" s="11">
        <f>VLOOKUP(AN31,المرجع!$B$2:$C$11,2)</f>
        <v>2</v>
      </c>
      <c r="AP31" s="8" t="str">
        <f>VLOOKUP(AO31,[1]المرجع!$D$3:$E$12,2)</f>
        <v>د</v>
      </c>
      <c r="AQ31" s="10">
        <f t="shared" si="7"/>
        <v>4</v>
      </c>
      <c r="AR31" s="15">
        <v>2</v>
      </c>
      <c r="AS31" s="25">
        <v>68</v>
      </c>
      <c r="AT31" s="11">
        <f>VLOOKUP(AS31,المرجع!$B$2:$C$11,2)</f>
        <v>2.5</v>
      </c>
      <c r="AU31" s="8" t="str">
        <f>VLOOKUP(AT31,[1]المرجع!$D$3:$E$12,2)</f>
        <v>د+</v>
      </c>
      <c r="AV31" s="10">
        <f t="shared" si="8"/>
        <v>5</v>
      </c>
      <c r="AW31" s="15">
        <v>2</v>
      </c>
      <c r="AX31" s="25">
        <v>55</v>
      </c>
      <c r="AY31" s="11">
        <f>VLOOKUP(AX31,المرجع!$B$2:$C$11,2)</f>
        <v>2</v>
      </c>
      <c r="AZ31" s="8" t="str">
        <f>VLOOKUP(AY31,[1]المرجع!$D$3:$E$12,2)</f>
        <v>د</v>
      </c>
      <c r="BA31" s="30">
        <f t="shared" si="9"/>
        <v>4</v>
      </c>
      <c r="BB31" s="31">
        <f t="shared" si="10"/>
        <v>68.25</v>
      </c>
      <c r="BC31" s="20">
        <f t="shared" si="11"/>
        <v>22</v>
      </c>
      <c r="BD31" s="21">
        <f t="shared" si="12"/>
        <v>3.1022727272727271</v>
      </c>
      <c r="BE31" s="49">
        <f>(BB31+'المستوى الأول '!BL32)/('المستوى الأول '!BM32+'المستوى الثاني '!BC31)</f>
        <v>3.65</v>
      </c>
      <c r="BF31" s="23" t="str">
        <f>VLOOKUP(BE31,المرجع!$D$3:$F$11,3,TRUE)</f>
        <v xml:space="preserve">جيد جدا </v>
      </c>
      <c r="BG31" s="22">
        <f t="shared" si="13"/>
        <v>31</v>
      </c>
    </row>
    <row r="32" spans="2:59" ht="23.5">
      <c r="B32" s="27">
        <v>2024164</v>
      </c>
      <c r="C32" s="28" t="s">
        <v>41</v>
      </c>
      <c r="D32" s="5">
        <v>1</v>
      </c>
      <c r="E32" s="25">
        <v>71</v>
      </c>
      <c r="F32" s="11">
        <f>VLOOKUP(E32,المرجع!$B$2:$C$11,2)</f>
        <v>3</v>
      </c>
      <c r="G32" s="8" t="str">
        <f>VLOOKUP(F32,المرجع!$D$2:$E$11,2)</f>
        <v>ج</v>
      </c>
      <c r="H32" s="10">
        <f t="shared" si="0"/>
        <v>3</v>
      </c>
      <c r="I32" s="5">
        <v>2</v>
      </c>
      <c r="J32" s="25">
        <v>50</v>
      </c>
      <c r="K32" s="11">
        <f>VLOOKUP(J32,المرجع!$B$2:$C$11,2)</f>
        <v>2</v>
      </c>
      <c r="L32" s="8" t="str">
        <f>VLOOKUP(K32,[1]المرجع!$D$3:$E$12,2)</f>
        <v>د</v>
      </c>
      <c r="M32" s="10">
        <f t="shared" si="1"/>
        <v>4</v>
      </c>
      <c r="N32" s="15">
        <v>3</v>
      </c>
      <c r="O32" s="25">
        <v>61</v>
      </c>
      <c r="P32" s="11">
        <f>VLOOKUP(O32,المرجع!$B$2:$C$11,2)</f>
        <v>2</v>
      </c>
      <c r="Q32" s="8" t="str">
        <f>VLOOKUP(P32,[1]المرجع!$D$3:$E$12,2)</f>
        <v>د</v>
      </c>
      <c r="R32" s="10">
        <f t="shared" si="2"/>
        <v>6</v>
      </c>
      <c r="S32" s="15">
        <v>3</v>
      </c>
      <c r="T32" s="25">
        <v>90</v>
      </c>
      <c r="U32" s="11">
        <f>VLOOKUP(T32,المرجع!$B$2:$C$11,2)</f>
        <v>4.75</v>
      </c>
      <c r="V32" s="8" t="str">
        <f>VLOOKUP(U32,[1]المرجع!$D$3:$E$12,2)</f>
        <v>أ</v>
      </c>
      <c r="W32" s="10">
        <f t="shared" si="3"/>
        <v>14.25</v>
      </c>
      <c r="X32" s="15">
        <v>3</v>
      </c>
      <c r="Y32" s="25">
        <v>90</v>
      </c>
      <c r="Z32" s="11">
        <f>VLOOKUP(Y32,المرجع!$B$2:$C$11,2)</f>
        <v>4.75</v>
      </c>
      <c r="AA32" s="8" t="str">
        <f>VLOOKUP(Z32,[1]المرجع!$D$3:$E$12,2)</f>
        <v>أ</v>
      </c>
      <c r="AB32" s="10">
        <f t="shared" si="4"/>
        <v>14.25</v>
      </c>
      <c r="AC32" s="15">
        <v>2</v>
      </c>
      <c r="AD32" s="25">
        <v>73</v>
      </c>
      <c r="AE32" s="11">
        <f>VLOOKUP(AD32,المرجع!$B$2:$C$11,2)</f>
        <v>3</v>
      </c>
      <c r="AF32" s="8" t="str">
        <f>VLOOKUP(AE32,[1]المرجع!$D$3:$E$12,2)</f>
        <v>ج</v>
      </c>
      <c r="AG32" s="10">
        <f t="shared" si="5"/>
        <v>6</v>
      </c>
      <c r="AH32" s="15">
        <v>2</v>
      </c>
      <c r="AI32" s="25">
        <v>70</v>
      </c>
      <c r="AJ32" s="11">
        <f>VLOOKUP(AI32,المرجع!$B$2:$C$11,2)</f>
        <v>3</v>
      </c>
      <c r="AK32" s="8" t="str">
        <f>VLOOKUP(AJ32,[1]المرجع!$D$3:$E$12,2)</f>
        <v>ج</v>
      </c>
      <c r="AL32" s="10">
        <f t="shared" si="6"/>
        <v>6</v>
      </c>
      <c r="AM32" s="15">
        <v>2</v>
      </c>
      <c r="AN32" s="25">
        <v>80</v>
      </c>
      <c r="AO32" s="11">
        <f>VLOOKUP(AN32,المرجع!$B$2:$C$11,2)</f>
        <v>4</v>
      </c>
      <c r="AP32" s="8" t="str">
        <f>VLOOKUP(AO32,[1]المرجع!$D$3:$E$12,2)</f>
        <v>ب</v>
      </c>
      <c r="AQ32" s="10">
        <f t="shared" si="7"/>
        <v>8</v>
      </c>
      <c r="AR32" s="15">
        <v>2</v>
      </c>
      <c r="AS32" s="25">
        <v>50</v>
      </c>
      <c r="AT32" s="11">
        <f>VLOOKUP(AS32,المرجع!$B$2:$C$11,2)</f>
        <v>2</v>
      </c>
      <c r="AU32" s="8" t="str">
        <f>VLOOKUP(AT32,[1]المرجع!$D$3:$E$12,2)</f>
        <v>د</v>
      </c>
      <c r="AV32" s="10">
        <f t="shared" si="8"/>
        <v>4</v>
      </c>
      <c r="AW32" s="15">
        <v>2</v>
      </c>
      <c r="AX32" s="25">
        <v>50</v>
      </c>
      <c r="AY32" s="11">
        <f>VLOOKUP(AX32,المرجع!$B$2:$C$11,2)</f>
        <v>2</v>
      </c>
      <c r="AZ32" s="8" t="str">
        <f>VLOOKUP(AY32,[1]المرجع!$D$3:$E$12,2)</f>
        <v>د</v>
      </c>
      <c r="BA32" s="30">
        <f t="shared" si="9"/>
        <v>4</v>
      </c>
      <c r="BB32" s="31">
        <f t="shared" si="10"/>
        <v>69.5</v>
      </c>
      <c r="BC32" s="20">
        <f t="shared" si="11"/>
        <v>22</v>
      </c>
      <c r="BD32" s="21">
        <f t="shared" si="12"/>
        <v>3.1590909090909092</v>
      </c>
      <c r="BE32" s="49">
        <f>(BB32+'المستوى الأول '!BL33)/('المستوى الأول '!BM33+'المستوى الثاني '!BC32)</f>
        <v>3.2277777777777779</v>
      </c>
      <c r="BF32" s="23" t="str">
        <f>VLOOKUP(BE32,المرجع!$D$3:$F$11,3,TRUE)</f>
        <v xml:space="preserve">جيد مرتفع </v>
      </c>
      <c r="BG32" s="22">
        <f t="shared" si="13"/>
        <v>28</v>
      </c>
    </row>
    <row r="33" spans="2:59" ht="23.5">
      <c r="B33" s="27">
        <v>2024181</v>
      </c>
      <c r="C33" s="28" t="s">
        <v>60</v>
      </c>
      <c r="D33" s="5">
        <v>1</v>
      </c>
      <c r="E33" s="25">
        <v>76</v>
      </c>
      <c r="F33" s="11">
        <f>VLOOKUP(E33,المرجع!$B$2:$C$11,2)</f>
        <v>3.5</v>
      </c>
      <c r="G33" s="8" t="str">
        <f>VLOOKUP(F33,المرجع!$D$2:$E$11,2)</f>
        <v>ج+</v>
      </c>
      <c r="H33" s="10">
        <f t="shared" si="0"/>
        <v>3.5</v>
      </c>
      <c r="I33" s="5">
        <v>2</v>
      </c>
      <c r="J33" s="25">
        <v>50</v>
      </c>
      <c r="K33" s="11">
        <f>VLOOKUP(J33,المرجع!$B$2:$C$11,2)</f>
        <v>2</v>
      </c>
      <c r="L33" s="8" t="str">
        <f>VLOOKUP(K33,[1]المرجع!$D$3:$E$12,2)</f>
        <v>د</v>
      </c>
      <c r="M33" s="10">
        <f t="shared" si="1"/>
        <v>4</v>
      </c>
      <c r="N33" s="15">
        <v>3</v>
      </c>
      <c r="O33" s="25">
        <v>73</v>
      </c>
      <c r="P33" s="11">
        <f>VLOOKUP(O33,المرجع!$B$2:$C$11,2)</f>
        <v>3</v>
      </c>
      <c r="Q33" s="8" t="str">
        <f>VLOOKUP(P33,[1]المرجع!$D$3:$E$12,2)</f>
        <v>ج</v>
      </c>
      <c r="R33" s="10">
        <f t="shared" si="2"/>
        <v>9</v>
      </c>
      <c r="S33" s="15">
        <v>3</v>
      </c>
      <c r="T33" s="25">
        <v>84</v>
      </c>
      <c r="U33" s="11">
        <f>VLOOKUP(T33,المرجع!$B$2:$C$11,2)</f>
        <v>4</v>
      </c>
      <c r="V33" s="8" t="str">
        <f>VLOOKUP(U33,[1]المرجع!$D$3:$E$12,2)</f>
        <v>ب</v>
      </c>
      <c r="W33" s="10">
        <f t="shared" si="3"/>
        <v>12</v>
      </c>
      <c r="X33" s="15">
        <v>3</v>
      </c>
      <c r="Y33" s="25">
        <v>50</v>
      </c>
      <c r="Z33" s="11">
        <f>VLOOKUP(Y33,المرجع!$B$2:$C$11,2)</f>
        <v>2</v>
      </c>
      <c r="AA33" s="8" t="str">
        <f>VLOOKUP(Z33,[1]المرجع!$D$3:$E$12,2)</f>
        <v>د</v>
      </c>
      <c r="AB33" s="10">
        <f t="shared" si="4"/>
        <v>6</v>
      </c>
      <c r="AC33" s="15">
        <v>2</v>
      </c>
      <c r="AD33" s="25">
        <v>60</v>
      </c>
      <c r="AE33" s="11">
        <f>VLOOKUP(AD33,المرجع!$B$2:$C$11,2)</f>
        <v>2</v>
      </c>
      <c r="AF33" s="8" t="str">
        <f>VLOOKUP(AE33,[1]المرجع!$D$3:$E$12,2)</f>
        <v>د</v>
      </c>
      <c r="AG33" s="10">
        <f t="shared" si="5"/>
        <v>4</v>
      </c>
      <c r="AH33" s="15">
        <v>2</v>
      </c>
      <c r="AI33" s="25">
        <v>95</v>
      </c>
      <c r="AJ33" s="11">
        <f>VLOOKUP(AI33,المرجع!$B$2:$C$11,2)</f>
        <v>5</v>
      </c>
      <c r="AK33" s="8" t="str">
        <f>VLOOKUP(AJ33,[1]المرجع!$D$3:$E$12,2)</f>
        <v xml:space="preserve">أ+ </v>
      </c>
      <c r="AL33" s="10">
        <f t="shared" si="6"/>
        <v>10</v>
      </c>
      <c r="AM33" s="15">
        <v>2</v>
      </c>
      <c r="AN33" s="25">
        <v>60</v>
      </c>
      <c r="AO33" s="11">
        <f>VLOOKUP(AN33,المرجع!$B$2:$C$11,2)</f>
        <v>2</v>
      </c>
      <c r="AP33" s="8" t="str">
        <f>VLOOKUP(AO33,[1]المرجع!$D$3:$E$12,2)</f>
        <v>د</v>
      </c>
      <c r="AQ33" s="10">
        <f t="shared" si="7"/>
        <v>4</v>
      </c>
      <c r="AR33" s="15">
        <v>2</v>
      </c>
      <c r="AS33" s="25">
        <v>71</v>
      </c>
      <c r="AT33" s="11">
        <f>VLOOKUP(AS33,المرجع!$B$2:$C$11,2)</f>
        <v>3</v>
      </c>
      <c r="AU33" s="8" t="str">
        <f>VLOOKUP(AT33,[1]المرجع!$D$3:$E$12,2)</f>
        <v>ج</v>
      </c>
      <c r="AV33" s="10">
        <f t="shared" si="8"/>
        <v>6</v>
      </c>
      <c r="AW33" s="15">
        <v>2</v>
      </c>
      <c r="AX33" s="25">
        <v>66</v>
      </c>
      <c r="AY33" s="11">
        <f>VLOOKUP(AX33,المرجع!$B$2:$C$11,2)</f>
        <v>2.5</v>
      </c>
      <c r="AZ33" s="8" t="str">
        <f>VLOOKUP(AY33,[1]المرجع!$D$3:$E$12,2)</f>
        <v>د+</v>
      </c>
      <c r="BA33" s="30">
        <f t="shared" si="9"/>
        <v>5</v>
      </c>
      <c r="BB33" s="31">
        <f t="shared" si="10"/>
        <v>63.5</v>
      </c>
      <c r="BC33" s="20">
        <f t="shared" si="11"/>
        <v>22</v>
      </c>
      <c r="BD33" s="21">
        <f t="shared" si="12"/>
        <v>2.8863636363636362</v>
      </c>
      <c r="BE33" s="49">
        <f>(BB33+'المستوى الأول '!BL34)/('المستوى الأول '!BM34+'المستوى الثاني '!BC33)</f>
        <v>3.088888888888889</v>
      </c>
      <c r="BF33" s="23" t="str">
        <f>VLOOKUP(BE33,المرجع!$D$3:$F$11,3,TRUE)</f>
        <v xml:space="preserve">جيد </v>
      </c>
      <c r="BG33" s="22">
        <f t="shared" si="13"/>
        <v>33</v>
      </c>
    </row>
    <row r="34" spans="2:59" ht="23.5">
      <c r="B34" s="27">
        <v>2024207</v>
      </c>
      <c r="C34" s="28" t="s">
        <v>37</v>
      </c>
      <c r="D34" s="5">
        <v>1</v>
      </c>
      <c r="E34" s="25">
        <v>86</v>
      </c>
      <c r="F34" s="11">
        <f>VLOOKUP(E34,المرجع!$B$2:$C$11,2)</f>
        <v>4.5</v>
      </c>
      <c r="G34" s="8" t="str">
        <f>VLOOKUP(F34,المرجع!$D$2:$E$11,2)</f>
        <v>ب+</v>
      </c>
      <c r="H34" s="10">
        <f t="shared" si="0"/>
        <v>4.5</v>
      </c>
      <c r="I34" s="5">
        <v>2</v>
      </c>
      <c r="J34" s="25">
        <v>52</v>
      </c>
      <c r="K34" s="11">
        <f>VLOOKUP(J34,المرجع!$B$2:$C$11,2)</f>
        <v>2</v>
      </c>
      <c r="L34" s="8" t="str">
        <f>VLOOKUP(K34,[1]المرجع!$D$3:$E$12,2)</f>
        <v>د</v>
      </c>
      <c r="M34" s="10">
        <f t="shared" si="1"/>
        <v>4</v>
      </c>
      <c r="N34" s="15">
        <v>3</v>
      </c>
      <c r="O34" s="25">
        <v>67</v>
      </c>
      <c r="P34" s="11">
        <f>VLOOKUP(O34,المرجع!$B$2:$C$11,2)</f>
        <v>2.5</v>
      </c>
      <c r="Q34" s="8" t="str">
        <f>VLOOKUP(P34,[1]المرجع!$D$3:$E$12,2)</f>
        <v>د+</v>
      </c>
      <c r="R34" s="10">
        <f t="shared" si="2"/>
        <v>7.5</v>
      </c>
      <c r="S34" s="15">
        <v>3</v>
      </c>
      <c r="T34" s="25">
        <v>87</v>
      </c>
      <c r="U34" s="11">
        <f>VLOOKUP(T34,المرجع!$B$2:$C$11,2)</f>
        <v>4.5</v>
      </c>
      <c r="V34" s="8" t="str">
        <f>VLOOKUP(U34,[1]المرجع!$D$3:$E$12,2)</f>
        <v>ب+</v>
      </c>
      <c r="W34" s="10">
        <f t="shared" si="3"/>
        <v>13.5</v>
      </c>
      <c r="X34" s="15">
        <v>3</v>
      </c>
      <c r="Y34" s="25">
        <v>81</v>
      </c>
      <c r="Z34" s="11">
        <f>VLOOKUP(Y34,المرجع!$B$2:$C$11,2)</f>
        <v>4</v>
      </c>
      <c r="AA34" s="8" t="str">
        <f>VLOOKUP(Z34,[1]المرجع!$D$3:$E$12,2)</f>
        <v>ب</v>
      </c>
      <c r="AB34" s="10">
        <f t="shared" si="4"/>
        <v>12</v>
      </c>
      <c r="AC34" s="15">
        <v>2</v>
      </c>
      <c r="AD34" s="25">
        <v>74</v>
      </c>
      <c r="AE34" s="11">
        <f>VLOOKUP(AD34,المرجع!$B$2:$C$11,2)</f>
        <v>3</v>
      </c>
      <c r="AF34" s="8" t="str">
        <f>VLOOKUP(AE34,[1]المرجع!$D$3:$E$12,2)</f>
        <v>ج</v>
      </c>
      <c r="AG34" s="10">
        <f t="shared" si="5"/>
        <v>6</v>
      </c>
      <c r="AH34" s="15">
        <v>2</v>
      </c>
      <c r="AI34" s="25">
        <v>73</v>
      </c>
      <c r="AJ34" s="11">
        <f>VLOOKUP(AI34,المرجع!$B$2:$C$11,2)</f>
        <v>3</v>
      </c>
      <c r="AK34" s="8" t="str">
        <f>VLOOKUP(AJ34,[1]المرجع!$D$3:$E$12,2)</f>
        <v>ج</v>
      </c>
      <c r="AL34" s="10">
        <f t="shared" si="6"/>
        <v>6</v>
      </c>
      <c r="AM34" s="15">
        <v>2</v>
      </c>
      <c r="AN34" s="25">
        <v>60</v>
      </c>
      <c r="AO34" s="11">
        <f>VLOOKUP(AN34,المرجع!$B$2:$C$11,2)</f>
        <v>2</v>
      </c>
      <c r="AP34" s="8" t="str">
        <f>VLOOKUP(AO34,[1]المرجع!$D$3:$E$12,2)</f>
        <v>د</v>
      </c>
      <c r="AQ34" s="10">
        <f t="shared" si="7"/>
        <v>4</v>
      </c>
      <c r="AR34" s="15">
        <v>2</v>
      </c>
      <c r="AS34" s="25">
        <v>50</v>
      </c>
      <c r="AT34" s="11">
        <f>VLOOKUP(AS34,المرجع!$B$2:$C$11,2)</f>
        <v>2</v>
      </c>
      <c r="AU34" s="8" t="str">
        <f>VLOOKUP(AT34,[1]المرجع!$D$3:$E$12,2)</f>
        <v>د</v>
      </c>
      <c r="AV34" s="10">
        <f t="shared" si="8"/>
        <v>4</v>
      </c>
      <c r="AW34" s="15">
        <v>2</v>
      </c>
      <c r="AX34" s="25">
        <v>50</v>
      </c>
      <c r="AY34" s="11">
        <f>VLOOKUP(AX34,المرجع!$B$2:$C$11,2)</f>
        <v>2</v>
      </c>
      <c r="AZ34" s="8" t="str">
        <f>VLOOKUP(AY34,[1]المرجع!$D$3:$E$12,2)</f>
        <v>د</v>
      </c>
      <c r="BA34" s="30">
        <f t="shared" si="9"/>
        <v>4</v>
      </c>
      <c r="BB34" s="31">
        <f t="shared" si="10"/>
        <v>65.5</v>
      </c>
      <c r="BC34" s="20">
        <f t="shared" si="11"/>
        <v>22</v>
      </c>
      <c r="BD34" s="21">
        <f t="shared" si="12"/>
        <v>2.9772727272727271</v>
      </c>
      <c r="BE34" s="49">
        <f>(BB34+'المستوى الأول '!BL35)/('المستوى الأول '!BM35+'المستوى الثاني '!BC34)</f>
        <v>3.0277777777777777</v>
      </c>
      <c r="BF34" s="23" t="str">
        <f>VLOOKUP(BE34,المرجع!$D$3:$F$11,3,TRUE)</f>
        <v xml:space="preserve">جيد </v>
      </c>
      <c r="BG34" s="22">
        <f t="shared" si="13"/>
        <v>32</v>
      </c>
    </row>
    <row r="35" spans="2:59" ht="23.5">
      <c r="B35" s="27">
        <v>2024204</v>
      </c>
      <c r="C35" s="28" t="s">
        <v>51</v>
      </c>
      <c r="D35" s="5">
        <v>1</v>
      </c>
      <c r="E35" s="25">
        <v>50</v>
      </c>
      <c r="F35" s="11">
        <f>VLOOKUP(E35,المرجع!$B$2:$C$11,2)</f>
        <v>2</v>
      </c>
      <c r="G35" s="8" t="str">
        <f>VLOOKUP(F35,المرجع!$D$2:$E$11,2)</f>
        <v>د</v>
      </c>
      <c r="H35" s="10">
        <f t="shared" si="0"/>
        <v>2</v>
      </c>
      <c r="I35" s="5">
        <v>2</v>
      </c>
      <c r="J35" s="25">
        <v>50</v>
      </c>
      <c r="K35" s="11">
        <f>VLOOKUP(J35,المرجع!$B$2:$C$11,2)</f>
        <v>2</v>
      </c>
      <c r="L35" s="8" t="str">
        <f>VLOOKUP(K35,[1]المرجع!$D$3:$E$12,2)</f>
        <v>د</v>
      </c>
      <c r="M35" s="10">
        <f t="shared" si="1"/>
        <v>4</v>
      </c>
      <c r="N35" s="15">
        <v>3</v>
      </c>
      <c r="O35" s="25">
        <v>50</v>
      </c>
      <c r="P35" s="11">
        <f>VLOOKUP(O35,المرجع!$B$2:$C$11,2)</f>
        <v>2</v>
      </c>
      <c r="Q35" s="8" t="str">
        <f>VLOOKUP(P35,[1]المرجع!$D$3:$E$12,2)</f>
        <v>د</v>
      </c>
      <c r="R35" s="10">
        <f t="shared" si="2"/>
        <v>6</v>
      </c>
      <c r="S35" s="15">
        <v>3</v>
      </c>
      <c r="T35" s="25">
        <v>82</v>
      </c>
      <c r="U35" s="11">
        <f>VLOOKUP(T35,المرجع!$B$2:$C$11,2)</f>
        <v>4</v>
      </c>
      <c r="V35" s="8" t="str">
        <f>VLOOKUP(U35,[1]المرجع!$D$3:$E$12,2)</f>
        <v>ب</v>
      </c>
      <c r="W35" s="10">
        <f t="shared" si="3"/>
        <v>12</v>
      </c>
      <c r="X35" s="15">
        <v>3</v>
      </c>
      <c r="Y35" s="25">
        <v>65</v>
      </c>
      <c r="Z35" s="11">
        <f>VLOOKUP(Y35,المرجع!$B$2:$C$11,2)</f>
        <v>2.5</v>
      </c>
      <c r="AA35" s="8" t="str">
        <f>VLOOKUP(Z35,[1]المرجع!$D$3:$E$12,2)</f>
        <v>د+</v>
      </c>
      <c r="AB35" s="10">
        <f t="shared" si="4"/>
        <v>7.5</v>
      </c>
      <c r="AC35" s="15">
        <v>2</v>
      </c>
      <c r="AD35" s="25">
        <v>66</v>
      </c>
      <c r="AE35" s="11">
        <f>VLOOKUP(AD35,المرجع!$B$2:$C$11,2)</f>
        <v>2.5</v>
      </c>
      <c r="AF35" s="8" t="str">
        <f>VLOOKUP(AE35,[1]المرجع!$D$3:$E$12,2)</f>
        <v>د+</v>
      </c>
      <c r="AG35" s="10">
        <f t="shared" si="5"/>
        <v>5</v>
      </c>
      <c r="AH35" s="15">
        <v>2</v>
      </c>
      <c r="AI35" s="25">
        <v>80</v>
      </c>
      <c r="AJ35" s="11">
        <f>VLOOKUP(AI35,المرجع!$B$2:$C$11,2)</f>
        <v>4</v>
      </c>
      <c r="AK35" s="8" t="str">
        <f>VLOOKUP(AJ35,[1]المرجع!$D$3:$E$12,2)</f>
        <v>ب</v>
      </c>
      <c r="AL35" s="10">
        <f t="shared" si="6"/>
        <v>8</v>
      </c>
      <c r="AM35" s="15">
        <v>2</v>
      </c>
      <c r="AN35" s="25">
        <v>60</v>
      </c>
      <c r="AO35" s="11">
        <f>VLOOKUP(AN35,المرجع!$B$2:$C$11,2)</f>
        <v>2</v>
      </c>
      <c r="AP35" s="8" t="str">
        <f>VLOOKUP(AO35,[1]المرجع!$D$3:$E$12,2)</f>
        <v>د</v>
      </c>
      <c r="AQ35" s="10">
        <f t="shared" si="7"/>
        <v>4</v>
      </c>
      <c r="AR35" s="15">
        <v>2</v>
      </c>
      <c r="AS35" s="25">
        <v>71</v>
      </c>
      <c r="AT35" s="11">
        <f>VLOOKUP(AS35,المرجع!$B$2:$C$11,2)</f>
        <v>3</v>
      </c>
      <c r="AU35" s="8" t="str">
        <f>VLOOKUP(AT35,[1]المرجع!$D$3:$E$12,2)</f>
        <v>ج</v>
      </c>
      <c r="AV35" s="10">
        <f t="shared" si="8"/>
        <v>6</v>
      </c>
      <c r="AW35" s="15">
        <v>2</v>
      </c>
      <c r="AX35" s="25">
        <v>88</v>
      </c>
      <c r="AY35" s="11">
        <f>VLOOKUP(AX35,المرجع!$B$2:$C$11,2)</f>
        <v>4.5</v>
      </c>
      <c r="AZ35" s="8" t="str">
        <f>VLOOKUP(AY35,[1]المرجع!$D$3:$E$12,2)</f>
        <v>ب+</v>
      </c>
      <c r="BA35" s="30">
        <f t="shared" si="9"/>
        <v>9</v>
      </c>
      <c r="BB35" s="31">
        <f t="shared" si="10"/>
        <v>63.5</v>
      </c>
      <c r="BC35" s="20">
        <f t="shared" si="11"/>
        <v>22</v>
      </c>
      <c r="BD35" s="21">
        <f t="shared" si="12"/>
        <v>2.8863636363636362</v>
      </c>
      <c r="BE35" s="49">
        <f>(BB35+'المستوى الأول '!BL36)/('المستوى الأول '!BM36+'المستوى الثاني '!BC35)</f>
        <v>2.9555555555555557</v>
      </c>
      <c r="BF35" s="23" t="str">
        <f>VLOOKUP(BE35,المرجع!$D$3:$F$11,3,TRUE)</f>
        <v xml:space="preserve">جيد </v>
      </c>
      <c r="BG35" s="22">
        <f t="shared" si="13"/>
        <v>33</v>
      </c>
    </row>
    <row r="36" spans="2:59" ht="23.5">
      <c r="B36" s="27">
        <v>2024160</v>
      </c>
      <c r="C36" s="28" t="s">
        <v>33</v>
      </c>
      <c r="D36" s="5">
        <v>1</v>
      </c>
      <c r="E36" s="25">
        <v>89</v>
      </c>
      <c r="F36" s="11">
        <f>VLOOKUP(E36,المرجع!$B$2:$C$11,2)</f>
        <v>4.5</v>
      </c>
      <c r="G36" s="8" t="str">
        <f>VLOOKUP(F36,المرجع!$D$2:$E$11,2)</f>
        <v>ب+</v>
      </c>
      <c r="H36" s="10">
        <f t="shared" si="0"/>
        <v>4.5</v>
      </c>
      <c r="I36" s="5">
        <v>2</v>
      </c>
      <c r="J36" s="25">
        <v>35</v>
      </c>
      <c r="K36" s="11">
        <f>VLOOKUP(J36,المرجع!$B$2:$C$11,2)</f>
        <v>0</v>
      </c>
      <c r="L36" s="8" t="str">
        <f>VLOOKUP(K36,[1]المرجع!$D$3:$E$12,2)</f>
        <v>ه</v>
      </c>
      <c r="M36" s="10">
        <f t="shared" si="1"/>
        <v>0</v>
      </c>
      <c r="N36" s="15">
        <v>3</v>
      </c>
      <c r="O36" s="25">
        <v>58</v>
      </c>
      <c r="P36" s="11">
        <f>VLOOKUP(O36,المرجع!$B$2:$C$11,2)</f>
        <v>2</v>
      </c>
      <c r="Q36" s="8" t="str">
        <f>VLOOKUP(P36,[1]المرجع!$D$3:$E$12,2)</f>
        <v>د</v>
      </c>
      <c r="R36" s="10">
        <f t="shared" si="2"/>
        <v>6</v>
      </c>
      <c r="S36" s="15">
        <v>3</v>
      </c>
      <c r="T36" s="25">
        <v>78</v>
      </c>
      <c r="U36" s="11">
        <f>VLOOKUP(T36,المرجع!$B$2:$C$11,2)</f>
        <v>3.5</v>
      </c>
      <c r="V36" s="8" t="str">
        <f>VLOOKUP(U36,[1]المرجع!$D$3:$E$12,2)</f>
        <v>ج+</v>
      </c>
      <c r="W36" s="10">
        <f t="shared" si="3"/>
        <v>10.5</v>
      </c>
      <c r="X36" s="15">
        <v>3</v>
      </c>
      <c r="Y36" s="25">
        <v>100</v>
      </c>
      <c r="Z36" s="11">
        <f>VLOOKUP(Y36,المرجع!$B$2:$C$11,2)</f>
        <v>5</v>
      </c>
      <c r="AA36" s="8" t="str">
        <f>VLOOKUP(Z36,[1]المرجع!$D$3:$E$12,2)</f>
        <v xml:space="preserve">أ+ </v>
      </c>
      <c r="AB36" s="10">
        <f t="shared" si="4"/>
        <v>15</v>
      </c>
      <c r="AC36" s="15">
        <v>2</v>
      </c>
      <c r="AD36" s="25">
        <v>67</v>
      </c>
      <c r="AE36" s="11">
        <f>VLOOKUP(AD36,المرجع!$B$2:$C$11,2)</f>
        <v>2.5</v>
      </c>
      <c r="AF36" s="8" t="str">
        <f>VLOOKUP(AE36,[1]المرجع!$D$3:$E$12,2)</f>
        <v>د+</v>
      </c>
      <c r="AG36" s="10">
        <f t="shared" si="5"/>
        <v>5</v>
      </c>
      <c r="AH36" s="15">
        <v>2</v>
      </c>
      <c r="AI36" s="25">
        <v>80</v>
      </c>
      <c r="AJ36" s="11">
        <f>VLOOKUP(AI36,المرجع!$B$2:$C$11,2)</f>
        <v>4</v>
      </c>
      <c r="AK36" s="8" t="str">
        <f>VLOOKUP(AJ36,[1]المرجع!$D$3:$E$12,2)</f>
        <v>ب</v>
      </c>
      <c r="AL36" s="10">
        <f t="shared" si="6"/>
        <v>8</v>
      </c>
      <c r="AM36" s="15">
        <v>2</v>
      </c>
      <c r="AN36" s="25">
        <v>65</v>
      </c>
      <c r="AO36" s="11">
        <f>VLOOKUP(AN36,المرجع!$B$2:$C$11,2)</f>
        <v>2.5</v>
      </c>
      <c r="AP36" s="8" t="str">
        <f>VLOOKUP(AO36,[1]المرجع!$D$3:$E$12,2)</f>
        <v>د+</v>
      </c>
      <c r="AQ36" s="10">
        <f t="shared" si="7"/>
        <v>5</v>
      </c>
      <c r="AR36" s="15">
        <v>2</v>
      </c>
      <c r="AS36" s="25">
        <v>50</v>
      </c>
      <c r="AT36" s="11">
        <f>VLOOKUP(AS36,المرجع!$B$2:$C$11,2)</f>
        <v>2</v>
      </c>
      <c r="AU36" s="8" t="str">
        <f>VLOOKUP(AT36,[1]المرجع!$D$3:$E$12,2)</f>
        <v>د</v>
      </c>
      <c r="AV36" s="10">
        <f t="shared" si="8"/>
        <v>4</v>
      </c>
      <c r="AW36" s="15">
        <v>2</v>
      </c>
      <c r="AX36" s="25">
        <v>34</v>
      </c>
      <c r="AY36" s="11">
        <f>VLOOKUP(AX36,المرجع!$B$2:$C$11,2)</f>
        <v>0</v>
      </c>
      <c r="AZ36" s="8" t="str">
        <f>VLOOKUP(AY36,[1]المرجع!$D$3:$E$12,2)</f>
        <v>ه</v>
      </c>
      <c r="BA36" s="30">
        <f t="shared" si="9"/>
        <v>0</v>
      </c>
      <c r="BB36" s="31">
        <f t="shared" si="10"/>
        <v>58</v>
      </c>
      <c r="BC36" s="20">
        <f t="shared" si="11"/>
        <v>22</v>
      </c>
      <c r="BD36" s="21">
        <f t="shared" si="12"/>
        <v>2.6363636363636362</v>
      </c>
      <c r="BE36" s="49">
        <f>(BB36+'المستوى الأول '!BL37)/('المستوى الأول '!BM37+'المستوى الثاني '!BC36)</f>
        <v>2.7888888888888888</v>
      </c>
      <c r="BF36" s="23" t="str">
        <f>VLOOKUP(BE36,المرجع!$D$3:$F$11,3,TRUE)</f>
        <v xml:space="preserve">جيد </v>
      </c>
      <c r="BG36" s="22">
        <f t="shared" si="13"/>
        <v>35</v>
      </c>
    </row>
    <row r="37" spans="2:59" ht="23.5">
      <c r="B37" s="27">
        <v>2024177</v>
      </c>
      <c r="C37" s="28" t="s">
        <v>54</v>
      </c>
      <c r="D37" s="5">
        <v>1</v>
      </c>
      <c r="E37" s="25">
        <v>59</v>
      </c>
      <c r="F37" s="11">
        <f>VLOOKUP(E37,المرجع!$B$2:$C$11,2)</f>
        <v>2</v>
      </c>
      <c r="G37" s="8" t="str">
        <f>VLOOKUP(F37,المرجع!$D$2:$E$11,2)</f>
        <v>د</v>
      </c>
      <c r="H37" s="10">
        <f t="shared" si="0"/>
        <v>2</v>
      </c>
      <c r="I37" s="5">
        <v>2</v>
      </c>
      <c r="J37" s="25">
        <v>43</v>
      </c>
      <c r="K37" s="11">
        <f>VLOOKUP(J37,المرجع!$B$2:$C$11,2)</f>
        <v>0</v>
      </c>
      <c r="L37" s="8" t="str">
        <f>VLOOKUP(K37,[1]المرجع!$D$3:$E$12,2)</f>
        <v>ه</v>
      </c>
      <c r="M37" s="10">
        <f t="shared" si="1"/>
        <v>0</v>
      </c>
      <c r="N37" s="15">
        <v>3</v>
      </c>
      <c r="O37" s="25">
        <v>50</v>
      </c>
      <c r="P37" s="11">
        <f>VLOOKUP(O37,المرجع!$B$2:$C$11,2)</f>
        <v>2</v>
      </c>
      <c r="Q37" s="8" t="str">
        <f>VLOOKUP(P37,[1]المرجع!$D$3:$E$12,2)</f>
        <v>د</v>
      </c>
      <c r="R37" s="10">
        <f t="shared" si="2"/>
        <v>6</v>
      </c>
      <c r="S37" s="15">
        <v>3</v>
      </c>
      <c r="T37" s="25">
        <v>90</v>
      </c>
      <c r="U37" s="11">
        <f>VLOOKUP(T37,المرجع!$B$2:$C$11,2)</f>
        <v>4.75</v>
      </c>
      <c r="V37" s="8" t="str">
        <f>VLOOKUP(U37,[1]المرجع!$D$3:$E$12,2)</f>
        <v>أ</v>
      </c>
      <c r="W37" s="10">
        <f t="shared" si="3"/>
        <v>14.25</v>
      </c>
      <c r="X37" s="15">
        <v>3</v>
      </c>
      <c r="Y37" s="25">
        <v>55</v>
      </c>
      <c r="Z37" s="11">
        <f>VLOOKUP(Y37,المرجع!$B$2:$C$11,2)</f>
        <v>2</v>
      </c>
      <c r="AA37" s="8" t="str">
        <f>VLOOKUP(Z37,[1]المرجع!$D$3:$E$12,2)</f>
        <v>د</v>
      </c>
      <c r="AB37" s="10">
        <f t="shared" si="4"/>
        <v>6</v>
      </c>
      <c r="AC37" s="15">
        <v>2</v>
      </c>
      <c r="AD37" s="25">
        <v>69</v>
      </c>
      <c r="AE37" s="11">
        <f>VLOOKUP(AD37,المرجع!$B$2:$C$11,2)</f>
        <v>2.5</v>
      </c>
      <c r="AF37" s="8" t="str">
        <f>VLOOKUP(AE37,[1]المرجع!$D$3:$E$12,2)</f>
        <v>د+</v>
      </c>
      <c r="AG37" s="10">
        <f t="shared" si="5"/>
        <v>5</v>
      </c>
      <c r="AH37" s="15">
        <v>2</v>
      </c>
      <c r="AI37" s="25">
        <v>80</v>
      </c>
      <c r="AJ37" s="11">
        <f>VLOOKUP(AI37,المرجع!$B$2:$C$11,2)</f>
        <v>4</v>
      </c>
      <c r="AK37" s="8" t="str">
        <f>VLOOKUP(AJ37,[1]المرجع!$D$3:$E$12,2)</f>
        <v>ب</v>
      </c>
      <c r="AL37" s="10">
        <f t="shared" si="6"/>
        <v>8</v>
      </c>
      <c r="AM37" s="15">
        <v>2</v>
      </c>
      <c r="AN37" s="25">
        <v>50</v>
      </c>
      <c r="AO37" s="11">
        <f>VLOOKUP(AN37,المرجع!$B$2:$C$11,2)</f>
        <v>2</v>
      </c>
      <c r="AP37" s="8" t="str">
        <f>VLOOKUP(AO37,[1]المرجع!$D$3:$E$12,2)</f>
        <v>د</v>
      </c>
      <c r="AQ37" s="10">
        <f t="shared" si="7"/>
        <v>4</v>
      </c>
      <c r="AR37" s="15">
        <v>2</v>
      </c>
      <c r="AS37" s="25">
        <v>60</v>
      </c>
      <c r="AT37" s="11">
        <f>VLOOKUP(AS37,المرجع!$B$2:$C$11,2)</f>
        <v>2</v>
      </c>
      <c r="AU37" s="8" t="str">
        <f>VLOOKUP(AT37,[1]المرجع!$D$3:$E$12,2)</f>
        <v>د</v>
      </c>
      <c r="AV37" s="10">
        <f t="shared" si="8"/>
        <v>4</v>
      </c>
      <c r="AW37" s="15">
        <v>2</v>
      </c>
      <c r="AX37" s="25">
        <v>68</v>
      </c>
      <c r="AY37" s="11">
        <f>VLOOKUP(AX37,المرجع!$B$2:$C$11,2)</f>
        <v>2.5</v>
      </c>
      <c r="AZ37" s="8" t="str">
        <f>VLOOKUP(AY37,[1]المرجع!$D$3:$E$12,2)</f>
        <v>د+</v>
      </c>
      <c r="BA37" s="30">
        <f t="shared" si="9"/>
        <v>5</v>
      </c>
      <c r="BB37" s="31">
        <f t="shared" si="10"/>
        <v>54.25</v>
      </c>
      <c r="BC37" s="20">
        <f t="shared" si="11"/>
        <v>22</v>
      </c>
      <c r="BD37" s="21">
        <f t="shared" si="12"/>
        <v>2.4659090909090908</v>
      </c>
      <c r="BE37" s="49">
        <f>(BB37+'المستوى الأول '!BL38)/('المستوى الأول '!BM38+'المستوى الثاني '!BC37)</f>
        <v>2.7388888888888889</v>
      </c>
      <c r="BF37" s="23" t="str">
        <f>VLOOKUP(BE37,المرجع!$D$3:$F$11,3,TRUE)</f>
        <v xml:space="preserve">جيد </v>
      </c>
      <c r="BG37" s="22">
        <f t="shared" si="13"/>
        <v>36</v>
      </c>
    </row>
    <row r="38" spans="2:59" ht="23.5">
      <c r="B38" s="27">
        <v>2024172</v>
      </c>
      <c r="C38" s="28" t="s">
        <v>47</v>
      </c>
      <c r="D38" s="5">
        <v>1</v>
      </c>
      <c r="E38" s="25">
        <v>93</v>
      </c>
      <c r="F38" s="11">
        <f>VLOOKUP(E38,المرجع!$B$2:$C$11,2)</f>
        <v>4.75</v>
      </c>
      <c r="G38" s="8" t="str">
        <f>VLOOKUP(F38,المرجع!$D$2:$E$11,2)</f>
        <v>أ</v>
      </c>
      <c r="H38" s="10">
        <f t="shared" si="0"/>
        <v>4.75</v>
      </c>
      <c r="I38" s="5">
        <v>2</v>
      </c>
      <c r="J38" s="25">
        <v>50</v>
      </c>
      <c r="K38" s="11">
        <f>VLOOKUP(J38,المرجع!$B$2:$C$11,2)</f>
        <v>2</v>
      </c>
      <c r="L38" s="8" t="str">
        <f>VLOOKUP(K38,[1]المرجع!$D$3:$E$12,2)</f>
        <v>د</v>
      </c>
      <c r="M38" s="10">
        <f t="shared" si="1"/>
        <v>4</v>
      </c>
      <c r="N38" s="15">
        <v>3</v>
      </c>
      <c r="O38" s="25">
        <v>50</v>
      </c>
      <c r="P38" s="11">
        <f>VLOOKUP(O38,المرجع!$B$2:$C$11,2)</f>
        <v>2</v>
      </c>
      <c r="Q38" s="8" t="str">
        <f>VLOOKUP(P38,[1]المرجع!$D$3:$E$12,2)</f>
        <v>د</v>
      </c>
      <c r="R38" s="10">
        <f t="shared" si="2"/>
        <v>6</v>
      </c>
      <c r="S38" s="15">
        <v>3</v>
      </c>
      <c r="T38" s="25">
        <v>72</v>
      </c>
      <c r="U38" s="11">
        <f>VLOOKUP(T38,المرجع!$B$2:$C$11,2)</f>
        <v>3</v>
      </c>
      <c r="V38" s="8" t="str">
        <f>VLOOKUP(U38,[1]المرجع!$D$3:$E$12,2)</f>
        <v>ج</v>
      </c>
      <c r="W38" s="10">
        <f t="shared" si="3"/>
        <v>9</v>
      </c>
      <c r="X38" s="15">
        <v>3</v>
      </c>
      <c r="Y38" s="25">
        <v>50</v>
      </c>
      <c r="Z38" s="11">
        <f>VLOOKUP(Y38,المرجع!$B$2:$C$11,2)</f>
        <v>2</v>
      </c>
      <c r="AA38" s="8" t="str">
        <f>VLOOKUP(Z38,[1]المرجع!$D$3:$E$12,2)</f>
        <v>د</v>
      </c>
      <c r="AB38" s="10">
        <f t="shared" si="4"/>
        <v>6</v>
      </c>
      <c r="AC38" s="15">
        <v>2</v>
      </c>
      <c r="AD38" s="25">
        <v>61</v>
      </c>
      <c r="AE38" s="11">
        <f>VLOOKUP(AD38,المرجع!$B$2:$C$11,2)</f>
        <v>2</v>
      </c>
      <c r="AF38" s="8" t="str">
        <f>VLOOKUP(AE38,[1]المرجع!$D$3:$E$12,2)</f>
        <v>د</v>
      </c>
      <c r="AG38" s="10">
        <f t="shared" si="5"/>
        <v>4</v>
      </c>
      <c r="AH38" s="15">
        <v>2</v>
      </c>
      <c r="AI38" s="25">
        <v>67</v>
      </c>
      <c r="AJ38" s="11">
        <f>VLOOKUP(AI38,المرجع!$B$2:$C$11,2)</f>
        <v>2.5</v>
      </c>
      <c r="AK38" s="8" t="str">
        <f>VLOOKUP(AJ38,[1]المرجع!$D$3:$E$12,2)</f>
        <v>د+</v>
      </c>
      <c r="AL38" s="10">
        <f t="shared" si="6"/>
        <v>5</v>
      </c>
      <c r="AM38" s="15">
        <v>2</v>
      </c>
      <c r="AN38" s="25">
        <v>60</v>
      </c>
      <c r="AO38" s="11">
        <f>VLOOKUP(AN38,المرجع!$B$2:$C$11,2)</f>
        <v>2</v>
      </c>
      <c r="AP38" s="8" t="str">
        <f>VLOOKUP(AO38,[1]المرجع!$D$3:$E$12,2)</f>
        <v>د</v>
      </c>
      <c r="AQ38" s="10">
        <f t="shared" si="7"/>
        <v>4</v>
      </c>
      <c r="AR38" s="15">
        <v>2</v>
      </c>
      <c r="AS38" s="25">
        <v>61</v>
      </c>
      <c r="AT38" s="11">
        <f>VLOOKUP(AS38,المرجع!$B$2:$C$11,2)</f>
        <v>2</v>
      </c>
      <c r="AU38" s="8" t="str">
        <f>VLOOKUP(AT38,[1]المرجع!$D$3:$E$12,2)</f>
        <v>د</v>
      </c>
      <c r="AV38" s="10">
        <f t="shared" si="8"/>
        <v>4</v>
      </c>
      <c r="AW38" s="15">
        <v>2</v>
      </c>
      <c r="AX38" s="25">
        <v>51</v>
      </c>
      <c r="AY38" s="11">
        <f>VLOOKUP(AX38,المرجع!$B$2:$C$11,2)</f>
        <v>2</v>
      </c>
      <c r="AZ38" s="8" t="str">
        <f>VLOOKUP(AY38,[1]المرجع!$D$3:$E$12,2)</f>
        <v>د</v>
      </c>
      <c r="BA38" s="30">
        <f t="shared" si="9"/>
        <v>4</v>
      </c>
      <c r="BB38" s="31">
        <f t="shared" si="10"/>
        <v>50.75</v>
      </c>
      <c r="BC38" s="20">
        <f t="shared" si="11"/>
        <v>22</v>
      </c>
      <c r="BD38" s="21">
        <f t="shared" si="12"/>
        <v>2.3068181818181817</v>
      </c>
      <c r="BE38" s="49">
        <f>(BB38+'المستوى الأول '!BL39)/('المستوى الأول '!BM39+'المستوى الثاني '!BC38)</f>
        <v>2.6166666666666667</v>
      </c>
      <c r="BF38" s="23" t="str">
        <f>VLOOKUP(BE38,المرجع!$D$3:$F$11,3,TRUE)</f>
        <v xml:space="preserve">جيد </v>
      </c>
      <c r="BG38" s="22">
        <f t="shared" si="13"/>
        <v>39</v>
      </c>
    </row>
    <row r="39" spans="2:59" ht="23.5">
      <c r="B39" s="27">
        <v>2024186</v>
      </c>
      <c r="C39" s="28" t="s">
        <v>64</v>
      </c>
      <c r="D39" s="5">
        <v>1</v>
      </c>
      <c r="E39" s="25">
        <v>84</v>
      </c>
      <c r="F39" s="11">
        <f>VLOOKUP(E39,المرجع!$B$2:$C$11,2)</f>
        <v>4</v>
      </c>
      <c r="G39" s="8" t="str">
        <f>VLOOKUP(F39,المرجع!$D$2:$E$11,2)</f>
        <v>ب</v>
      </c>
      <c r="H39" s="10">
        <f t="shared" si="0"/>
        <v>4</v>
      </c>
      <c r="I39" s="5">
        <v>2</v>
      </c>
      <c r="J39" s="25">
        <v>50</v>
      </c>
      <c r="K39" s="11">
        <f>VLOOKUP(J39,المرجع!$B$2:$C$11,2)</f>
        <v>2</v>
      </c>
      <c r="L39" s="8" t="str">
        <f>VLOOKUP(K39,[1]المرجع!$D$3:$E$12,2)</f>
        <v>د</v>
      </c>
      <c r="M39" s="10">
        <f t="shared" si="1"/>
        <v>4</v>
      </c>
      <c r="N39" s="15">
        <v>3</v>
      </c>
      <c r="O39" s="25">
        <v>50</v>
      </c>
      <c r="P39" s="11">
        <f>VLOOKUP(O39,المرجع!$B$2:$C$11,2)</f>
        <v>2</v>
      </c>
      <c r="Q39" s="8" t="str">
        <f>VLOOKUP(P39,[1]المرجع!$D$3:$E$12,2)</f>
        <v>د</v>
      </c>
      <c r="R39" s="10">
        <f t="shared" si="2"/>
        <v>6</v>
      </c>
      <c r="S39" s="15">
        <v>3</v>
      </c>
      <c r="T39" s="25">
        <v>72</v>
      </c>
      <c r="U39" s="11">
        <f>VLOOKUP(T39,المرجع!$B$2:$C$11,2)</f>
        <v>3</v>
      </c>
      <c r="V39" s="8" t="str">
        <f>VLOOKUP(U39,[1]المرجع!$D$3:$E$12,2)</f>
        <v>ج</v>
      </c>
      <c r="W39" s="10">
        <f t="shared" si="3"/>
        <v>9</v>
      </c>
      <c r="X39" s="15">
        <v>3</v>
      </c>
      <c r="Y39" s="25">
        <v>60</v>
      </c>
      <c r="Z39" s="11">
        <f>VLOOKUP(Y39,المرجع!$B$2:$C$11,2)</f>
        <v>2</v>
      </c>
      <c r="AA39" s="8" t="str">
        <f>VLOOKUP(Z39,[1]المرجع!$D$3:$E$12,2)</f>
        <v>د</v>
      </c>
      <c r="AB39" s="10">
        <f t="shared" si="4"/>
        <v>6</v>
      </c>
      <c r="AC39" s="15">
        <v>2</v>
      </c>
      <c r="AD39" s="25">
        <v>50</v>
      </c>
      <c r="AE39" s="11">
        <f>VLOOKUP(AD39,المرجع!$B$2:$C$11,2)</f>
        <v>2</v>
      </c>
      <c r="AF39" s="8" t="str">
        <f>VLOOKUP(AE39,[1]المرجع!$D$3:$E$12,2)</f>
        <v>د</v>
      </c>
      <c r="AG39" s="10">
        <f t="shared" si="5"/>
        <v>4</v>
      </c>
      <c r="AH39" s="15">
        <v>2</v>
      </c>
      <c r="AI39" s="25">
        <v>70</v>
      </c>
      <c r="AJ39" s="11">
        <f>VLOOKUP(AI39,المرجع!$B$2:$C$11,2)</f>
        <v>3</v>
      </c>
      <c r="AK39" s="8" t="str">
        <f>VLOOKUP(AJ39,[1]المرجع!$D$3:$E$12,2)</f>
        <v>ج</v>
      </c>
      <c r="AL39" s="10">
        <f t="shared" si="6"/>
        <v>6</v>
      </c>
      <c r="AM39" s="15">
        <v>2</v>
      </c>
      <c r="AN39" s="25">
        <v>50</v>
      </c>
      <c r="AO39" s="11">
        <f>VLOOKUP(AN39,المرجع!$B$2:$C$11,2)</f>
        <v>2</v>
      </c>
      <c r="AP39" s="8" t="str">
        <f>VLOOKUP(AO39,[1]المرجع!$D$3:$E$12,2)</f>
        <v>د</v>
      </c>
      <c r="AQ39" s="10">
        <f t="shared" si="7"/>
        <v>4</v>
      </c>
      <c r="AR39" s="15">
        <v>2</v>
      </c>
      <c r="AS39" s="25">
        <v>66</v>
      </c>
      <c r="AT39" s="11">
        <f>VLOOKUP(AS39,المرجع!$B$2:$C$11,2)</f>
        <v>2.5</v>
      </c>
      <c r="AU39" s="8" t="str">
        <f>VLOOKUP(AT39,[1]المرجع!$D$3:$E$12,2)</f>
        <v>د+</v>
      </c>
      <c r="AV39" s="10">
        <f t="shared" si="8"/>
        <v>5</v>
      </c>
      <c r="AW39" s="15">
        <v>2</v>
      </c>
      <c r="AX39" s="25">
        <v>50</v>
      </c>
      <c r="AY39" s="11">
        <f>VLOOKUP(AX39,المرجع!$B$2:$C$11,2)</f>
        <v>2</v>
      </c>
      <c r="AZ39" s="8" t="str">
        <f>VLOOKUP(AY39,[1]المرجع!$D$3:$E$12,2)</f>
        <v>د</v>
      </c>
      <c r="BA39" s="30">
        <f t="shared" si="9"/>
        <v>4</v>
      </c>
      <c r="BB39" s="31">
        <f t="shared" si="10"/>
        <v>52</v>
      </c>
      <c r="BC39" s="20">
        <f t="shared" si="11"/>
        <v>22</v>
      </c>
      <c r="BD39" s="21">
        <f t="shared" si="12"/>
        <v>2.3636363636363638</v>
      </c>
      <c r="BE39" s="49">
        <f>(BB39+'المستوى الأول '!BL40)/('المستوى الأول '!BM40+'المستوى الثاني '!BC39)</f>
        <v>2.7111111111111112</v>
      </c>
      <c r="BF39" s="23" t="str">
        <f>VLOOKUP(BE39,المرجع!$D$3:$F$11,3,TRUE)</f>
        <v xml:space="preserve">جيد </v>
      </c>
      <c r="BG39" s="22">
        <f t="shared" si="13"/>
        <v>37</v>
      </c>
    </row>
    <row r="40" spans="2:59" ht="23.5">
      <c r="B40" s="27">
        <v>2024169</v>
      </c>
      <c r="C40" s="28" t="s">
        <v>46</v>
      </c>
      <c r="D40" s="5">
        <v>1</v>
      </c>
      <c r="E40" s="25">
        <v>93</v>
      </c>
      <c r="F40" s="11">
        <f>VLOOKUP(E40,المرجع!$B$2:$C$11,2)</f>
        <v>4.75</v>
      </c>
      <c r="G40" s="8" t="str">
        <f>VLOOKUP(F40,المرجع!$D$2:$E$11,2)</f>
        <v>أ</v>
      </c>
      <c r="H40" s="10">
        <f t="shared" si="0"/>
        <v>4.75</v>
      </c>
      <c r="I40" s="5">
        <v>2</v>
      </c>
      <c r="J40" s="25">
        <v>39</v>
      </c>
      <c r="K40" s="11">
        <f>VLOOKUP(J40,المرجع!$B$2:$C$11,2)</f>
        <v>0</v>
      </c>
      <c r="L40" s="8" t="str">
        <f>VLOOKUP(K40,[1]المرجع!$D$3:$E$12,2)</f>
        <v>ه</v>
      </c>
      <c r="M40" s="10">
        <f t="shared" si="1"/>
        <v>0</v>
      </c>
      <c r="N40" s="15">
        <v>3</v>
      </c>
      <c r="O40" s="25">
        <v>35</v>
      </c>
      <c r="P40" s="11">
        <f>VLOOKUP(O40,المرجع!$B$2:$C$11,2)</f>
        <v>0</v>
      </c>
      <c r="Q40" s="8" t="str">
        <f>VLOOKUP(P40,[1]المرجع!$D$3:$E$12,2)</f>
        <v>ه</v>
      </c>
      <c r="R40" s="10">
        <f t="shared" si="2"/>
        <v>0</v>
      </c>
      <c r="S40" s="15">
        <v>3</v>
      </c>
      <c r="T40" s="25">
        <v>73</v>
      </c>
      <c r="U40" s="11">
        <f>VLOOKUP(T40,المرجع!$B$2:$C$11,2)</f>
        <v>3</v>
      </c>
      <c r="V40" s="8" t="str">
        <f>VLOOKUP(U40,[1]المرجع!$D$3:$E$12,2)</f>
        <v>ج</v>
      </c>
      <c r="W40" s="10">
        <f t="shared" si="3"/>
        <v>9</v>
      </c>
      <c r="X40" s="15">
        <v>3</v>
      </c>
      <c r="Y40" s="25">
        <v>75</v>
      </c>
      <c r="Z40" s="11">
        <f>VLOOKUP(Y40,المرجع!$B$2:$C$11,2)</f>
        <v>3.5</v>
      </c>
      <c r="AA40" s="8" t="str">
        <f>VLOOKUP(Z40,[1]المرجع!$D$3:$E$12,2)</f>
        <v>ج+</v>
      </c>
      <c r="AB40" s="10">
        <f t="shared" si="4"/>
        <v>10.5</v>
      </c>
      <c r="AC40" s="15">
        <v>2</v>
      </c>
      <c r="AD40" s="25">
        <v>62</v>
      </c>
      <c r="AE40" s="11">
        <f>VLOOKUP(AD40,المرجع!$B$2:$C$11,2)</f>
        <v>2</v>
      </c>
      <c r="AF40" s="8" t="str">
        <f>VLOOKUP(AE40,[1]المرجع!$D$3:$E$12,2)</f>
        <v>د</v>
      </c>
      <c r="AG40" s="10">
        <f t="shared" si="5"/>
        <v>4</v>
      </c>
      <c r="AH40" s="15">
        <v>2</v>
      </c>
      <c r="AI40" s="25">
        <v>60</v>
      </c>
      <c r="AJ40" s="11">
        <f>VLOOKUP(AI40,المرجع!$B$2:$C$11,2)</f>
        <v>2</v>
      </c>
      <c r="AK40" s="8" t="str">
        <f>VLOOKUP(AJ40,[1]المرجع!$D$3:$E$12,2)</f>
        <v>د</v>
      </c>
      <c r="AL40" s="10">
        <f t="shared" si="6"/>
        <v>4</v>
      </c>
      <c r="AM40" s="15">
        <v>2</v>
      </c>
      <c r="AN40" s="25">
        <v>60</v>
      </c>
      <c r="AO40" s="11">
        <f>VLOOKUP(AN40,المرجع!$B$2:$C$11,2)</f>
        <v>2</v>
      </c>
      <c r="AP40" s="8" t="str">
        <f>VLOOKUP(AO40,[1]المرجع!$D$3:$E$12,2)</f>
        <v>د</v>
      </c>
      <c r="AQ40" s="10">
        <f t="shared" si="7"/>
        <v>4</v>
      </c>
      <c r="AR40" s="15">
        <v>2</v>
      </c>
      <c r="AS40" s="25">
        <v>50</v>
      </c>
      <c r="AT40" s="11">
        <f>VLOOKUP(AS40,المرجع!$B$2:$C$11,2)</f>
        <v>2</v>
      </c>
      <c r="AU40" s="8" t="str">
        <f>VLOOKUP(AT40,[1]المرجع!$D$3:$E$12,2)</f>
        <v>د</v>
      </c>
      <c r="AV40" s="10">
        <f t="shared" si="8"/>
        <v>4</v>
      </c>
      <c r="AW40" s="15">
        <v>2</v>
      </c>
      <c r="AX40" s="25">
        <v>50</v>
      </c>
      <c r="AY40" s="11">
        <f>VLOOKUP(AX40,المرجع!$B$2:$C$11,2)</f>
        <v>2</v>
      </c>
      <c r="AZ40" s="8" t="str">
        <f>VLOOKUP(AY40,[1]المرجع!$D$3:$E$12,2)</f>
        <v>د</v>
      </c>
      <c r="BA40" s="30">
        <f t="shared" si="9"/>
        <v>4</v>
      </c>
      <c r="BB40" s="31">
        <f t="shared" si="10"/>
        <v>44.25</v>
      </c>
      <c r="BC40" s="20">
        <f t="shared" si="11"/>
        <v>22</v>
      </c>
      <c r="BD40" s="21">
        <f t="shared" si="12"/>
        <v>2.0113636363636362</v>
      </c>
      <c r="BE40" s="49">
        <f>(BB40+'المستوى الأول '!BL41)/('المستوى الأول '!BM41+'المستوى الثاني '!BC40)</f>
        <v>2.4166666666666665</v>
      </c>
      <c r="BF40" s="23" t="str">
        <f>VLOOKUP(BE40,المرجع!$D$3:$F$11,3,TRUE)</f>
        <v xml:space="preserve">مقبول مرتفع </v>
      </c>
      <c r="BG40" s="22">
        <f t="shared" si="13"/>
        <v>41</v>
      </c>
    </row>
    <row r="41" spans="2:59" ht="23.5">
      <c r="B41" s="27">
        <v>2024167</v>
      </c>
      <c r="C41" s="28" t="s">
        <v>58</v>
      </c>
      <c r="D41" s="5">
        <v>1</v>
      </c>
      <c r="E41" s="25">
        <v>88</v>
      </c>
      <c r="F41" s="11">
        <f>VLOOKUP(E41,المرجع!$B$2:$C$11,2)</f>
        <v>4.5</v>
      </c>
      <c r="G41" s="8" t="str">
        <f>VLOOKUP(F41,المرجع!$D$2:$E$11,2)</f>
        <v>ب+</v>
      </c>
      <c r="H41" s="10">
        <f t="shared" si="0"/>
        <v>4.5</v>
      </c>
      <c r="I41" s="5">
        <v>2</v>
      </c>
      <c r="J41" s="25">
        <v>57</v>
      </c>
      <c r="K41" s="11">
        <f>VLOOKUP(J41,المرجع!$B$2:$C$11,2)</f>
        <v>2</v>
      </c>
      <c r="L41" s="8" t="str">
        <f>VLOOKUP(K41,[1]المرجع!$D$3:$E$12,2)</f>
        <v>د</v>
      </c>
      <c r="M41" s="10">
        <f t="shared" si="1"/>
        <v>4</v>
      </c>
      <c r="N41" s="15">
        <v>3</v>
      </c>
      <c r="O41" s="25">
        <v>50</v>
      </c>
      <c r="P41" s="11">
        <f>VLOOKUP(O41,المرجع!$B$2:$C$11,2)</f>
        <v>2</v>
      </c>
      <c r="Q41" s="8" t="str">
        <f>VLOOKUP(P41,[1]المرجع!$D$3:$E$12,2)</f>
        <v>د</v>
      </c>
      <c r="R41" s="10">
        <f t="shared" si="2"/>
        <v>6</v>
      </c>
      <c r="S41" s="15">
        <v>3</v>
      </c>
      <c r="T41" s="25">
        <v>70</v>
      </c>
      <c r="U41" s="11">
        <f>VLOOKUP(T41,المرجع!$B$2:$C$11,2)</f>
        <v>3</v>
      </c>
      <c r="V41" s="8" t="str">
        <f>VLOOKUP(U41,[1]المرجع!$D$3:$E$12,2)</f>
        <v>ج</v>
      </c>
      <c r="W41" s="10">
        <f t="shared" si="3"/>
        <v>9</v>
      </c>
      <c r="X41" s="15">
        <v>3</v>
      </c>
      <c r="Y41" s="25">
        <v>65</v>
      </c>
      <c r="Z41" s="11">
        <f>VLOOKUP(Y41,المرجع!$B$2:$C$11,2)</f>
        <v>2.5</v>
      </c>
      <c r="AA41" s="8" t="str">
        <f>VLOOKUP(Z41,[1]المرجع!$D$3:$E$12,2)</f>
        <v>د+</v>
      </c>
      <c r="AB41" s="10">
        <f t="shared" si="4"/>
        <v>7.5</v>
      </c>
      <c r="AC41" s="15">
        <v>2</v>
      </c>
      <c r="AD41" s="25">
        <v>62</v>
      </c>
      <c r="AE41" s="11">
        <f>VLOOKUP(AD41,المرجع!$B$2:$C$11,2)</f>
        <v>2</v>
      </c>
      <c r="AF41" s="8" t="str">
        <f>VLOOKUP(AE41,[1]المرجع!$D$3:$E$12,2)</f>
        <v>د</v>
      </c>
      <c r="AG41" s="10">
        <f t="shared" si="5"/>
        <v>4</v>
      </c>
      <c r="AH41" s="15">
        <v>2</v>
      </c>
      <c r="AI41" s="25">
        <v>70</v>
      </c>
      <c r="AJ41" s="11">
        <f>VLOOKUP(AI41,المرجع!$B$2:$C$11,2)</f>
        <v>3</v>
      </c>
      <c r="AK41" s="8" t="str">
        <f>VLOOKUP(AJ41,[1]المرجع!$D$3:$E$12,2)</f>
        <v>ج</v>
      </c>
      <c r="AL41" s="10">
        <f t="shared" si="6"/>
        <v>6</v>
      </c>
      <c r="AM41" s="15">
        <v>2</v>
      </c>
      <c r="AN41" s="25">
        <v>74</v>
      </c>
      <c r="AO41" s="11">
        <f>VLOOKUP(AN41,المرجع!$B$2:$C$11,2)</f>
        <v>3</v>
      </c>
      <c r="AP41" s="8" t="str">
        <f>VLOOKUP(AO41,[1]المرجع!$D$3:$E$12,2)</f>
        <v>ج</v>
      </c>
      <c r="AQ41" s="10">
        <f t="shared" si="7"/>
        <v>6</v>
      </c>
      <c r="AR41" s="15">
        <v>2</v>
      </c>
      <c r="AS41" s="25">
        <v>50</v>
      </c>
      <c r="AT41" s="11">
        <f>VLOOKUP(AS41,المرجع!$B$2:$C$11,2)</f>
        <v>2</v>
      </c>
      <c r="AU41" s="8" t="str">
        <f>VLOOKUP(AT41,[1]المرجع!$D$3:$E$12,2)</f>
        <v>د</v>
      </c>
      <c r="AV41" s="10">
        <f t="shared" si="8"/>
        <v>4</v>
      </c>
      <c r="AW41" s="15">
        <v>2</v>
      </c>
      <c r="AX41" s="25">
        <v>10</v>
      </c>
      <c r="AY41" s="11">
        <f>VLOOKUP(AX41,المرجع!$B$2:$C$11,2)</f>
        <v>0</v>
      </c>
      <c r="AZ41" s="8" t="str">
        <f>VLOOKUP(AY41,[1]المرجع!$D$3:$E$12,2)</f>
        <v>ه</v>
      </c>
      <c r="BA41" s="30">
        <f t="shared" si="9"/>
        <v>0</v>
      </c>
      <c r="BB41" s="31">
        <f t="shared" si="10"/>
        <v>51</v>
      </c>
      <c r="BC41" s="20">
        <f t="shared" si="11"/>
        <v>22</v>
      </c>
      <c r="BD41" s="21">
        <f t="shared" si="12"/>
        <v>2.3181818181818183</v>
      </c>
      <c r="BE41" s="49">
        <f>(BB41+'المستوى الأول '!BL42)/('المستوى الأول '!BM42+'المستوى الثاني '!BC41)</f>
        <v>2.6</v>
      </c>
      <c r="BF41" s="23" t="str">
        <f>VLOOKUP(BE41,المرجع!$D$3:$F$11,3,TRUE)</f>
        <v xml:space="preserve">جيد </v>
      </c>
      <c r="BG41" s="22">
        <f t="shared" si="13"/>
        <v>38</v>
      </c>
    </row>
    <row r="42" spans="2:59" ht="23.5">
      <c r="B42" s="27">
        <v>2024173</v>
      </c>
      <c r="C42" s="28" t="s">
        <v>49</v>
      </c>
      <c r="D42" s="5">
        <v>1</v>
      </c>
      <c r="E42" s="25">
        <v>84</v>
      </c>
      <c r="F42" s="11">
        <f>VLOOKUP(E42,المرجع!$B$2:$C$11,2)</f>
        <v>4</v>
      </c>
      <c r="G42" s="8" t="str">
        <f>VLOOKUP(F42,المرجع!$D$2:$E$11,2)</f>
        <v>ب</v>
      </c>
      <c r="H42" s="10">
        <f t="shared" si="0"/>
        <v>4</v>
      </c>
      <c r="I42" s="5">
        <v>2</v>
      </c>
      <c r="J42" s="25">
        <v>32</v>
      </c>
      <c r="K42" s="11">
        <f>VLOOKUP(J42,المرجع!$B$2:$C$11,2)</f>
        <v>0</v>
      </c>
      <c r="L42" s="8" t="str">
        <f>VLOOKUP(K42,[1]المرجع!$D$3:$E$12,2)</f>
        <v>ه</v>
      </c>
      <c r="M42" s="10">
        <f t="shared" si="1"/>
        <v>0</v>
      </c>
      <c r="N42" s="15">
        <v>3</v>
      </c>
      <c r="O42" s="25">
        <v>50</v>
      </c>
      <c r="P42" s="11">
        <f>VLOOKUP(O42,المرجع!$B$2:$C$11,2)</f>
        <v>2</v>
      </c>
      <c r="Q42" s="8" t="str">
        <f>VLOOKUP(P42,[1]المرجع!$D$3:$E$12,2)</f>
        <v>د</v>
      </c>
      <c r="R42" s="10">
        <f t="shared" si="2"/>
        <v>6</v>
      </c>
      <c r="S42" s="15">
        <v>3</v>
      </c>
      <c r="T42" s="25">
        <v>72</v>
      </c>
      <c r="U42" s="11">
        <f>VLOOKUP(T42,المرجع!$B$2:$C$11,2)</f>
        <v>3</v>
      </c>
      <c r="V42" s="8" t="str">
        <f>VLOOKUP(U42,[1]المرجع!$D$3:$E$12,2)</f>
        <v>ج</v>
      </c>
      <c r="W42" s="10">
        <f t="shared" si="3"/>
        <v>9</v>
      </c>
      <c r="X42" s="15">
        <v>3</v>
      </c>
      <c r="Y42" s="25">
        <v>55</v>
      </c>
      <c r="Z42" s="11">
        <f>VLOOKUP(Y42,المرجع!$B$2:$C$11,2)</f>
        <v>2</v>
      </c>
      <c r="AA42" s="8" t="str">
        <f>VLOOKUP(Z42,[1]المرجع!$D$3:$E$12,2)</f>
        <v>د</v>
      </c>
      <c r="AB42" s="10">
        <f t="shared" si="4"/>
        <v>6</v>
      </c>
      <c r="AC42" s="15">
        <v>2</v>
      </c>
      <c r="AD42" s="25">
        <v>63</v>
      </c>
      <c r="AE42" s="11">
        <f>VLOOKUP(AD42,المرجع!$B$2:$C$11,2)</f>
        <v>2</v>
      </c>
      <c r="AF42" s="8" t="str">
        <f>VLOOKUP(AE42,[1]المرجع!$D$3:$E$12,2)</f>
        <v>د</v>
      </c>
      <c r="AG42" s="10">
        <f t="shared" si="5"/>
        <v>4</v>
      </c>
      <c r="AH42" s="15">
        <v>2</v>
      </c>
      <c r="AI42" s="25">
        <v>67</v>
      </c>
      <c r="AJ42" s="11">
        <f>VLOOKUP(AI42,المرجع!$B$2:$C$11,2)</f>
        <v>2.5</v>
      </c>
      <c r="AK42" s="8" t="str">
        <f>VLOOKUP(AJ42,[1]المرجع!$D$3:$E$12,2)</f>
        <v>د+</v>
      </c>
      <c r="AL42" s="10">
        <f t="shared" si="6"/>
        <v>5</v>
      </c>
      <c r="AM42" s="15">
        <v>2</v>
      </c>
      <c r="AN42" s="25">
        <v>50</v>
      </c>
      <c r="AO42" s="11">
        <f>VLOOKUP(AN42,المرجع!$B$2:$C$11,2)</f>
        <v>2</v>
      </c>
      <c r="AP42" s="8" t="str">
        <f>VLOOKUP(AO42,[1]المرجع!$D$3:$E$12,2)</f>
        <v>د</v>
      </c>
      <c r="AQ42" s="10">
        <f t="shared" si="7"/>
        <v>4</v>
      </c>
      <c r="AR42" s="15">
        <v>2</v>
      </c>
      <c r="AS42" s="25">
        <v>72</v>
      </c>
      <c r="AT42" s="11">
        <f>VLOOKUP(AS42,المرجع!$B$2:$C$11,2)</f>
        <v>3</v>
      </c>
      <c r="AU42" s="8" t="str">
        <f>VLOOKUP(AT42,[1]المرجع!$D$3:$E$12,2)</f>
        <v>ج</v>
      </c>
      <c r="AV42" s="10">
        <f t="shared" si="8"/>
        <v>6</v>
      </c>
      <c r="AW42" s="15">
        <v>2</v>
      </c>
      <c r="AX42" s="25">
        <v>50</v>
      </c>
      <c r="AY42" s="11">
        <f>VLOOKUP(AX42,المرجع!$B$2:$C$11,2)</f>
        <v>2</v>
      </c>
      <c r="AZ42" s="8" t="str">
        <f>VLOOKUP(AY42,[1]المرجع!$D$3:$E$12,2)</f>
        <v>د</v>
      </c>
      <c r="BA42" s="30">
        <f t="shared" si="9"/>
        <v>4</v>
      </c>
      <c r="BB42" s="31">
        <f t="shared" si="10"/>
        <v>48</v>
      </c>
      <c r="BC42" s="20">
        <f t="shared" si="11"/>
        <v>22</v>
      </c>
      <c r="BD42" s="21">
        <f t="shared" si="12"/>
        <v>2.1818181818181817</v>
      </c>
      <c r="BE42" s="49">
        <f>(BB42+'المستوى الأول '!BL43)/('المستوى الأول '!BM43+'المستوى الثاني '!BC42)</f>
        <v>2.5111111111111111</v>
      </c>
      <c r="BF42" s="23" t="str">
        <f>VLOOKUP(BE42,المرجع!$D$3:$F$11,3,TRUE)</f>
        <v xml:space="preserve">مقبول مرتفع </v>
      </c>
      <c r="BG42" s="22">
        <f t="shared" si="13"/>
        <v>40</v>
      </c>
    </row>
    <row r="43" spans="2:59" ht="23.5">
      <c r="B43" s="27">
        <v>2024300</v>
      </c>
      <c r="C43" s="28" t="s">
        <v>65</v>
      </c>
      <c r="D43" s="5">
        <v>1</v>
      </c>
      <c r="E43" s="25">
        <v>26</v>
      </c>
      <c r="F43" s="11">
        <f>VLOOKUP(E43,المرجع!$B$2:$C$11,2)</f>
        <v>0</v>
      </c>
      <c r="G43" s="8" t="str">
        <f>VLOOKUP(F43,المرجع!$D$2:$E$11,2)</f>
        <v>ه</v>
      </c>
      <c r="H43" s="10">
        <f t="shared" si="0"/>
        <v>0</v>
      </c>
      <c r="I43" s="5">
        <v>2</v>
      </c>
      <c r="J43" s="25">
        <v>22</v>
      </c>
      <c r="K43" s="11">
        <f>VLOOKUP(J43,المرجع!$B$2:$C$11,2)</f>
        <v>0</v>
      </c>
      <c r="L43" s="8" t="str">
        <f>VLOOKUP(K43,[1]المرجع!$D$3:$E$12,2)</f>
        <v>ه</v>
      </c>
      <c r="M43" s="10">
        <f t="shared" si="1"/>
        <v>0</v>
      </c>
      <c r="N43" s="15">
        <v>3</v>
      </c>
      <c r="O43" s="25">
        <v>16</v>
      </c>
      <c r="P43" s="11">
        <f>VLOOKUP(O43,المرجع!$B$2:$C$11,2)</f>
        <v>0</v>
      </c>
      <c r="Q43" s="8" t="str">
        <f>VLOOKUP(P43,[1]المرجع!$D$3:$E$12,2)</f>
        <v>ه</v>
      </c>
      <c r="R43" s="10">
        <f t="shared" si="2"/>
        <v>0</v>
      </c>
      <c r="S43" s="15">
        <v>3</v>
      </c>
      <c r="T43" s="25">
        <v>86</v>
      </c>
      <c r="U43" s="11">
        <f>VLOOKUP(T43,المرجع!$B$2:$C$11,2)</f>
        <v>4.5</v>
      </c>
      <c r="V43" s="8" t="str">
        <f>VLOOKUP(U43,[1]المرجع!$D$3:$E$12,2)</f>
        <v>ب+</v>
      </c>
      <c r="W43" s="10">
        <f t="shared" si="3"/>
        <v>13.5</v>
      </c>
      <c r="X43" s="15">
        <v>3</v>
      </c>
      <c r="Y43" s="25">
        <v>64</v>
      </c>
      <c r="Z43" s="11">
        <f>VLOOKUP(Y43,المرجع!$B$2:$C$11,2)</f>
        <v>2</v>
      </c>
      <c r="AA43" s="8" t="str">
        <f>VLOOKUP(Z43,[1]المرجع!$D$3:$E$12,2)</f>
        <v>د</v>
      </c>
      <c r="AB43" s="10">
        <f t="shared" si="4"/>
        <v>6</v>
      </c>
      <c r="AC43" s="15">
        <v>2</v>
      </c>
      <c r="AD43" s="25">
        <v>63</v>
      </c>
      <c r="AE43" s="11">
        <f>VLOOKUP(AD43,المرجع!$B$2:$C$11,2)</f>
        <v>2</v>
      </c>
      <c r="AF43" s="8" t="str">
        <f>VLOOKUP(AE43,[1]المرجع!$D$3:$E$12,2)</f>
        <v>د</v>
      </c>
      <c r="AG43" s="10">
        <f t="shared" si="5"/>
        <v>4</v>
      </c>
      <c r="AH43" s="15">
        <v>2</v>
      </c>
      <c r="AI43" s="25">
        <v>73</v>
      </c>
      <c r="AJ43" s="11">
        <f>VLOOKUP(AI43,المرجع!$B$2:$C$11,2)</f>
        <v>3</v>
      </c>
      <c r="AK43" s="8" t="str">
        <f>VLOOKUP(AJ43,[1]المرجع!$D$3:$E$12,2)</f>
        <v>ج</v>
      </c>
      <c r="AL43" s="10">
        <f t="shared" si="6"/>
        <v>6</v>
      </c>
      <c r="AM43" s="15">
        <v>2</v>
      </c>
      <c r="AN43" s="25">
        <v>50</v>
      </c>
      <c r="AO43" s="11">
        <f>VLOOKUP(AN43,المرجع!$B$2:$C$11,2)</f>
        <v>2</v>
      </c>
      <c r="AP43" s="8" t="str">
        <f>VLOOKUP(AO43,[1]المرجع!$D$3:$E$12,2)</f>
        <v>د</v>
      </c>
      <c r="AQ43" s="10">
        <f t="shared" si="7"/>
        <v>4</v>
      </c>
      <c r="AR43" s="15">
        <v>2</v>
      </c>
      <c r="AS43" s="25">
        <v>30</v>
      </c>
      <c r="AT43" s="11">
        <f>VLOOKUP(AS43,المرجع!$B$2:$C$11,2)</f>
        <v>0</v>
      </c>
      <c r="AU43" s="8" t="str">
        <f>VLOOKUP(AT43,[1]المرجع!$D$3:$E$12,2)</f>
        <v>ه</v>
      </c>
      <c r="AV43" s="10">
        <f t="shared" si="8"/>
        <v>0</v>
      </c>
      <c r="AW43" s="15">
        <v>2</v>
      </c>
      <c r="AX43" s="25">
        <v>18</v>
      </c>
      <c r="AY43" s="11">
        <f>VLOOKUP(AX43,المرجع!$B$2:$C$11,2)</f>
        <v>0</v>
      </c>
      <c r="AZ43" s="8" t="str">
        <f>VLOOKUP(AY43,[1]المرجع!$D$3:$E$12,2)</f>
        <v>ه</v>
      </c>
      <c r="BA43" s="30">
        <f t="shared" si="9"/>
        <v>0</v>
      </c>
      <c r="BB43" s="31">
        <f t="shared" si="10"/>
        <v>33.5</v>
      </c>
      <c r="BC43" s="20">
        <f t="shared" si="11"/>
        <v>22</v>
      </c>
      <c r="BD43" s="21">
        <f t="shared" si="12"/>
        <v>1.5227272727272727</v>
      </c>
      <c r="BE43" s="49">
        <f>(BB43+'المستوى الأول '!BL44)/('المستوى الأول '!BM44+'المستوى الثاني '!BC43)</f>
        <v>2.1777777777777776</v>
      </c>
      <c r="BF43" s="23" t="str">
        <f>VLOOKUP(BE43,المرجع!$D$3:$F$11,3,TRUE)</f>
        <v xml:space="preserve">مقبول مرتفع </v>
      </c>
      <c r="BG43" s="22">
        <f t="shared" si="13"/>
        <v>42</v>
      </c>
    </row>
    <row r="44" spans="2:59" ht="23.5">
      <c r="B44" s="27">
        <v>2024301</v>
      </c>
      <c r="C44" s="28" t="s">
        <v>59</v>
      </c>
      <c r="D44" s="5">
        <v>1</v>
      </c>
      <c r="E44" s="25">
        <v>50</v>
      </c>
      <c r="F44" s="11">
        <f>VLOOKUP(E44,المرجع!$B$2:$C$11,2)</f>
        <v>2</v>
      </c>
      <c r="G44" s="8" t="str">
        <f>VLOOKUP(F44,المرجع!$D$2:$E$11,2)</f>
        <v>د</v>
      </c>
      <c r="H44" s="10">
        <f t="shared" si="0"/>
        <v>2</v>
      </c>
      <c r="I44" s="5">
        <v>2</v>
      </c>
      <c r="J44" s="25">
        <v>24</v>
      </c>
      <c r="K44" s="11">
        <f>VLOOKUP(J44,المرجع!$B$2:$C$11,2)</f>
        <v>0</v>
      </c>
      <c r="L44" s="8" t="str">
        <f>VLOOKUP(K44,[1]المرجع!$D$3:$E$12,2)</f>
        <v>ه</v>
      </c>
      <c r="M44" s="10">
        <f t="shared" si="1"/>
        <v>0</v>
      </c>
      <c r="N44" s="15">
        <v>3</v>
      </c>
      <c r="O44" s="25">
        <v>20</v>
      </c>
      <c r="P44" s="11">
        <f>VLOOKUP(O44,المرجع!$B$2:$C$11,2)</f>
        <v>0</v>
      </c>
      <c r="Q44" s="8" t="str">
        <f>VLOOKUP(P44,[1]المرجع!$D$3:$E$12,2)</f>
        <v>ه</v>
      </c>
      <c r="R44" s="10">
        <f t="shared" si="2"/>
        <v>0</v>
      </c>
      <c r="S44" s="15">
        <v>3</v>
      </c>
      <c r="T44" s="25">
        <v>60</v>
      </c>
      <c r="U44" s="11">
        <f>VLOOKUP(T44,المرجع!$B$2:$C$11,2)</f>
        <v>2</v>
      </c>
      <c r="V44" s="8" t="str">
        <f>VLOOKUP(U44,[1]المرجع!$D$3:$E$12,2)</f>
        <v>د</v>
      </c>
      <c r="W44" s="10">
        <f t="shared" si="3"/>
        <v>6</v>
      </c>
      <c r="X44" s="15">
        <v>3</v>
      </c>
      <c r="Y44" s="25">
        <v>50</v>
      </c>
      <c r="Z44" s="11">
        <f>VLOOKUP(Y44,المرجع!$B$2:$C$11,2)</f>
        <v>2</v>
      </c>
      <c r="AA44" s="8" t="str">
        <f>VLOOKUP(Z44,[1]المرجع!$D$3:$E$12,2)</f>
        <v>د</v>
      </c>
      <c r="AB44" s="10">
        <f t="shared" si="4"/>
        <v>6</v>
      </c>
      <c r="AC44" s="15">
        <v>2</v>
      </c>
      <c r="AD44" s="25">
        <v>50</v>
      </c>
      <c r="AE44" s="11">
        <f>VLOOKUP(AD44,المرجع!$B$2:$C$11,2)</f>
        <v>2</v>
      </c>
      <c r="AF44" s="8" t="str">
        <f>VLOOKUP(AE44,[1]المرجع!$D$3:$E$12,2)</f>
        <v>د</v>
      </c>
      <c r="AG44" s="10">
        <f t="shared" si="5"/>
        <v>4</v>
      </c>
      <c r="AH44" s="15">
        <v>2</v>
      </c>
      <c r="AI44" s="25">
        <v>67</v>
      </c>
      <c r="AJ44" s="11">
        <f>VLOOKUP(AI44,المرجع!$B$2:$C$11,2)</f>
        <v>2.5</v>
      </c>
      <c r="AK44" s="8" t="str">
        <f>VLOOKUP(AJ44,[1]المرجع!$D$3:$E$12,2)</f>
        <v>د+</v>
      </c>
      <c r="AL44" s="10">
        <f t="shared" si="6"/>
        <v>5</v>
      </c>
      <c r="AM44" s="15">
        <v>2</v>
      </c>
      <c r="AN44" s="25">
        <v>40</v>
      </c>
      <c r="AO44" s="11">
        <f>VLOOKUP(AN44,المرجع!$B$2:$C$11,2)</f>
        <v>0</v>
      </c>
      <c r="AP44" s="8" t="str">
        <f>VLOOKUP(AO44,[1]المرجع!$D$3:$E$12,2)</f>
        <v>ه</v>
      </c>
      <c r="AQ44" s="10">
        <f t="shared" si="7"/>
        <v>0</v>
      </c>
      <c r="AR44" s="15">
        <v>2</v>
      </c>
      <c r="AS44" s="25">
        <v>56</v>
      </c>
      <c r="AT44" s="11">
        <f>VLOOKUP(AS44,المرجع!$B$2:$C$11,2)</f>
        <v>2</v>
      </c>
      <c r="AU44" s="8" t="str">
        <f>VLOOKUP(AT44,[1]المرجع!$D$3:$E$12,2)</f>
        <v>د</v>
      </c>
      <c r="AV44" s="10">
        <f t="shared" si="8"/>
        <v>4</v>
      </c>
      <c r="AW44" s="15">
        <v>2</v>
      </c>
      <c r="AX44" s="25">
        <v>20</v>
      </c>
      <c r="AY44" s="11">
        <f>VLOOKUP(AX44,المرجع!$B$2:$C$11,2)</f>
        <v>0</v>
      </c>
      <c r="AZ44" s="8" t="str">
        <f>VLOOKUP(AY44,[1]المرجع!$D$3:$E$12,2)</f>
        <v>ه</v>
      </c>
      <c r="BA44" s="30">
        <f t="shared" si="9"/>
        <v>0</v>
      </c>
      <c r="BB44" s="31">
        <f t="shared" si="10"/>
        <v>27</v>
      </c>
      <c r="BC44" s="20">
        <f t="shared" si="11"/>
        <v>22</v>
      </c>
      <c r="BD44" s="21">
        <f t="shared" si="12"/>
        <v>1.2272727272727273</v>
      </c>
      <c r="BE44" s="49">
        <f>(BB44+'المستوى الأول '!BL45)/('المستوى الأول '!BM45+'المستوى الثاني '!BC44)</f>
        <v>1.9888888888888889</v>
      </c>
      <c r="BF44" s="23" t="str">
        <f>VLOOKUP(BE44,المرجع!$D$3:$F$11,3,TRUE)</f>
        <v>راسب</v>
      </c>
      <c r="BG44" s="22">
        <f t="shared" si="13"/>
        <v>44</v>
      </c>
    </row>
    <row r="45" spans="2:59" ht="23.5">
      <c r="B45" s="27">
        <v>2024190</v>
      </c>
      <c r="C45" s="28" t="s">
        <v>52</v>
      </c>
      <c r="D45" s="5">
        <v>1</v>
      </c>
      <c r="E45" s="25">
        <v>20</v>
      </c>
      <c r="F45" s="11">
        <f>VLOOKUP(E45,المرجع!$B$2:$C$11,2)</f>
        <v>0</v>
      </c>
      <c r="G45" s="8" t="str">
        <f>VLOOKUP(F45,المرجع!$D$2:$E$11,2)</f>
        <v>ه</v>
      </c>
      <c r="H45" s="10">
        <f t="shared" si="0"/>
        <v>0</v>
      </c>
      <c r="I45" s="5">
        <v>2</v>
      </c>
      <c r="J45" s="25">
        <v>12</v>
      </c>
      <c r="K45" s="11">
        <f>VLOOKUP(J45,المرجع!$B$2:$C$11,2)</f>
        <v>0</v>
      </c>
      <c r="L45" s="8" t="str">
        <f>VLOOKUP(K45,[1]المرجع!$D$3:$E$12,2)</f>
        <v>ه</v>
      </c>
      <c r="M45" s="10">
        <f t="shared" si="1"/>
        <v>0</v>
      </c>
      <c r="N45" s="15">
        <v>3</v>
      </c>
      <c r="O45" s="25">
        <v>26</v>
      </c>
      <c r="P45" s="11">
        <f>VLOOKUP(O45,المرجع!$B$2:$C$11,2)</f>
        <v>0</v>
      </c>
      <c r="Q45" s="8" t="str">
        <f>VLOOKUP(P45,[1]المرجع!$D$3:$E$12,2)</f>
        <v>ه</v>
      </c>
      <c r="R45" s="10">
        <f t="shared" si="2"/>
        <v>0</v>
      </c>
      <c r="S45" s="15">
        <v>3</v>
      </c>
      <c r="T45" s="25">
        <v>74</v>
      </c>
      <c r="U45" s="11">
        <f>VLOOKUP(T45,المرجع!$B$2:$C$11,2)</f>
        <v>3</v>
      </c>
      <c r="V45" s="8" t="str">
        <f>VLOOKUP(U45,[1]المرجع!$D$3:$E$12,2)</f>
        <v>ج</v>
      </c>
      <c r="W45" s="10">
        <f t="shared" si="3"/>
        <v>9</v>
      </c>
      <c r="X45" s="15">
        <v>3</v>
      </c>
      <c r="Y45" s="25">
        <v>10</v>
      </c>
      <c r="Z45" s="11">
        <f>VLOOKUP(Y45,المرجع!$B$2:$C$11,2)</f>
        <v>0</v>
      </c>
      <c r="AA45" s="8" t="str">
        <f>VLOOKUP(Z45,[1]المرجع!$D$3:$E$12,2)</f>
        <v>ه</v>
      </c>
      <c r="AB45" s="10">
        <f t="shared" si="4"/>
        <v>0</v>
      </c>
      <c r="AC45" s="15">
        <v>2</v>
      </c>
      <c r="AD45" s="25">
        <v>50</v>
      </c>
      <c r="AE45" s="11">
        <f>VLOOKUP(AD45,المرجع!$B$2:$C$11,2)</f>
        <v>2</v>
      </c>
      <c r="AF45" s="8" t="str">
        <f>VLOOKUP(AE45,[1]المرجع!$D$3:$E$12,2)</f>
        <v>د</v>
      </c>
      <c r="AG45" s="10">
        <f t="shared" si="5"/>
        <v>4</v>
      </c>
      <c r="AH45" s="15">
        <v>2</v>
      </c>
      <c r="AI45" s="25">
        <v>70</v>
      </c>
      <c r="AJ45" s="11">
        <f>VLOOKUP(AI45,المرجع!$B$2:$C$11,2)</f>
        <v>3</v>
      </c>
      <c r="AK45" s="8" t="str">
        <f>VLOOKUP(AJ45,[1]المرجع!$D$3:$E$12,2)</f>
        <v>ج</v>
      </c>
      <c r="AL45" s="10">
        <f t="shared" si="6"/>
        <v>6</v>
      </c>
      <c r="AM45" s="15">
        <v>2</v>
      </c>
      <c r="AN45" s="25">
        <v>50</v>
      </c>
      <c r="AO45" s="11">
        <f>VLOOKUP(AN45,المرجع!$B$2:$C$11,2)</f>
        <v>2</v>
      </c>
      <c r="AP45" s="8" t="str">
        <f>VLOOKUP(AO45,[1]المرجع!$D$3:$E$12,2)</f>
        <v>د</v>
      </c>
      <c r="AQ45" s="10">
        <f t="shared" si="7"/>
        <v>4</v>
      </c>
      <c r="AR45" s="15">
        <v>2</v>
      </c>
      <c r="AS45" s="25">
        <v>50</v>
      </c>
      <c r="AT45" s="11">
        <f>VLOOKUP(AS45,المرجع!$B$2:$C$11,2)</f>
        <v>2</v>
      </c>
      <c r="AU45" s="8" t="str">
        <f>VLOOKUP(AT45,[1]المرجع!$D$3:$E$12,2)</f>
        <v>د</v>
      </c>
      <c r="AV45" s="10">
        <f t="shared" si="8"/>
        <v>4</v>
      </c>
      <c r="AW45" s="15">
        <v>2</v>
      </c>
      <c r="AX45" s="25">
        <v>61</v>
      </c>
      <c r="AY45" s="11">
        <f>VLOOKUP(AX45,المرجع!$B$2:$C$11,2)</f>
        <v>2</v>
      </c>
      <c r="AZ45" s="8" t="str">
        <f>VLOOKUP(AY45,[1]المرجع!$D$3:$E$12,2)</f>
        <v>د</v>
      </c>
      <c r="BA45" s="30">
        <f t="shared" si="9"/>
        <v>4</v>
      </c>
      <c r="BB45" s="31">
        <f t="shared" si="10"/>
        <v>31</v>
      </c>
      <c r="BC45" s="20">
        <f t="shared" si="11"/>
        <v>22</v>
      </c>
      <c r="BD45" s="21">
        <f t="shared" si="12"/>
        <v>1.4090909090909092</v>
      </c>
      <c r="BE45" s="49">
        <f>(BB45+'المستوى الأول '!BL46)/('المستوى الأول '!BM46+'المستوى الثاني '!BC45)</f>
        <v>2.1111111111111112</v>
      </c>
      <c r="BF45" s="23" t="str">
        <f>VLOOKUP(BE45,المرجع!$D$3:$F$11,3,TRUE)</f>
        <v xml:space="preserve">مقبول مرتفع </v>
      </c>
      <c r="BG45" s="22">
        <f t="shared" si="13"/>
        <v>43</v>
      </c>
    </row>
    <row r="46" spans="2:59" ht="23.5">
      <c r="B46" s="27">
        <v>2024192</v>
      </c>
      <c r="C46" s="28" t="s">
        <v>56</v>
      </c>
      <c r="D46" s="5">
        <v>1</v>
      </c>
      <c r="E46" s="25">
        <v>20</v>
      </c>
      <c r="F46" s="11">
        <f>VLOOKUP(E46,المرجع!$B$2:$C$11,2)</f>
        <v>0</v>
      </c>
      <c r="G46" s="8" t="str">
        <f>VLOOKUP(F46,المرجع!$D$2:$E$11,2)</f>
        <v>ه</v>
      </c>
      <c r="H46" s="10">
        <f t="shared" si="0"/>
        <v>0</v>
      </c>
      <c r="I46" s="5">
        <v>2</v>
      </c>
      <c r="J46" s="25">
        <v>10</v>
      </c>
      <c r="K46" s="11">
        <f>VLOOKUP(J46,المرجع!$B$2:$C$11,2)</f>
        <v>0</v>
      </c>
      <c r="L46" s="8" t="str">
        <f>VLOOKUP(K46,[1]المرجع!$D$3:$E$12,2)</f>
        <v>ه</v>
      </c>
      <c r="M46" s="10">
        <f t="shared" si="1"/>
        <v>0</v>
      </c>
      <c r="N46" s="15">
        <v>3</v>
      </c>
      <c r="O46" s="25">
        <v>21</v>
      </c>
      <c r="P46" s="11">
        <f>VLOOKUP(O46,المرجع!$B$2:$C$11,2)</f>
        <v>0</v>
      </c>
      <c r="Q46" s="8" t="str">
        <f>VLOOKUP(P46,[1]المرجع!$D$3:$E$12,2)</f>
        <v>ه</v>
      </c>
      <c r="R46" s="10">
        <f t="shared" si="2"/>
        <v>0</v>
      </c>
      <c r="S46" s="15">
        <v>3</v>
      </c>
      <c r="T46" s="25">
        <v>61</v>
      </c>
      <c r="U46" s="11">
        <f>VLOOKUP(T46,المرجع!$B$2:$C$11,2)</f>
        <v>2</v>
      </c>
      <c r="V46" s="8" t="str">
        <f>VLOOKUP(U46,[1]المرجع!$D$3:$E$12,2)</f>
        <v>د</v>
      </c>
      <c r="W46" s="10">
        <f t="shared" si="3"/>
        <v>6</v>
      </c>
      <c r="X46" s="15">
        <v>3</v>
      </c>
      <c r="Y46" s="25">
        <v>0</v>
      </c>
      <c r="Z46" s="11">
        <f>VLOOKUP(Y46,المرجع!$B$2:$C$11,2)</f>
        <v>0</v>
      </c>
      <c r="AA46" s="8" t="str">
        <f>VLOOKUP(Z46,[1]المرجع!$D$3:$E$12,2)</f>
        <v>ه</v>
      </c>
      <c r="AB46" s="10">
        <f t="shared" si="4"/>
        <v>0</v>
      </c>
      <c r="AC46" s="15">
        <v>2</v>
      </c>
      <c r="AD46" s="25">
        <v>52</v>
      </c>
      <c r="AE46" s="11">
        <f>VLOOKUP(AD46,المرجع!$B$2:$C$11,2)</f>
        <v>2</v>
      </c>
      <c r="AF46" s="8" t="str">
        <f>VLOOKUP(AE46,[1]المرجع!$D$3:$E$12,2)</f>
        <v>د</v>
      </c>
      <c r="AG46" s="10">
        <f t="shared" si="5"/>
        <v>4</v>
      </c>
      <c r="AH46" s="15">
        <v>2</v>
      </c>
      <c r="AI46" s="25">
        <v>30</v>
      </c>
      <c r="AJ46" s="11">
        <f>VLOOKUP(AI46,المرجع!$B$2:$C$11,2)</f>
        <v>0</v>
      </c>
      <c r="AK46" s="8" t="str">
        <f>VLOOKUP(AJ46,[1]المرجع!$D$3:$E$12,2)</f>
        <v>ه</v>
      </c>
      <c r="AL46" s="10">
        <f t="shared" si="6"/>
        <v>0</v>
      </c>
      <c r="AM46" s="15">
        <v>2</v>
      </c>
      <c r="AN46" s="25">
        <v>60</v>
      </c>
      <c r="AO46" s="11">
        <f>VLOOKUP(AN46,المرجع!$B$2:$C$11,2)</f>
        <v>2</v>
      </c>
      <c r="AP46" s="8" t="str">
        <f>VLOOKUP(AO46,[1]المرجع!$D$3:$E$12,2)</f>
        <v>د</v>
      </c>
      <c r="AQ46" s="10">
        <f t="shared" si="7"/>
        <v>4</v>
      </c>
      <c r="AR46" s="15">
        <v>2</v>
      </c>
      <c r="AS46" s="25">
        <v>55</v>
      </c>
      <c r="AT46" s="11">
        <f>VLOOKUP(AS46,المرجع!$B$2:$C$11,2)</f>
        <v>2</v>
      </c>
      <c r="AU46" s="8" t="str">
        <f>VLOOKUP(AT46,[1]المرجع!$D$3:$E$12,2)</f>
        <v>د</v>
      </c>
      <c r="AV46" s="10">
        <f t="shared" si="8"/>
        <v>4</v>
      </c>
      <c r="AW46" s="15">
        <v>2</v>
      </c>
      <c r="AX46" s="25">
        <v>0</v>
      </c>
      <c r="AY46" s="11">
        <f>VLOOKUP(AX46,المرجع!$B$2:$C$11,2)</f>
        <v>0</v>
      </c>
      <c r="AZ46" s="8" t="str">
        <f>VLOOKUP(AY46,[1]المرجع!$D$3:$E$12,2)</f>
        <v>ه</v>
      </c>
      <c r="BA46" s="30">
        <f t="shared" si="9"/>
        <v>0</v>
      </c>
      <c r="BB46" s="31">
        <f t="shared" si="10"/>
        <v>18</v>
      </c>
      <c r="BC46" s="20">
        <f t="shared" si="11"/>
        <v>22</v>
      </c>
      <c r="BD46" s="21">
        <f t="shared" si="12"/>
        <v>0.81818181818181823</v>
      </c>
      <c r="BE46" s="49">
        <f>(BB46+'المستوى الأول '!BL47)/('المستوى الأول '!BM47+'المستوى الثاني '!BC46)</f>
        <v>1.4944444444444445</v>
      </c>
      <c r="BF46" s="23" t="str">
        <f>VLOOKUP(BE46,المرجع!$D$3:$F$11,3,TRUE)</f>
        <v>راسب</v>
      </c>
      <c r="BG46" s="22">
        <f t="shared" si="13"/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C562-E818-461E-99EA-49586229947F}">
  <sheetPr codeName="ورقة3"/>
  <dimension ref="A1:BF41"/>
  <sheetViews>
    <sheetView rightToLeft="1" topLeftCell="AI1" zoomScale="112" zoomScaleNormal="112" workbookViewId="0">
      <selection activeCell="BC2" sqref="BC2"/>
    </sheetView>
  </sheetViews>
  <sheetFormatPr defaultRowHeight="14.5"/>
  <cols>
    <col min="1" max="1" width="11.1796875" customWidth="1"/>
    <col min="2" max="2" width="20.36328125" style="41" customWidth="1"/>
    <col min="3" max="3" width="4.1796875" style="41" customWidth="1"/>
    <col min="4" max="4" width="5.36328125" customWidth="1"/>
    <col min="5" max="5" width="6" bestFit="1" customWidth="1"/>
    <col min="6" max="7" width="5.36328125" customWidth="1"/>
    <col min="8" max="8" width="4.90625" bestFit="1" customWidth="1"/>
    <col min="9" max="9" width="5.36328125" customWidth="1"/>
    <col min="10" max="10" width="6" bestFit="1" customWidth="1"/>
    <col min="11" max="12" width="5.36328125" customWidth="1"/>
    <col min="13" max="13" width="4.90625" bestFit="1" customWidth="1"/>
    <col min="14" max="14" width="5.36328125" customWidth="1"/>
    <col min="15" max="15" width="6" bestFit="1" customWidth="1"/>
    <col min="16" max="17" width="5.36328125" customWidth="1"/>
    <col min="18" max="18" width="4.90625" bestFit="1" customWidth="1"/>
    <col min="19" max="19" width="5.36328125" customWidth="1"/>
    <col min="20" max="20" width="6" bestFit="1" customWidth="1"/>
    <col min="21" max="22" width="5.36328125" customWidth="1"/>
    <col min="23" max="23" width="4.90625" bestFit="1" customWidth="1"/>
    <col min="24" max="24" width="5.36328125" customWidth="1"/>
    <col min="25" max="25" width="6" bestFit="1" customWidth="1"/>
    <col min="26" max="27" width="5.36328125" customWidth="1"/>
    <col min="28" max="28" width="4.90625" customWidth="1"/>
    <col min="29" max="29" width="5.36328125" customWidth="1"/>
    <col min="30" max="30" width="6" bestFit="1" customWidth="1"/>
    <col min="31" max="34" width="5.36328125" customWidth="1"/>
    <col min="35" max="35" width="6" bestFit="1" customWidth="1"/>
    <col min="36" max="39" width="5.36328125" customWidth="1"/>
    <col min="40" max="40" width="6" bestFit="1" customWidth="1"/>
    <col min="41" max="44" width="5.36328125" customWidth="1"/>
    <col min="45" max="45" width="6" bestFit="1" customWidth="1"/>
    <col min="46" max="49" width="5.36328125" customWidth="1"/>
    <col min="50" max="50" width="6" bestFit="1" customWidth="1"/>
    <col min="51" max="51" width="4.81640625" bestFit="1" customWidth="1"/>
    <col min="52" max="52" width="6.7265625" bestFit="1" customWidth="1"/>
    <col min="53" max="53" width="8.1796875" bestFit="1" customWidth="1"/>
    <col min="54" max="56" width="7.6328125" customWidth="1"/>
    <col min="57" max="57" width="9.7265625" customWidth="1"/>
    <col min="58" max="58" width="5.26953125" bestFit="1" customWidth="1"/>
  </cols>
  <sheetData>
    <row r="1" spans="1:58" ht="92.4" customHeight="1">
      <c r="A1" s="37" t="s">
        <v>0</v>
      </c>
      <c r="B1" s="39" t="s">
        <v>1</v>
      </c>
      <c r="C1" s="42" t="s">
        <v>132</v>
      </c>
      <c r="D1" s="38" t="s">
        <v>2</v>
      </c>
      <c r="E1" s="6" t="s">
        <v>133</v>
      </c>
      <c r="F1" s="44" t="s">
        <v>134</v>
      </c>
      <c r="G1" s="9" t="s">
        <v>135</v>
      </c>
      <c r="H1" s="42" t="s">
        <v>136</v>
      </c>
      <c r="I1" s="38" t="s">
        <v>106</v>
      </c>
      <c r="J1" s="6" t="s">
        <v>137</v>
      </c>
      <c r="K1" s="44" t="s">
        <v>138</v>
      </c>
      <c r="L1" s="9" t="s">
        <v>139</v>
      </c>
      <c r="M1" s="42" t="s">
        <v>140</v>
      </c>
      <c r="N1" s="38" t="s">
        <v>107</v>
      </c>
      <c r="O1" s="6" t="s">
        <v>141</v>
      </c>
      <c r="P1" s="44" t="s">
        <v>142</v>
      </c>
      <c r="Q1" s="9" t="s">
        <v>143</v>
      </c>
      <c r="R1" s="42" t="s">
        <v>144</v>
      </c>
      <c r="S1" s="38" t="s">
        <v>145</v>
      </c>
      <c r="T1" s="6" t="s">
        <v>146</v>
      </c>
      <c r="U1" s="44" t="s">
        <v>147</v>
      </c>
      <c r="V1" s="9" t="s">
        <v>148</v>
      </c>
      <c r="W1" s="42" t="s">
        <v>149</v>
      </c>
      <c r="X1" s="38" t="s">
        <v>109</v>
      </c>
      <c r="Y1" s="6" t="s">
        <v>150</v>
      </c>
      <c r="Z1" s="44" t="s">
        <v>151</v>
      </c>
      <c r="AA1" s="9" t="s">
        <v>152</v>
      </c>
      <c r="AB1" s="42" t="s">
        <v>153</v>
      </c>
      <c r="AC1" s="38" t="s">
        <v>110</v>
      </c>
      <c r="AD1" s="6" t="s">
        <v>154</v>
      </c>
      <c r="AE1" s="44" t="s">
        <v>155</v>
      </c>
      <c r="AF1" s="9" t="s">
        <v>156</v>
      </c>
      <c r="AG1" s="42" t="s">
        <v>157</v>
      </c>
      <c r="AH1" s="38" t="s">
        <v>111</v>
      </c>
      <c r="AI1" s="6" t="s">
        <v>158</v>
      </c>
      <c r="AJ1" s="44" t="s">
        <v>159</v>
      </c>
      <c r="AK1" s="9" t="s">
        <v>160</v>
      </c>
      <c r="AL1" s="42" t="s">
        <v>67</v>
      </c>
      <c r="AM1" s="38" t="s">
        <v>82</v>
      </c>
      <c r="AN1" s="6" t="s">
        <v>161</v>
      </c>
      <c r="AO1" s="44" t="s">
        <v>162</v>
      </c>
      <c r="AP1" s="9" t="s">
        <v>163</v>
      </c>
      <c r="AQ1" s="42" t="s">
        <v>164</v>
      </c>
      <c r="AR1" s="38" t="s">
        <v>112</v>
      </c>
      <c r="AS1" s="6" t="s">
        <v>165</v>
      </c>
      <c r="AT1" s="44" t="s">
        <v>166</v>
      </c>
      <c r="AU1" s="9" t="s">
        <v>167</v>
      </c>
      <c r="AV1" s="42" t="s">
        <v>168</v>
      </c>
      <c r="AW1" s="38" t="s">
        <v>113</v>
      </c>
      <c r="AX1" s="6" t="s">
        <v>169</v>
      </c>
      <c r="AY1" s="44" t="s">
        <v>170</v>
      </c>
      <c r="AZ1" s="9" t="s">
        <v>171</v>
      </c>
      <c r="BA1" s="16" t="s">
        <v>71</v>
      </c>
      <c r="BB1" s="16" t="s">
        <v>72</v>
      </c>
      <c r="BC1" s="16" t="s">
        <v>73</v>
      </c>
      <c r="BD1" s="17" t="s">
        <v>74</v>
      </c>
      <c r="BE1" s="24" t="s">
        <v>75</v>
      </c>
      <c r="BF1" s="16" t="s">
        <v>76</v>
      </c>
    </row>
    <row r="2" spans="1:58" ht="28.5">
      <c r="A2" s="36">
        <v>2024174</v>
      </c>
      <c r="B2" s="40" t="s">
        <v>14</v>
      </c>
      <c r="C2" s="43">
        <v>1</v>
      </c>
      <c r="D2" s="36">
        <v>99</v>
      </c>
      <c r="E2" s="11">
        <f>VLOOKUP(D2,المرجع!$B$2:$C$11,2)</f>
        <v>5</v>
      </c>
      <c r="F2" s="45" t="str">
        <f>VLOOKUP(E2,المرجع!$D$2:$E$11,2)</f>
        <v xml:space="preserve">أ+ </v>
      </c>
      <c r="G2" s="10">
        <f t="shared" ref="G2:G41" si="0">E2*C2</f>
        <v>5</v>
      </c>
      <c r="H2" s="46">
        <v>3</v>
      </c>
      <c r="I2" s="36">
        <v>100</v>
      </c>
      <c r="J2" s="11">
        <f>VLOOKUP(I2,المرجع!$B$2:$C$11,2)</f>
        <v>5</v>
      </c>
      <c r="K2" s="45" t="str">
        <f>VLOOKUP(J2,المرجع!$D$2:$E$11,2)</f>
        <v xml:space="preserve">أ+ </v>
      </c>
      <c r="L2" s="10">
        <f t="shared" ref="L2:L41" si="1">J2*H2</f>
        <v>15</v>
      </c>
      <c r="M2" s="46">
        <v>3</v>
      </c>
      <c r="N2" s="36">
        <v>100</v>
      </c>
      <c r="O2" s="11">
        <f>VLOOKUP(N2,المرجع!$B$2:$C$11,2)</f>
        <v>5</v>
      </c>
      <c r="P2" s="45" t="str">
        <f>VLOOKUP(O2,المرجع!$D$2:$E$11,2)</f>
        <v xml:space="preserve">أ+ </v>
      </c>
      <c r="Q2" s="10">
        <f t="shared" ref="Q2:Q41" si="2">O2*M2</f>
        <v>15</v>
      </c>
      <c r="R2" s="46">
        <v>3</v>
      </c>
      <c r="S2" s="36">
        <v>100</v>
      </c>
      <c r="T2" s="11">
        <f>VLOOKUP(S2,المرجع!$B$2:$C$11,2)</f>
        <v>5</v>
      </c>
      <c r="U2" s="45" t="str">
        <f>VLOOKUP(T2,المرجع!$D$2:$E$11,2)</f>
        <v xml:space="preserve">أ+ </v>
      </c>
      <c r="V2" s="10">
        <f t="shared" ref="V2:V41" si="3">T2*R2</f>
        <v>15</v>
      </c>
      <c r="W2" s="46">
        <v>2</v>
      </c>
      <c r="X2" s="36">
        <v>100</v>
      </c>
      <c r="Y2" s="11">
        <f>VLOOKUP(X2,المرجع!$B$2:$C$11,2)</f>
        <v>5</v>
      </c>
      <c r="Z2" s="45" t="str">
        <f>VLOOKUP(Y2,المرجع!$D$2:$E$11,2)</f>
        <v xml:space="preserve">أ+ </v>
      </c>
      <c r="AA2" s="10">
        <f t="shared" ref="AA2:AA41" si="4">Y2*W2</f>
        <v>10</v>
      </c>
      <c r="AB2" s="43">
        <v>3</v>
      </c>
      <c r="AC2" s="36">
        <v>100</v>
      </c>
      <c r="AD2" s="11">
        <f>VLOOKUP(AC2,المرجع!$B$2:$C$11,2)</f>
        <v>5</v>
      </c>
      <c r="AE2" s="45" t="str">
        <f>VLOOKUP(AD2,المرجع!$D$2:$E$11,2)</f>
        <v xml:space="preserve">أ+ </v>
      </c>
      <c r="AF2" s="10">
        <f t="shared" ref="AF2:AF41" si="5">AD2*AB2</f>
        <v>15</v>
      </c>
      <c r="AG2" s="46">
        <v>2</v>
      </c>
      <c r="AH2" s="36">
        <v>100</v>
      </c>
      <c r="AI2" s="11">
        <f>VLOOKUP(AH2,المرجع!$B$2:$C$11,2)</f>
        <v>5</v>
      </c>
      <c r="AJ2" s="45" t="str">
        <f>VLOOKUP(AI2,المرجع!$D$2:$E$11,2)</f>
        <v xml:space="preserve">أ+ </v>
      </c>
      <c r="AK2" s="10">
        <f t="shared" ref="AK2:AK41" si="6">AI2*AG2</f>
        <v>10</v>
      </c>
      <c r="AL2" s="46">
        <v>2</v>
      </c>
      <c r="AM2" s="36">
        <v>100</v>
      </c>
      <c r="AN2" s="11">
        <f>VLOOKUP(AM2,المرجع!$B$2:$C$11,2)</f>
        <v>5</v>
      </c>
      <c r="AO2" s="45" t="str">
        <f>VLOOKUP(AN2,المرجع!$D$2:$E$11,2)</f>
        <v xml:space="preserve">أ+ </v>
      </c>
      <c r="AP2" s="10">
        <f t="shared" ref="AP2:AP41" si="7">AN2*AL2</f>
        <v>10</v>
      </c>
      <c r="AQ2" s="46">
        <v>2</v>
      </c>
      <c r="AR2" s="36">
        <v>100</v>
      </c>
      <c r="AS2" s="11">
        <f>VLOOKUP(AR2,المرجع!$B$2:$C$11,2)</f>
        <v>5</v>
      </c>
      <c r="AT2" s="45" t="str">
        <f>VLOOKUP(AS2,المرجع!$D$2:$E$11,2)</f>
        <v xml:space="preserve">أ+ </v>
      </c>
      <c r="AU2" s="10">
        <f t="shared" ref="AU2:AU41" si="8">AS2*AQ2</f>
        <v>10</v>
      </c>
      <c r="AV2" s="46">
        <v>2</v>
      </c>
      <c r="AW2" s="36">
        <v>98</v>
      </c>
      <c r="AX2" s="11">
        <f>VLOOKUP(AW2,المرجع!$B$2:$C$11,2)</f>
        <v>5</v>
      </c>
      <c r="AY2" s="45" t="str">
        <f>VLOOKUP(AX2,المرجع!$D$2:$E$11,2)</f>
        <v xml:space="preserve">أ+ </v>
      </c>
      <c r="AZ2" s="10">
        <f t="shared" ref="AZ2:AZ41" si="9">AX2*AV2</f>
        <v>10</v>
      </c>
      <c r="BA2" s="47">
        <f t="shared" ref="BA2:BA41" si="10">AZ2+AU2+AP2+AK2+AF2+AA2+V2+Q2+L2+G2</f>
        <v>115</v>
      </c>
      <c r="BB2" s="20">
        <f t="shared" ref="BB2:BB41" si="11">AV2+AQ2+AL2+AG2+AB2+W2+R2+M2+H2+C2</f>
        <v>23</v>
      </c>
      <c r="BC2" s="21">
        <f t="shared" ref="BC2:BC41" si="12">BA2/BB2</f>
        <v>5</v>
      </c>
      <c r="BD2" s="50">
        <f>(BA2+'المستوى الثاني '!BB2+'المستوى الأول '!BL3)/('المستوى الأول '!BM3+'المستوى الثاني '!BC2+'المستوى الثالث '!BB2)</f>
        <v>4.9852941176470589</v>
      </c>
      <c r="BE2" s="48" t="str">
        <f>VLOOKUP(BD2,المرجع!$D$3:$F$11,3,TRUE)</f>
        <v xml:space="preserve">ممتاز مرتفع </v>
      </c>
      <c r="BF2" s="22">
        <f t="shared" ref="BF2:BF41" si="13">RANK(BD2,$BD$2:$BD$41)</f>
        <v>1</v>
      </c>
    </row>
    <row r="3" spans="1:58" ht="28.5">
      <c r="A3" s="36">
        <v>2024180</v>
      </c>
      <c r="B3" s="40" t="s">
        <v>18</v>
      </c>
      <c r="C3" s="43">
        <v>1</v>
      </c>
      <c r="D3" s="36">
        <v>82</v>
      </c>
      <c r="E3" s="11">
        <f>VLOOKUP(D3,المرجع!$B$2:$C$11,2)</f>
        <v>4</v>
      </c>
      <c r="F3" s="45" t="str">
        <f>VLOOKUP(E3,المرجع!$D$2:$E$11,2)</f>
        <v>ب</v>
      </c>
      <c r="G3" s="10">
        <f t="shared" si="0"/>
        <v>4</v>
      </c>
      <c r="H3" s="46">
        <v>3</v>
      </c>
      <c r="I3" s="36">
        <v>99</v>
      </c>
      <c r="J3" s="11">
        <f>VLOOKUP(I3,المرجع!$B$2:$C$11,2)</f>
        <v>5</v>
      </c>
      <c r="K3" s="45" t="str">
        <f>VLOOKUP(J3,المرجع!$D$2:$E$11,2)</f>
        <v xml:space="preserve">أ+ </v>
      </c>
      <c r="L3" s="10">
        <f t="shared" si="1"/>
        <v>15</v>
      </c>
      <c r="M3" s="46">
        <v>3</v>
      </c>
      <c r="N3" s="36">
        <v>100</v>
      </c>
      <c r="O3" s="11">
        <f>VLOOKUP(N3,المرجع!$B$2:$C$11,2)</f>
        <v>5</v>
      </c>
      <c r="P3" s="45" t="str">
        <f>VLOOKUP(O3,المرجع!$D$2:$E$11,2)</f>
        <v xml:space="preserve">أ+ </v>
      </c>
      <c r="Q3" s="10">
        <f t="shared" si="2"/>
        <v>15</v>
      </c>
      <c r="R3" s="46">
        <v>3</v>
      </c>
      <c r="S3" s="36">
        <v>96</v>
      </c>
      <c r="T3" s="11">
        <f>VLOOKUP(S3,المرجع!$B$2:$C$11,2)</f>
        <v>5</v>
      </c>
      <c r="U3" s="45" t="str">
        <f>VLOOKUP(T3,المرجع!$D$2:$E$11,2)</f>
        <v xml:space="preserve">أ+ </v>
      </c>
      <c r="V3" s="10">
        <f t="shared" si="3"/>
        <v>15</v>
      </c>
      <c r="W3" s="46">
        <v>2</v>
      </c>
      <c r="X3" s="36">
        <v>97</v>
      </c>
      <c r="Y3" s="11">
        <f>VLOOKUP(X3,المرجع!$B$2:$C$11,2)</f>
        <v>5</v>
      </c>
      <c r="Z3" s="45" t="str">
        <f>VLOOKUP(Y3,المرجع!$D$2:$E$11,2)</f>
        <v xml:space="preserve">أ+ </v>
      </c>
      <c r="AA3" s="10">
        <f t="shared" si="4"/>
        <v>10</v>
      </c>
      <c r="AB3" s="43">
        <v>3</v>
      </c>
      <c r="AC3" s="36">
        <v>99</v>
      </c>
      <c r="AD3" s="11">
        <f>VLOOKUP(AC3,المرجع!$B$2:$C$11,2)</f>
        <v>5</v>
      </c>
      <c r="AE3" s="45" t="str">
        <f>VLOOKUP(AD3,المرجع!$D$2:$E$11,2)</f>
        <v xml:space="preserve">أ+ </v>
      </c>
      <c r="AF3" s="10">
        <f t="shared" si="5"/>
        <v>15</v>
      </c>
      <c r="AG3" s="46">
        <v>2</v>
      </c>
      <c r="AH3" s="36">
        <v>90</v>
      </c>
      <c r="AI3" s="11">
        <f>VLOOKUP(AH3,المرجع!$B$2:$C$11,2)</f>
        <v>4.75</v>
      </c>
      <c r="AJ3" s="45" t="str">
        <f>VLOOKUP(AI3,المرجع!$D$2:$E$11,2)</f>
        <v>أ</v>
      </c>
      <c r="AK3" s="10">
        <f t="shared" si="6"/>
        <v>9.5</v>
      </c>
      <c r="AL3" s="46">
        <v>2</v>
      </c>
      <c r="AM3" s="36">
        <v>94</v>
      </c>
      <c r="AN3" s="11">
        <f>VLOOKUP(AM3,المرجع!$B$2:$C$11,2)</f>
        <v>4.75</v>
      </c>
      <c r="AO3" s="45" t="str">
        <f>VLOOKUP(AN3,المرجع!$D$2:$E$11,2)</f>
        <v>أ</v>
      </c>
      <c r="AP3" s="10">
        <f t="shared" si="7"/>
        <v>9.5</v>
      </c>
      <c r="AQ3" s="46">
        <v>2</v>
      </c>
      <c r="AR3" s="36">
        <v>93</v>
      </c>
      <c r="AS3" s="11">
        <f>VLOOKUP(AR3,المرجع!$B$2:$C$11,2)</f>
        <v>4.75</v>
      </c>
      <c r="AT3" s="45" t="str">
        <f>VLOOKUP(AS3,المرجع!$D$2:$E$11,2)</f>
        <v>أ</v>
      </c>
      <c r="AU3" s="10">
        <f t="shared" si="8"/>
        <v>9.5</v>
      </c>
      <c r="AV3" s="46">
        <v>2</v>
      </c>
      <c r="AW3" s="36">
        <v>94</v>
      </c>
      <c r="AX3" s="11">
        <f>VLOOKUP(AW3,المرجع!$B$2:$C$11,2)</f>
        <v>4.75</v>
      </c>
      <c r="AY3" s="45" t="str">
        <f>VLOOKUP(AX3,المرجع!$D$2:$E$11,2)</f>
        <v>أ</v>
      </c>
      <c r="AZ3" s="10">
        <f t="shared" si="9"/>
        <v>9.5</v>
      </c>
      <c r="BA3" s="47">
        <f t="shared" si="10"/>
        <v>112</v>
      </c>
      <c r="BB3" s="20">
        <f t="shared" si="11"/>
        <v>23</v>
      </c>
      <c r="BC3" s="21">
        <f t="shared" si="12"/>
        <v>4.8695652173913047</v>
      </c>
      <c r="BD3" s="50">
        <f>(BA3+'المستوى الثاني '!BB3+'المستوى الأول '!BL4)/('المستوى الأول '!BM4+'المستوى الثاني '!BC3+'المستوى الثالث '!BB3)</f>
        <v>4.8161764705882355</v>
      </c>
      <c r="BE3" s="48" t="str">
        <f>VLOOKUP(BD3,المرجع!$D$3:$F$11,3,TRUE)</f>
        <v xml:space="preserve">ممتاز مرتفع </v>
      </c>
      <c r="BF3" s="22">
        <f t="shared" si="13"/>
        <v>2</v>
      </c>
    </row>
    <row r="4" spans="1:58" ht="28.5">
      <c r="A4" s="36">
        <v>2024178</v>
      </c>
      <c r="B4" s="40" t="s">
        <v>20</v>
      </c>
      <c r="C4" s="43">
        <v>1</v>
      </c>
      <c r="D4" s="36">
        <v>80</v>
      </c>
      <c r="E4" s="11">
        <f>VLOOKUP(D4,المرجع!$B$2:$C$11,2)</f>
        <v>4</v>
      </c>
      <c r="F4" s="45" t="str">
        <f>VLOOKUP(E4,المرجع!$D$2:$E$11,2)</f>
        <v>ب</v>
      </c>
      <c r="G4" s="10">
        <f t="shared" si="0"/>
        <v>4</v>
      </c>
      <c r="H4" s="46">
        <v>3</v>
      </c>
      <c r="I4" s="36">
        <v>97</v>
      </c>
      <c r="J4" s="11">
        <f>VLOOKUP(I4,المرجع!$B$2:$C$11,2)</f>
        <v>5</v>
      </c>
      <c r="K4" s="45" t="str">
        <f>VLOOKUP(J4,المرجع!$D$2:$E$11,2)</f>
        <v xml:space="preserve">أ+ </v>
      </c>
      <c r="L4" s="10">
        <f t="shared" si="1"/>
        <v>15</v>
      </c>
      <c r="M4" s="46">
        <v>3</v>
      </c>
      <c r="N4" s="36">
        <v>97</v>
      </c>
      <c r="O4" s="11">
        <f>VLOOKUP(N4,المرجع!$B$2:$C$11,2)</f>
        <v>5</v>
      </c>
      <c r="P4" s="45" t="str">
        <f>VLOOKUP(O4,المرجع!$D$2:$E$11,2)</f>
        <v xml:space="preserve">أ+ </v>
      </c>
      <c r="Q4" s="10">
        <f t="shared" si="2"/>
        <v>15</v>
      </c>
      <c r="R4" s="46">
        <v>3</v>
      </c>
      <c r="S4" s="36">
        <v>98</v>
      </c>
      <c r="T4" s="11">
        <f>VLOOKUP(S4,المرجع!$B$2:$C$11,2)</f>
        <v>5</v>
      </c>
      <c r="U4" s="45" t="str">
        <f>VLOOKUP(T4,المرجع!$D$2:$E$11,2)</f>
        <v xml:space="preserve">أ+ </v>
      </c>
      <c r="V4" s="10">
        <f t="shared" si="3"/>
        <v>15</v>
      </c>
      <c r="W4" s="46">
        <v>2</v>
      </c>
      <c r="X4" s="36">
        <v>84</v>
      </c>
      <c r="Y4" s="11">
        <f>VLOOKUP(X4,المرجع!$B$2:$C$11,2)</f>
        <v>4</v>
      </c>
      <c r="Z4" s="45" t="str">
        <f>VLOOKUP(Y4,المرجع!$D$2:$E$11,2)</f>
        <v>ب</v>
      </c>
      <c r="AA4" s="10">
        <f t="shared" si="4"/>
        <v>8</v>
      </c>
      <c r="AB4" s="43">
        <v>3</v>
      </c>
      <c r="AC4" s="36">
        <v>100</v>
      </c>
      <c r="AD4" s="11">
        <f>VLOOKUP(AC4,المرجع!$B$2:$C$11,2)</f>
        <v>5</v>
      </c>
      <c r="AE4" s="45" t="str">
        <f>VLOOKUP(AD4,المرجع!$D$2:$E$11,2)</f>
        <v xml:space="preserve">أ+ </v>
      </c>
      <c r="AF4" s="10">
        <f t="shared" si="5"/>
        <v>15</v>
      </c>
      <c r="AG4" s="46">
        <v>2</v>
      </c>
      <c r="AH4" s="36">
        <v>92</v>
      </c>
      <c r="AI4" s="11">
        <f>VLOOKUP(AH4,المرجع!$B$2:$C$11,2)</f>
        <v>4.75</v>
      </c>
      <c r="AJ4" s="45" t="str">
        <f>VLOOKUP(AI4,المرجع!$D$2:$E$11,2)</f>
        <v>أ</v>
      </c>
      <c r="AK4" s="10">
        <f t="shared" si="6"/>
        <v>9.5</v>
      </c>
      <c r="AL4" s="46">
        <v>2</v>
      </c>
      <c r="AM4" s="36">
        <v>87</v>
      </c>
      <c r="AN4" s="11">
        <f>VLOOKUP(AM4,المرجع!$B$2:$C$11,2)</f>
        <v>4.5</v>
      </c>
      <c r="AO4" s="45" t="str">
        <f>VLOOKUP(AN4,المرجع!$D$2:$E$11,2)</f>
        <v>ب+</v>
      </c>
      <c r="AP4" s="10">
        <f t="shared" si="7"/>
        <v>9</v>
      </c>
      <c r="AQ4" s="46">
        <v>2</v>
      </c>
      <c r="AR4" s="36">
        <v>100</v>
      </c>
      <c r="AS4" s="11">
        <f>VLOOKUP(AR4,المرجع!$B$2:$C$11,2)</f>
        <v>5</v>
      </c>
      <c r="AT4" s="45" t="str">
        <f>VLOOKUP(AS4,المرجع!$D$2:$E$11,2)</f>
        <v xml:space="preserve">أ+ </v>
      </c>
      <c r="AU4" s="10">
        <f t="shared" si="8"/>
        <v>10</v>
      </c>
      <c r="AV4" s="46">
        <v>2</v>
      </c>
      <c r="AW4" s="36">
        <v>97</v>
      </c>
      <c r="AX4" s="11">
        <f>VLOOKUP(AW4,المرجع!$B$2:$C$11,2)</f>
        <v>5</v>
      </c>
      <c r="AY4" s="45" t="str">
        <f>VLOOKUP(AX4,المرجع!$D$2:$E$11,2)</f>
        <v xml:space="preserve">أ+ </v>
      </c>
      <c r="AZ4" s="10">
        <f t="shared" si="9"/>
        <v>10</v>
      </c>
      <c r="BA4" s="47">
        <f t="shared" si="10"/>
        <v>110.5</v>
      </c>
      <c r="BB4" s="20">
        <f t="shared" si="11"/>
        <v>23</v>
      </c>
      <c r="BC4" s="21">
        <f t="shared" si="12"/>
        <v>4.8043478260869561</v>
      </c>
      <c r="BD4" s="50">
        <f>(BA4+'المستوى الثاني '!BB5+'المستوى الأول '!BL6)/('المستوى الأول '!BM6+'المستوى الثاني '!BC5+'المستوى الثالث '!BB5)</f>
        <v>4.7830882352941178</v>
      </c>
      <c r="BE4" s="48" t="str">
        <f>VLOOKUP(BD4,المرجع!$D$3:$F$11,3,TRUE)</f>
        <v xml:space="preserve">ممتاز مرتفع </v>
      </c>
      <c r="BF4" s="22">
        <f t="shared" si="13"/>
        <v>3</v>
      </c>
    </row>
    <row r="5" spans="1:58" ht="28.5">
      <c r="A5" s="36">
        <v>2024154</v>
      </c>
      <c r="B5" s="40" t="s">
        <v>15</v>
      </c>
      <c r="C5" s="43">
        <v>1</v>
      </c>
      <c r="D5" s="36">
        <v>95</v>
      </c>
      <c r="E5" s="11">
        <f>VLOOKUP(D5,المرجع!$B$2:$C$11,2)</f>
        <v>5</v>
      </c>
      <c r="F5" s="45" t="str">
        <f>VLOOKUP(E5,المرجع!$D$2:$E$11,2)</f>
        <v xml:space="preserve">أ+ </v>
      </c>
      <c r="G5" s="10">
        <f t="shared" si="0"/>
        <v>5</v>
      </c>
      <c r="H5" s="46">
        <v>3</v>
      </c>
      <c r="I5" s="36">
        <v>100</v>
      </c>
      <c r="J5" s="11">
        <f>VLOOKUP(I5,المرجع!$B$2:$C$11,2)</f>
        <v>5</v>
      </c>
      <c r="K5" s="45" t="str">
        <f>VLOOKUP(J5,المرجع!$D$2:$E$11,2)</f>
        <v xml:space="preserve">أ+ </v>
      </c>
      <c r="L5" s="10">
        <f t="shared" si="1"/>
        <v>15</v>
      </c>
      <c r="M5" s="46">
        <v>3</v>
      </c>
      <c r="N5" s="36">
        <v>100</v>
      </c>
      <c r="O5" s="11">
        <f>VLOOKUP(N5,المرجع!$B$2:$C$11,2)</f>
        <v>5</v>
      </c>
      <c r="P5" s="45" t="str">
        <f>VLOOKUP(O5,المرجع!$D$2:$E$11,2)</f>
        <v xml:space="preserve">أ+ </v>
      </c>
      <c r="Q5" s="10">
        <f t="shared" si="2"/>
        <v>15</v>
      </c>
      <c r="R5" s="46">
        <v>3</v>
      </c>
      <c r="S5" s="36">
        <v>98</v>
      </c>
      <c r="T5" s="11">
        <f>VLOOKUP(S5,المرجع!$B$2:$C$11,2)</f>
        <v>5</v>
      </c>
      <c r="U5" s="45" t="str">
        <f>VLOOKUP(T5,المرجع!$D$2:$E$11,2)</f>
        <v xml:space="preserve">أ+ </v>
      </c>
      <c r="V5" s="10">
        <f t="shared" si="3"/>
        <v>15</v>
      </c>
      <c r="W5" s="46">
        <v>2</v>
      </c>
      <c r="X5" s="36">
        <v>92</v>
      </c>
      <c r="Y5" s="11">
        <f>VLOOKUP(X5,المرجع!$B$2:$C$11,2)</f>
        <v>4.75</v>
      </c>
      <c r="Z5" s="45" t="str">
        <f>VLOOKUP(Y5,المرجع!$D$2:$E$11,2)</f>
        <v>أ</v>
      </c>
      <c r="AA5" s="10">
        <f t="shared" si="4"/>
        <v>9.5</v>
      </c>
      <c r="AB5" s="43">
        <v>3</v>
      </c>
      <c r="AC5" s="36">
        <v>97</v>
      </c>
      <c r="AD5" s="11">
        <f>VLOOKUP(AC5,المرجع!$B$2:$C$11,2)</f>
        <v>5</v>
      </c>
      <c r="AE5" s="45" t="str">
        <f>VLOOKUP(AD5,المرجع!$D$2:$E$11,2)</f>
        <v xml:space="preserve">أ+ </v>
      </c>
      <c r="AF5" s="10">
        <f t="shared" si="5"/>
        <v>15</v>
      </c>
      <c r="AG5" s="46">
        <v>2</v>
      </c>
      <c r="AH5" s="36">
        <v>99</v>
      </c>
      <c r="AI5" s="11">
        <f>VLOOKUP(AH5,المرجع!$B$2:$C$11,2)</f>
        <v>5</v>
      </c>
      <c r="AJ5" s="45" t="str">
        <f>VLOOKUP(AI5,المرجع!$D$2:$E$11,2)</f>
        <v xml:space="preserve">أ+ </v>
      </c>
      <c r="AK5" s="10">
        <f t="shared" si="6"/>
        <v>10</v>
      </c>
      <c r="AL5" s="46">
        <v>2</v>
      </c>
      <c r="AM5" s="36">
        <v>89</v>
      </c>
      <c r="AN5" s="11">
        <f>VLOOKUP(AM5,المرجع!$B$2:$C$11,2)</f>
        <v>4.5</v>
      </c>
      <c r="AO5" s="45" t="str">
        <f>VLOOKUP(AN5,المرجع!$D$2:$E$11,2)</f>
        <v>ب+</v>
      </c>
      <c r="AP5" s="10">
        <f t="shared" si="7"/>
        <v>9</v>
      </c>
      <c r="AQ5" s="46">
        <v>2</v>
      </c>
      <c r="AR5" s="36">
        <v>89</v>
      </c>
      <c r="AS5" s="11">
        <f>VLOOKUP(AR5,المرجع!$B$2:$C$11,2)</f>
        <v>4.5</v>
      </c>
      <c r="AT5" s="45" t="str">
        <f>VLOOKUP(AS5,المرجع!$D$2:$E$11,2)</f>
        <v>ب+</v>
      </c>
      <c r="AU5" s="10">
        <f t="shared" si="8"/>
        <v>9</v>
      </c>
      <c r="AV5" s="46">
        <v>2</v>
      </c>
      <c r="AW5" s="36">
        <v>82</v>
      </c>
      <c r="AX5" s="11">
        <f>VLOOKUP(AW5,المرجع!$B$2:$C$11,2)</f>
        <v>4</v>
      </c>
      <c r="AY5" s="45" t="str">
        <f>VLOOKUP(AX5,المرجع!$D$2:$E$11,2)</f>
        <v>ب</v>
      </c>
      <c r="AZ5" s="10">
        <f t="shared" si="9"/>
        <v>8</v>
      </c>
      <c r="BA5" s="47">
        <f t="shared" si="10"/>
        <v>110.5</v>
      </c>
      <c r="BB5" s="20">
        <f t="shared" si="11"/>
        <v>23</v>
      </c>
      <c r="BC5" s="21">
        <f t="shared" si="12"/>
        <v>4.8043478260869561</v>
      </c>
      <c r="BD5" s="50">
        <f>(BA5+'المستوى الثاني '!BB4+'المستوى الأول '!BL5)/('المستوى الأول '!BM5+'المستوى الثاني '!BC4+'المستوى الثالث '!BB4)</f>
        <v>4.7757352941176467</v>
      </c>
      <c r="BE5" s="48" t="str">
        <f>VLOOKUP(BD5,المرجع!$D$3:$F$11,3,TRUE)</f>
        <v xml:space="preserve">ممتاز مرتفع </v>
      </c>
      <c r="BF5" s="22">
        <f t="shared" si="13"/>
        <v>4</v>
      </c>
    </row>
    <row r="6" spans="1:58" ht="28.5">
      <c r="A6" s="36">
        <v>2024209</v>
      </c>
      <c r="B6" s="40" t="s">
        <v>26</v>
      </c>
      <c r="C6" s="43">
        <v>1</v>
      </c>
      <c r="D6" s="36">
        <v>99</v>
      </c>
      <c r="E6" s="11">
        <f>VLOOKUP(D6,المرجع!$B$2:$C$11,2)</f>
        <v>5</v>
      </c>
      <c r="F6" s="45" t="str">
        <f>VLOOKUP(E6,المرجع!$D$2:$E$11,2)</f>
        <v xml:space="preserve">أ+ </v>
      </c>
      <c r="G6" s="10">
        <f t="shared" si="0"/>
        <v>5</v>
      </c>
      <c r="H6" s="46">
        <v>3</v>
      </c>
      <c r="I6" s="36">
        <v>98</v>
      </c>
      <c r="J6" s="11">
        <f>VLOOKUP(I6,المرجع!$B$2:$C$11,2)</f>
        <v>5</v>
      </c>
      <c r="K6" s="45" t="str">
        <f>VLOOKUP(J6,المرجع!$D$2:$E$11,2)</f>
        <v xml:space="preserve">أ+ </v>
      </c>
      <c r="L6" s="10">
        <f t="shared" si="1"/>
        <v>15</v>
      </c>
      <c r="M6" s="46">
        <v>3</v>
      </c>
      <c r="N6" s="36">
        <v>99</v>
      </c>
      <c r="O6" s="11">
        <f>VLOOKUP(N6,المرجع!$B$2:$C$11,2)</f>
        <v>5</v>
      </c>
      <c r="P6" s="45" t="str">
        <f>VLOOKUP(O6,المرجع!$D$2:$E$11,2)</f>
        <v xml:space="preserve">أ+ </v>
      </c>
      <c r="Q6" s="10">
        <f t="shared" si="2"/>
        <v>15</v>
      </c>
      <c r="R6" s="46">
        <v>3</v>
      </c>
      <c r="S6" s="36">
        <v>100</v>
      </c>
      <c r="T6" s="11">
        <f>VLOOKUP(S6,المرجع!$B$2:$C$11,2)</f>
        <v>5</v>
      </c>
      <c r="U6" s="45" t="str">
        <f>VLOOKUP(T6,المرجع!$D$2:$E$11,2)</f>
        <v xml:space="preserve">أ+ </v>
      </c>
      <c r="V6" s="10">
        <f t="shared" si="3"/>
        <v>15</v>
      </c>
      <c r="W6" s="46">
        <v>2</v>
      </c>
      <c r="X6" s="36">
        <v>97</v>
      </c>
      <c r="Y6" s="11">
        <f>VLOOKUP(X6,المرجع!$B$2:$C$11,2)</f>
        <v>5</v>
      </c>
      <c r="Z6" s="45" t="str">
        <f>VLOOKUP(Y6,المرجع!$D$2:$E$11,2)</f>
        <v xml:space="preserve">أ+ </v>
      </c>
      <c r="AA6" s="10">
        <f t="shared" si="4"/>
        <v>10</v>
      </c>
      <c r="AB6" s="43">
        <v>3</v>
      </c>
      <c r="AC6" s="36">
        <v>100</v>
      </c>
      <c r="AD6" s="11">
        <f>VLOOKUP(AC6,المرجع!$B$2:$C$11,2)</f>
        <v>5</v>
      </c>
      <c r="AE6" s="45" t="str">
        <f>VLOOKUP(AD6,المرجع!$D$2:$E$11,2)</f>
        <v xml:space="preserve">أ+ </v>
      </c>
      <c r="AF6" s="10">
        <f t="shared" si="5"/>
        <v>15</v>
      </c>
      <c r="AG6" s="46">
        <v>2</v>
      </c>
      <c r="AH6" s="36">
        <v>100</v>
      </c>
      <c r="AI6" s="11">
        <f>VLOOKUP(AH6,المرجع!$B$2:$C$11,2)</f>
        <v>5</v>
      </c>
      <c r="AJ6" s="45" t="str">
        <f>VLOOKUP(AI6,المرجع!$D$2:$E$11,2)</f>
        <v xml:space="preserve">أ+ </v>
      </c>
      <c r="AK6" s="10">
        <f t="shared" si="6"/>
        <v>10</v>
      </c>
      <c r="AL6" s="46">
        <v>2</v>
      </c>
      <c r="AM6" s="36">
        <v>99</v>
      </c>
      <c r="AN6" s="11">
        <f>VLOOKUP(AM6,المرجع!$B$2:$C$11,2)</f>
        <v>5</v>
      </c>
      <c r="AO6" s="45" t="str">
        <f>VLOOKUP(AN6,المرجع!$D$2:$E$11,2)</f>
        <v xml:space="preserve">أ+ </v>
      </c>
      <c r="AP6" s="10">
        <f t="shared" si="7"/>
        <v>10</v>
      </c>
      <c r="AQ6" s="46">
        <v>2</v>
      </c>
      <c r="AR6" s="36">
        <v>86</v>
      </c>
      <c r="AS6" s="11">
        <f>VLOOKUP(AR6,المرجع!$B$2:$C$11,2)</f>
        <v>4.5</v>
      </c>
      <c r="AT6" s="45" t="str">
        <f>VLOOKUP(AS6,المرجع!$D$2:$E$11,2)</f>
        <v>ب+</v>
      </c>
      <c r="AU6" s="10">
        <f t="shared" si="8"/>
        <v>9</v>
      </c>
      <c r="AV6" s="46">
        <v>2</v>
      </c>
      <c r="AW6" s="36">
        <v>74</v>
      </c>
      <c r="AX6" s="11">
        <f>VLOOKUP(AW6,المرجع!$B$2:$C$11,2)</f>
        <v>3</v>
      </c>
      <c r="AY6" s="45" t="str">
        <f>VLOOKUP(AX6,المرجع!$D$2:$E$11,2)</f>
        <v>ج</v>
      </c>
      <c r="AZ6" s="10">
        <f t="shared" si="9"/>
        <v>6</v>
      </c>
      <c r="BA6" s="47">
        <f t="shared" si="10"/>
        <v>110</v>
      </c>
      <c r="BB6" s="20">
        <f t="shared" si="11"/>
        <v>23</v>
      </c>
      <c r="BC6" s="21">
        <f t="shared" si="12"/>
        <v>4.7826086956521738</v>
      </c>
      <c r="BD6" s="50">
        <f>(BA6+'المستوى الثاني '!BB6+'المستوى الأول '!BL7)/('المستوى الأول '!BM7+'المستوى الثاني '!BC6+'المستوى الثالث '!BB6)</f>
        <v>4.7169117647058822</v>
      </c>
      <c r="BE6" s="48" t="str">
        <f>VLOOKUP(BD6,المرجع!$D$3:$F$11,3,TRUE)</f>
        <v xml:space="preserve">ممتاز </v>
      </c>
      <c r="BF6" s="22">
        <f t="shared" si="13"/>
        <v>5</v>
      </c>
    </row>
    <row r="7" spans="1:58" ht="28.5">
      <c r="A7" s="36">
        <v>2024153</v>
      </c>
      <c r="B7" s="40" t="s">
        <v>16</v>
      </c>
      <c r="C7" s="43">
        <v>1</v>
      </c>
      <c r="D7" s="36">
        <v>94</v>
      </c>
      <c r="E7" s="11">
        <f>VLOOKUP(D7,المرجع!$B$2:$C$11,2)</f>
        <v>4.75</v>
      </c>
      <c r="F7" s="45" t="str">
        <f>VLOOKUP(E7,المرجع!$D$2:$E$11,2)</f>
        <v>أ</v>
      </c>
      <c r="G7" s="10">
        <f t="shared" si="0"/>
        <v>4.75</v>
      </c>
      <c r="H7" s="46">
        <v>3</v>
      </c>
      <c r="I7" s="36">
        <v>100</v>
      </c>
      <c r="J7" s="11">
        <f>VLOOKUP(I7,المرجع!$B$2:$C$11,2)</f>
        <v>5</v>
      </c>
      <c r="K7" s="45" t="str">
        <f>VLOOKUP(J7,المرجع!$D$2:$E$11,2)</f>
        <v xml:space="preserve">أ+ </v>
      </c>
      <c r="L7" s="10">
        <f t="shared" si="1"/>
        <v>15</v>
      </c>
      <c r="M7" s="46">
        <v>3</v>
      </c>
      <c r="N7" s="36">
        <v>100</v>
      </c>
      <c r="O7" s="11">
        <f>VLOOKUP(N7,المرجع!$B$2:$C$11,2)</f>
        <v>5</v>
      </c>
      <c r="P7" s="45" t="str">
        <f>VLOOKUP(O7,المرجع!$D$2:$E$11,2)</f>
        <v xml:space="preserve">أ+ </v>
      </c>
      <c r="Q7" s="10">
        <f t="shared" si="2"/>
        <v>15</v>
      </c>
      <c r="R7" s="46">
        <v>3</v>
      </c>
      <c r="S7" s="36">
        <v>98</v>
      </c>
      <c r="T7" s="11">
        <f>VLOOKUP(S7,المرجع!$B$2:$C$11,2)</f>
        <v>5</v>
      </c>
      <c r="U7" s="45" t="str">
        <f>VLOOKUP(T7,المرجع!$D$2:$E$11,2)</f>
        <v xml:space="preserve">أ+ </v>
      </c>
      <c r="V7" s="10">
        <f t="shared" si="3"/>
        <v>15</v>
      </c>
      <c r="W7" s="46">
        <v>2</v>
      </c>
      <c r="X7" s="36">
        <v>87</v>
      </c>
      <c r="Y7" s="11">
        <f>VLOOKUP(X7,المرجع!$B$2:$C$11,2)</f>
        <v>4.5</v>
      </c>
      <c r="Z7" s="45" t="str">
        <f>VLOOKUP(Y7,المرجع!$D$2:$E$11,2)</f>
        <v>ب+</v>
      </c>
      <c r="AA7" s="10">
        <f t="shared" si="4"/>
        <v>9</v>
      </c>
      <c r="AB7" s="43">
        <v>3</v>
      </c>
      <c r="AC7" s="36">
        <v>100</v>
      </c>
      <c r="AD7" s="11">
        <f>VLOOKUP(AC7,المرجع!$B$2:$C$11,2)</f>
        <v>5</v>
      </c>
      <c r="AE7" s="45" t="str">
        <f>VLOOKUP(AD7,المرجع!$D$2:$E$11,2)</f>
        <v xml:space="preserve">أ+ </v>
      </c>
      <c r="AF7" s="10">
        <f t="shared" si="5"/>
        <v>15</v>
      </c>
      <c r="AG7" s="46">
        <v>2</v>
      </c>
      <c r="AH7" s="36">
        <v>98</v>
      </c>
      <c r="AI7" s="11">
        <f>VLOOKUP(AH7,المرجع!$B$2:$C$11,2)</f>
        <v>5</v>
      </c>
      <c r="AJ7" s="45" t="str">
        <f>VLOOKUP(AI7,المرجع!$D$2:$E$11,2)</f>
        <v xml:space="preserve">أ+ </v>
      </c>
      <c r="AK7" s="10">
        <f t="shared" si="6"/>
        <v>10</v>
      </c>
      <c r="AL7" s="46">
        <v>2</v>
      </c>
      <c r="AM7" s="36">
        <v>96</v>
      </c>
      <c r="AN7" s="11">
        <f>VLOOKUP(AM7,المرجع!$B$2:$C$11,2)</f>
        <v>5</v>
      </c>
      <c r="AO7" s="45" t="str">
        <f>VLOOKUP(AN7,المرجع!$D$2:$E$11,2)</f>
        <v xml:space="preserve">أ+ </v>
      </c>
      <c r="AP7" s="10">
        <f t="shared" si="7"/>
        <v>10</v>
      </c>
      <c r="AQ7" s="46">
        <v>2</v>
      </c>
      <c r="AR7" s="36">
        <v>92</v>
      </c>
      <c r="AS7" s="11">
        <f>VLOOKUP(AR7,المرجع!$B$2:$C$11,2)</f>
        <v>4.75</v>
      </c>
      <c r="AT7" s="45" t="str">
        <f>VLOOKUP(AS7,المرجع!$D$2:$E$11,2)</f>
        <v>أ</v>
      </c>
      <c r="AU7" s="10">
        <f t="shared" si="8"/>
        <v>9.5</v>
      </c>
      <c r="AV7" s="46">
        <v>2</v>
      </c>
      <c r="AW7" s="36">
        <v>72</v>
      </c>
      <c r="AX7" s="11">
        <f>VLOOKUP(AW7,المرجع!$B$2:$C$11,2)</f>
        <v>3</v>
      </c>
      <c r="AY7" s="45" t="str">
        <f>VLOOKUP(AX7,المرجع!$D$2:$E$11,2)</f>
        <v>ج</v>
      </c>
      <c r="AZ7" s="10">
        <f t="shared" si="9"/>
        <v>6</v>
      </c>
      <c r="BA7" s="47">
        <f t="shared" si="10"/>
        <v>109.25</v>
      </c>
      <c r="BB7" s="20">
        <f t="shared" si="11"/>
        <v>23</v>
      </c>
      <c r="BC7" s="21">
        <f t="shared" si="12"/>
        <v>4.75</v>
      </c>
      <c r="BD7" s="50">
        <f>(BA7+'المستوى الثاني '!BB7+'المستوى الأول '!BL8)/('المستوى الأول '!BM8+'المستوى الثاني '!BC7+'المستوى الثالث '!BB7)</f>
        <v>4.6433823529411766</v>
      </c>
      <c r="BE7" s="48" t="str">
        <f>VLOOKUP(BD7,المرجع!$D$3:$F$11,3,TRUE)</f>
        <v xml:space="preserve">ممتاز </v>
      </c>
      <c r="BF7" s="22">
        <f t="shared" si="13"/>
        <v>6</v>
      </c>
    </row>
    <row r="8" spans="1:58" ht="28.5">
      <c r="A8" s="36">
        <v>2024156</v>
      </c>
      <c r="B8" s="40" t="s">
        <v>23</v>
      </c>
      <c r="C8" s="43">
        <v>1</v>
      </c>
      <c r="D8" s="36">
        <v>95</v>
      </c>
      <c r="E8" s="11">
        <f>VLOOKUP(D8,المرجع!$B$2:$C$11,2)</f>
        <v>5</v>
      </c>
      <c r="F8" s="45" t="str">
        <f>VLOOKUP(E8,المرجع!$D$2:$E$11,2)</f>
        <v xml:space="preserve">أ+ </v>
      </c>
      <c r="G8" s="10">
        <f t="shared" si="0"/>
        <v>5</v>
      </c>
      <c r="H8" s="46">
        <v>3</v>
      </c>
      <c r="I8" s="36">
        <v>100</v>
      </c>
      <c r="J8" s="11">
        <f>VLOOKUP(I8,المرجع!$B$2:$C$11,2)</f>
        <v>5</v>
      </c>
      <c r="K8" s="45" t="str">
        <f>VLOOKUP(J8,المرجع!$D$2:$E$11,2)</f>
        <v xml:space="preserve">أ+ </v>
      </c>
      <c r="L8" s="10">
        <f t="shared" si="1"/>
        <v>15</v>
      </c>
      <c r="M8" s="46">
        <v>3</v>
      </c>
      <c r="N8" s="36">
        <v>94</v>
      </c>
      <c r="O8" s="11">
        <f>VLOOKUP(N8,المرجع!$B$2:$C$11,2)</f>
        <v>4.75</v>
      </c>
      <c r="P8" s="45" t="str">
        <f>VLOOKUP(O8,المرجع!$D$2:$E$11,2)</f>
        <v>أ</v>
      </c>
      <c r="Q8" s="10">
        <f t="shared" si="2"/>
        <v>14.25</v>
      </c>
      <c r="R8" s="46">
        <v>3</v>
      </c>
      <c r="S8" s="36">
        <v>98</v>
      </c>
      <c r="T8" s="11">
        <f>VLOOKUP(S8,المرجع!$B$2:$C$11,2)</f>
        <v>5</v>
      </c>
      <c r="U8" s="45" t="str">
        <f>VLOOKUP(T8,المرجع!$D$2:$E$11,2)</f>
        <v xml:space="preserve">أ+ </v>
      </c>
      <c r="V8" s="10">
        <f t="shared" si="3"/>
        <v>15</v>
      </c>
      <c r="W8" s="46">
        <v>2</v>
      </c>
      <c r="X8" s="36">
        <v>87</v>
      </c>
      <c r="Y8" s="11">
        <f>VLOOKUP(X8,المرجع!$B$2:$C$11,2)</f>
        <v>4.5</v>
      </c>
      <c r="Z8" s="45" t="str">
        <f>VLOOKUP(Y8,المرجع!$D$2:$E$11,2)</f>
        <v>ب+</v>
      </c>
      <c r="AA8" s="10">
        <f t="shared" si="4"/>
        <v>9</v>
      </c>
      <c r="AB8" s="43">
        <v>3</v>
      </c>
      <c r="AC8" s="36">
        <v>98</v>
      </c>
      <c r="AD8" s="11">
        <f>VLOOKUP(AC8,المرجع!$B$2:$C$11,2)</f>
        <v>5</v>
      </c>
      <c r="AE8" s="45" t="str">
        <f>VLOOKUP(AD8,المرجع!$D$2:$E$11,2)</f>
        <v xml:space="preserve">أ+ </v>
      </c>
      <c r="AF8" s="10">
        <f t="shared" si="5"/>
        <v>15</v>
      </c>
      <c r="AG8" s="46">
        <v>2</v>
      </c>
      <c r="AH8" s="36">
        <v>100</v>
      </c>
      <c r="AI8" s="11">
        <f>VLOOKUP(AH8,المرجع!$B$2:$C$11,2)</f>
        <v>5</v>
      </c>
      <c r="AJ8" s="45" t="str">
        <f>VLOOKUP(AI8,المرجع!$D$2:$E$11,2)</f>
        <v xml:space="preserve">أ+ </v>
      </c>
      <c r="AK8" s="10">
        <f t="shared" si="6"/>
        <v>10</v>
      </c>
      <c r="AL8" s="46">
        <v>2</v>
      </c>
      <c r="AM8" s="36">
        <v>74</v>
      </c>
      <c r="AN8" s="11">
        <f>VLOOKUP(AM8,المرجع!$B$2:$C$11,2)</f>
        <v>3</v>
      </c>
      <c r="AO8" s="45" t="str">
        <f>VLOOKUP(AN8,المرجع!$D$2:$E$11,2)</f>
        <v>ج</v>
      </c>
      <c r="AP8" s="10">
        <f t="shared" si="7"/>
        <v>6</v>
      </c>
      <c r="AQ8" s="46">
        <v>2</v>
      </c>
      <c r="AR8" s="36">
        <v>95</v>
      </c>
      <c r="AS8" s="11">
        <f>VLOOKUP(AR8,المرجع!$B$2:$C$11,2)</f>
        <v>5</v>
      </c>
      <c r="AT8" s="45" t="str">
        <f>VLOOKUP(AS8,المرجع!$D$2:$E$11,2)</f>
        <v xml:space="preserve">أ+ </v>
      </c>
      <c r="AU8" s="10">
        <f t="shared" si="8"/>
        <v>10</v>
      </c>
      <c r="AV8" s="46">
        <v>2</v>
      </c>
      <c r="AW8" s="36">
        <v>79</v>
      </c>
      <c r="AX8" s="11">
        <f>VLOOKUP(AW8,المرجع!$B$2:$C$11,2)</f>
        <v>3.5</v>
      </c>
      <c r="AY8" s="45" t="str">
        <f>VLOOKUP(AX8,المرجع!$D$2:$E$11,2)</f>
        <v>ج+</v>
      </c>
      <c r="AZ8" s="10">
        <f t="shared" si="9"/>
        <v>7</v>
      </c>
      <c r="BA8" s="47">
        <f t="shared" si="10"/>
        <v>106.25</v>
      </c>
      <c r="BB8" s="20">
        <f t="shared" si="11"/>
        <v>23</v>
      </c>
      <c r="BC8" s="21">
        <f t="shared" si="12"/>
        <v>4.6195652173913047</v>
      </c>
      <c r="BD8" s="50">
        <f>(BA8+'المستوى الثاني '!BB8+'المستوى الأول '!BL9)/('المستوى الأول '!BM9+'المستوى الثاني '!BC8+'المستوى الثالث '!BB8)</f>
        <v>4.555147058823529</v>
      </c>
      <c r="BE8" s="48" t="str">
        <f>VLOOKUP(BD8,المرجع!$D$3:$F$11,3,TRUE)</f>
        <v>جيد جد مرتفع</v>
      </c>
      <c r="BF8" s="22">
        <f t="shared" si="13"/>
        <v>7</v>
      </c>
    </row>
    <row r="9" spans="1:58" ht="28.5">
      <c r="A9" s="36">
        <v>2024210</v>
      </c>
      <c r="B9" s="40" t="s">
        <v>28</v>
      </c>
      <c r="C9" s="43">
        <v>1</v>
      </c>
      <c r="D9" s="36">
        <v>98</v>
      </c>
      <c r="E9" s="11">
        <f>VLOOKUP(D9,المرجع!$B$2:$C$11,2)</f>
        <v>5</v>
      </c>
      <c r="F9" s="45" t="str">
        <f>VLOOKUP(E9,المرجع!$D$2:$E$11,2)</f>
        <v xml:space="preserve">أ+ </v>
      </c>
      <c r="G9" s="10">
        <f t="shared" si="0"/>
        <v>5</v>
      </c>
      <c r="H9" s="46">
        <v>3</v>
      </c>
      <c r="I9" s="36">
        <v>98</v>
      </c>
      <c r="J9" s="11">
        <f>VLOOKUP(I9,المرجع!$B$2:$C$11,2)</f>
        <v>5</v>
      </c>
      <c r="K9" s="45" t="str">
        <f>VLOOKUP(J9,المرجع!$D$2:$E$11,2)</f>
        <v xml:space="preserve">أ+ </v>
      </c>
      <c r="L9" s="10">
        <f t="shared" si="1"/>
        <v>15</v>
      </c>
      <c r="M9" s="46">
        <v>3</v>
      </c>
      <c r="N9" s="36">
        <v>97</v>
      </c>
      <c r="O9" s="11">
        <f>VLOOKUP(N9,المرجع!$B$2:$C$11,2)</f>
        <v>5</v>
      </c>
      <c r="P9" s="45" t="str">
        <f>VLOOKUP(O9,المرجع!$D$2:$E$11,2)</f>
        <v xml:space="preserve">أ+ </v>
      </c>
      <c r="Q9" s="10">
        <f t="shared" si="2"/>
        <v>15</v>
      </c>
      <c r="R9" s="46">
        <v>3</v>
      </c>
      <c r="S9" s="36">
        <v>98</v>
      </c>
      <c r="T9" s="11">
        <f>VLOOKUP(S9,المرجع!$B$2:$C$11,2)</f>
        <v>5</v>
      </c>
      <c r="U9" s="45" t="str">
        <f>VLOOKUP(T9,المرجع!$D$2:$E$11,2)</f>
        <v xml:space="preserve">أ+ </v>
      </c>
      <c r="V9" s="10">
        <f t="shared" si="3"/>
        <v>15</v>
      </c>
      <c r="W9" s="46">
        <v>2</v>
      </c>
      <c r="X9" s="36">
        <v>81</v>
      </c>
      <c r="Y9" s="11">
        <f>VLOOKUP(X9,المرجع!$B$2:$C$11,2)</f>
        <v>4</v>
      </c>
      <c r="Z9" s="45" t="str">
        <f>VLOOKUP(Y9,المرجع!$D$2:$E$11,2)</f>
        <v>ب</v>
      </c>
      <c r="AA9" s="10">
        <f t="shared" si="4"/>
        <v>8</v>
      </c>
      <c r="AB9" s="43">
        <v>3</v>
      </c>
      <c r="AC9" s="36">
        <v>100</v>
      </c>
      <c r="AD9" s="11">
        <f>VLOOKUP(AC9,المرجع!$B$2:$C$11,2)</f>
        <v>5</v>
      </c>
      <c r="AE9" s="45" t="str">
        <f>VLOOKUP(AD9,المرجع!$D$2:$E$11,2)</f>
        <v xml:space="preserve">أ+ </v>
      </c>
      <c r="AF9" s="10">
        <f t="shared" si="5"/>
        <v>15</v>
      </c>
      <c r="AG9" s="46">
        <v>2</v>
      </c>
      <c r="AH9" s="36">
        <v>98</v>
      </c>
      <c r="AI9" s="11">
        <f>VLOOKUP(AH9,المرجع!$B$2:$C$11,2)</f>
        <v>5</v>
      </c>
      <c r="AJ9" s="45" t="str">
        <f>VLOOKUP(AI9,المرجع!$D$2:$E$11,2)</f>
        <v xml:space="preserve">أ+ </v>
      </c>
      <c r="AK9" s="10">
        <f t="shared" si="6"/>
        <v>10</v>
      </c>
      <c r="AL9" s="46">
        <v>2</v>
      </c>
      <c r="AM9" s="36">
        <v>90</v>
      </c>
      <c r="AN9" s="11">
        <f>VLOOKUP(AM9,المرجع!$B$2:$C$11,2)</f>
        <v>4.75</v>
      </c>
      <c r="AO9" s="45" t="str">
        <f>VLOOKUP(AN9,المرجع!$D$2:$E$11,2)</f>
        <v>أ</v>
      </c>
      <c r="AP9" s="10">
        <f t="shared" si="7"/>
        <v>9.5</v>
      </c>
      <c r="AQ9" s="46">
        <v>2</v>
      </c>
      <c r="AR9" s="36">
        <v>92</v>
      </c>
      <c r="AS9" s="11">
        <f>VLOOKUP(AR9,المرجع!$B$2:$C$11,2)</f>
        <v>4.75</v>
      </c>
      <c r="AT9" s="45" t="str">
        <f>VLOOKUP(AS9,المرجع!$D$2:$E$11,2)</f>
        <v>أ</v>
      </c>
      <c r="AU9" s="10">
        <f t="shared" si="8"/>
        <v>9.5</v>
      </c>
      <c r="AV9" s="46">
        <v>2</v>
      </c>
      <c r="AW9" s="36">
        <v>51</v>
      </c>
      <c r="AX9" s="11">
        <f>VLOOKUP(AW9,المرجع!$B$2:$C$11,2)</f>
        <v>2</v>
      </c>
      <c r="AY9" s="45" t="str">
        <f>VLOOKUP(AX9,المرجع!$D$2:$E$11,2)</f>
        <v>د</v>
      </c>
      <c r="AZ9" s="10">
        <f t="shared" si="9"/>
        <v>4</v>
      </c>
      <c r="BA9" s="47">
        <f t="shared" si="10"/>
        <v>106</v>
      </c>
      <c r="BB9" s="20">
        <f t="shared" si="11"/>
        <v>23</v>
      </c>
      <c r="BC9" s="21">
        <f t="shared" si="12"/>
        <v>4.6086956521739131</v>
      </c>
      <c r="BD9" s="50">
        <f>(BA9+'المستوى الثاني '!BB9+'المستوى الأول '!BL10)/('المستوى الأول '!BM10+'المستوى الثاني '!BC9+'المستوى الثالث '!BB9)</f>
        <v>4.5183823529411766</v>
      </c>
      <c r="BE9" s="48" t="str">
        <f>VLOOKUP(BD9,المرجع!$D$3:$F$11,3,TRUE)</f>
        <v>جيد جد مرتفع</v>
      </c>
      <c r="BF9" s="22">
        <f t="shared" si="13"/>
        <v>8</v>
      </c>
    </row>
    <row r="10" spans="1:58" ht="28.5">
      <c r="A10" s="36">
        <v>2024303</v>
      </c>
      <c r="B10" s="40" t="s">
        <v>21</v>
      </c>
      <c r="C10" s="43">
        <v>1</v>
      </c>
      <c r="D10" s="36">
        <v>90</v>
      </c>
      <c r="E10" s="11">
        <f>VLOOKUP(D10,المرجع!$B$2:$C$11,2)</f>
        <v>4.75</v>
      </c>
      <c r="F10" s="45" t="str">
        <f>VLOOKUP(E10,المرجع!$D$2:$E$11,2)</f>
        <v>أ</v>
      </c>
      <c r="G10" s="10">
        <f t="shared" si="0"/>
        <v>4.75</v>
      </c>
      <c r="H10" s="46">
        <v>3</v>
      </c>
      <c r="I10" s="36">
        <v>98</v>
      </c>
      <c r="J10" s="11">
        <f>VLOOKUP(I10,المرجع!$B$2:$C$11,2)</f>
        <v>5</v>
      </c>
      <c r="K10" s="45" t="str">
        <f>VLOOKUP(J10,المرجع!$D$2:$E$11,2)</f>
        <v xml:space="preserve">أ+ </v>
      </c>
      <c r="L10" s="10">
        <f t="shared" si="1"/>
        <v>15</v>
      </c>
      <c r="M10" s="46">
        <v>3</v>
      </c>
      <c r="N10" s="36">
        <v>96</v>
      </c>
      <c r="O10" s="11">
        <f>VLOOKUP(N10,المرجع!$B$2:$C$11,2)</f>
        <v>5</v>
      </c>
      <c r="P10" s="45" t="str">
        <f>VLOOKUP(O10,المرجع!$D$2:$E$11,2)</f>
        <v xml:space="preserve">أ+ </v>
      </c>
      <c r="Q10" s="10">
        <f t="shared" si="2"/>
        <v>15</v>
      </c>
      <c r="R10" s="46">
        <v>3</v>
      </c>
      <c r="S10" s="36">
        <v>98</v>
      </c>
      <c r="T10" s="11">
        <f>VLOOKUP(S10,المرجع!$B$2:$C$11,2)</f>
        <v>5</v>
      </c>
      <c r="U10" s="45" t="str">
        <f>VLOOKUP(T10,المرجع!$D$2:$E$11,2)</f>
        <v xml:space="preserve">أ+ </v>
      </c>
      <c r="V10" s="10">
        <f t="shared" si="3"/>
        <v>15</v>
      </c>
      <c r="W10" s="46">
        <v>2</v>
      </c>
      <c r="X10" s="36">
        <v>80</v>
      </c>
      <c r="Y10" s="11">
        <f>VLOOKUP(X10,المرجع!$B$2:$C$11,2)</f>
        <v>4</v>
      </c>
      <c r="Z10" s="45" t="str">
        <f>VLOOKUP(Y10,المرجع!$D$2:$E$11,2)</f>
        <v>ب</v>
      </c>
      <c r="AA10" s="10">
        <f t="shared" si="4"/>
        <v>8</v>
      </c>
      <c r="AB10" s="43">
        <v>3</v>
      </c>
      <c r="AC10" s="36">
        <v>100</v>
      </c>
      <c r="AD10" s="11">
        <f>VLOOKUP(AC10,المرجع!$B$2:$C$11,2)</f>
        <v>5</v>
      </c>
      <c r="AE10" s="45" t="str">
        <f>VLOOKUP(AD10,المرجع!$D$2:$E$11,2)</f>
        <v xml:space="preserve">أ+ </v>
      </c>
      <c r="AF10" s="10">
        <f t="shared" si="5"/>
        <v>15</v>
      </c>
      <c r="AG10" s="46">
        <v>2</v>
      </c>
      <c r="AH10" s="36">
        <v>95</v>
      </c>
      <c r="AI10" s="11">
        <f>VLOOKUP(AH10,المرجع!$B$2:$C$11,2)</f>
        <v>5</v>
      </c>
      <c r="AJ10" s="45" t="str">
        <f>VLOOKUP(AI10,المرجع!$D$2:$E$11,2)</f>
        <v xml:space="preserve">أ+ </v>
      </c>
      <c r="AK10" s="10">
        <f t="shared" si="6"/>
        <v>10</v>
      </c>
      <c r="AL10" s="46">
        <v>2</v>
      </c>
      <c r="AM10" s="36">
        <v>70</v>
      </c>
      <c r="AN10" s="11">
        <f>VLOOKUP(AM10,المرجع!$B$2:$C$11,2)</f>
        <v>3</v>
      </c>
      <c r="AO10" s="45" t="str">
        <f>VLOOKUP(AN10,المرجع!$D$2:$E$11,2)</f>
        <v>ج</v>
      </c>
      <c r="AP10" s="10">
        <f t="shared" si="7"/>
        <v>6</v>
      </c>
      <c r="AQ10" s="46">
        <v>2</v>
      </c>
      <c r="AR10" s="36">
        <v>88</v>
      </c>
      <c r="AS10" s="11">
        <f>VLOOKUP(AR10,المرجع!$B$2:$C$11,2)</f>
        <v>4.5</v>
      </c>
      <c r="AT10" s="45" t="str">
        <f>VLOOKUP(AS10,المرجع!$D$2:$E$11,2)</f>
        <v>ب+</v>
      </c>
      <c r="AU10" s="10">
        <f t="shared" si="8"/>
        <v>9</v>
      </c>
      <c r="AV10" s="46">
        <v>2</v>
      </c>
      <c r="AW10" s="36">
        <v>81</v>
      </c>
      <c r="AX10" s="11">
        <f>VLOOKUP(AW10,المرجع!$B$2:$C$11,2)</f>
        <v>4</v>
      </c>
      <c r="AY10" s="45" t="str">
        <f>VLOOKUP(AX10,المرجع!$D$2:$E$11,2)</f>
        <v>ب</v>
      </c>
      <c r="AZ10" s="10">
        <f t="shared" si="9"/>
        <v>8</v>
      </c>
      <c r="BA10" s="47">
        <f t="shared" si="10"/>
        <v>105.75</v>
      </c>
      <c r="BB10" s="20">
        <f t="shared" si="11"/>
        <v>23</v>
      </c>
      <c r="BC10" s="21">
        <f t="shared" si="12"/>
        <v>4.5978260869565215</v>
      </c>
      <c r="BD10" s="50">
        <f>(BA10+'المستوى الثاني '!BB10+'المستوى الأول '!BL11)/('المستوى الأول '!BM11+'المستوى الثاني '!BC10+'المستوى الثالث '!BB10)</f>
        <v>4.4632352941176467</v>
      </c>
      <c r="BE10" s="48" t="str">
        <f>VLOOKUP(BD10,المرجع!$D$3:$F$11,3,TRUE)</f>
        <v>جيد جد مرتفع</v>
      </c>
      <c r="BF10" s="22">
        <f t="shared" si="13"/>
        <v>9</v>
      </c>
    </row>
    <row r="11" spans="1:58" ht="28.5">
      <c r="A11" s="36">
        <v>2024152</v>
      </c>
      <c r="B11" s="40" t="s">
        <v>19</v>
      </c>
      <c r="C11" s="43">
        <v>1</v>
      </c>
      <c r="D11" s="36">
        <v>98</v>
      </c>
      <c r="E11" s="11">
        <f>VLOOKUP(D11,المرجع!$B$2:$C$11,2)</f>
        <v>5</v>
      </c>
      <c r="F11" s="45" t="str">
        <f>VLOOKUP(E11,المرجع!$D$2:$E$11,2)</f>
        <v xml:space="preserve">أ+ </v>
      </c>
      <c r="G11" s="10">
        <f t="shared" si="0"/>
        <v>5</v>
      </c>
      <c r="H11" s="46">
        <v>3</v>
      </c>
      <c r="I11" s="36">
        <v>98</v>
      </c>
      <c r="J11" s="11">
        <f>VLOOKUP(I11,المرجع!$B$2:$C$11,2)</f>
        <v>5</v>
      </c>
      <c r="K11" s="45" t="str">
        <f>VLOOKUP(J11,المرجع!$D$2:$E$11,2)</f>
        <v xml:space="preserve">أ+ </v>
      </c>
      <c r="L11" s="10">
        <f t="shared" si="1"/>
        <v>15</v>
      </c>
      <c r="M11" s="46">
        <v>3</v>
      </c>
      <c r="N11" s="36">
        <v>100</v>
      </c>
      <c r="O11" s="11">
        <f>VLOOKUP(N11,المرجع!$B$2:$C$11,2)</f>
        <v>5</v>
      </c>
      <c r="P11" s="45" t="str">
        <f>VLOOKUP(O11,المرجع!$D$2:$E$11,2)</f>
        <v xml:space="preserve">أ+ </v>
      </c>
      <c r="Q11" s="10">
        <f t="shared" si="2"/>
        <v>15</v>
      </c>
      <c r="R11" s="46">
        <v>3</v>
      </c>
      <c r="S11" s="36">
        <v>98</v>
      </c>
      <c r="T11" s="11">
        <f>VLOOKUP(S11,المرجع!$B$2:$C$11,2)</f>
        <v>5</v>
      </c>
      <c r="U11" s="45" t="str">
        <f>VLOOKUP(T11,المرجع!$D$2:$E$11,2)</f>
        <v xml:space="preserve">أ+ </v>
      </c>
      <c r="V11" s="10">
        <f t="shared" si="3"/>
        <v>15</v>
      </c>
      <c r="W11" s="46">
        <v>2</v>
      </c>
      <c r="X11" s="36">
        <v>86</v>
      </c>
      <c r="Y11" s="11">
        <f>VLOOKUP(X11,المرجع!$B$2:$C$11,2)</f>
        <v>4.5</v>
      </c>
      <c r="Z11" s="45" t="str">
        <f>VLOOKUP(Y11,المرجع!$D$2:$E$11,2)</f>
        <v>ب+</v>
      </c>
      <c r="AA11" s="10">
        <f t="shared" si="4"/>
        <v>9</v>
      </c>
      <c r="AB11" s="43">
        <v>3</v>
      </c>
      <c r="AC11" s="36">
        <v>100</v>
      </c>
      <c r="AD11" s="11">
        <f>VLOOKUP(AC11,المرجع!$B$2:$C$11,2)</f>
        <v>5</v>
      </c>
      <c r="AE11" s="45" t="str">
        <f>VLOOKUP(AD11,المرجع!$D$2:$E$11,2)</f>
        <v xml:space="preserve">أ+ </v>
      </c>
      <c r="AF11" s="10">
        <f t="shared" si="5"/>
        <v>15</v>
      </c>
      <c r="AG11" s="46">
        <v>2</v>
      </c>
      <c r="AH11" s="36">
        <v>60</v>
      </c>
      <c r="AI11" s="11">
        <f>VLOOKUP(AH11,المرجع!$B$2:$C$11,2)</f>
        <v>2</v>
      </c>
      <c r="AJ11" s="45" t="str">
        <f>VLOOKUP(AI11,المرجع!$D$2:$E$11,2)</f>
        <v>د</v>
      </c>
      <c r="AK11" s="10">
        <f t="shared" si="6"/>
        <v>4</v>
      </c>
      <c r="AL11" s="46">
        <v>2</v>
      </c>
      <c r="AM11" s="36">
        <v>97</v>
      </c>
      <c r="AN11" s="11">
        <f>VLOOKUP(AM11,المرجع!$B$2:$C$11,2)</f>
        <v>5</v>
      </c>
      <c r="AO11" s="45" t="str">
        <f>VLOOKUP(AN11,المرجع!$D$2:$E$11,2)</f>
        <v xml:space="preserve">أ+ </v>
      </c>
      <c r="AP11" s="10">
        <f t="shared" si="7"/>
        <v>10</v>
      </c>
      <c r="AQ11" s="46">
        <v>2</v>
      </c>
      <c r="AR11" s="36">
        <v>91</v>
      </c>
      <c r="AS11" s="11">
        <f>VLOOKUP(AR11,المرجع!$B$2:$C$11,2)</f>
        <v>4.75</v>
      </c>
      <c r="AT11" s="45" t="str">
        <f>VLOOKUP(AS11,المرجع!$D$2:$E$11,2)</f>
        <v>أ</v>
      </c>
      <c r="AU11" s="10">
        <f t="shared" si="8"/>
        <v>9.5</v>
      </c>
      <c r="AV11" s="46">
        <v>2</v>
      </c>
      <c r="AW11" s="36">
        <v>81</v>
      </c>
      <c r="AX11" s="11">
        <f>VLOOKUP(AW11,المرجع!$B$2:$C$11,2)</f>
        <v>4</v>
      </c>
      <c r="AY11" s="45" t="str">
        <f>VLOOKUP(AX11,المرجع!$D$2:$E$11,2)</f>
        <v>ب</v>
      </c>
      <c r="AZ11" s="10">
        <f t="shared" si="9"/>
        <v>8</v>
      </c>
      <c r="BA11" s="47">
        <f t="shared" si="10"/>
        <v>105.5</v>
      </c>
      <c r="BB11" s="20">
        <f t="shared" si="11"/>
        <v>23</v>
      </c>
      <c r="BC11" s="21">
        <f t="shared" si="12"/>
        <v>4.5869565217391308</v>
      </c>
      <c r="BD11" s="50">
        <f>(BA11+'المستوى الثاني '!BB11+'المستوى الأول '!BL12)/('المستوى الأول '!BM12+'المستوى الثاني '!BC11+'المستوى الثالث '!BB11)</f>
        <v>4.4154411764705879</v>
      </c>
      <c r="BE11" s="48" t="str">
        <f>VLOOKUP(BD11,المرجع!$D$3:$F$11,3,TRUE)</f>
        <v>جيد جد مرتفع</v>
      </c>
      <c r="BF11" s="22">
        <f t="shared" si="13"/>
        <v>10</v>
      </c>
    </row>
    <row r="12" spans="1:58" ht="28.5">
      <c r="A12" s="36">
        <v>2024304</v>
      </c>
      <c r="B12" s="40" t="s">
        <v>25</v>
      </c>
      <c r="C12" s="43">
        <v>1</v>
      </c>
      <c r="D12" s="36">
        <v>86</v>
      </c>
      <c r="E12" s="11">
        <f>VLOOKUP(D12,المرجع!$B$2:$C$11,2)</f>
        <v>4.5</v>
      </c>
      <c r="F12" s="45" t="str">
        <f>VLOOKUP(E12,المرجع!$D$2:$E$11,2)</f>
        <v>ب+</v>
      </c>
      <c r="G12" s="10">
        <f t="shared" si="0"/>
        <v>4.5</v>
      </c>
      <c r="H12" s="46">
        <v>3</v>
      </c>
      <c r="I12" s="36">
        <v>100</v>
      </c>
      <c r="J12" s="11">
        <f>VLOOKUP(I12,المرجع!$B$2:$C$11,2)</f>
        <v>5</v>
      </c>
      <c r="K12" s="45" t="str">
        <f>VLOOKUP(J12,المرجع!$D$2:$E$11,2)</f>
        <v xml:space="preserve">أ+ </v>
      </c>
      <c r="L12" s="10">
        <f t="shared" si="1"/>
        <v>15</v>
      </c>
      <c r="M12" s="46">
        <v>3</v>
      </c>
      <c r="N12" s="36">
        <v>100</v>
      </c>
      <c r="O12" s="11">
        <f>VLOOKUP(N12,المرجع!$B$2:$C$11,2)</f>
        <v>5</v>
      </c>
      <c r="P12" s="45" t="str">
        <f>VLOOKUP(O12,المرجع!$D$2:$E$11,2)</f>
        <v xml:space="preserve">أ+ </v>
      </c>
      <c r="Q12" s="10">
        <f t="shared" si="2"/>
        <v>15</v>
      </c>
      <c r="R12" s="46">
        <v>3</v>
      </c>
      <c r="S12" s="36">
        <v>100</v>
      </c>
      <c r="T12" s="11">
        <f>VLOOKUP(S12,المرجع!$B$2:$C$11,2)</f>
        <v>5</v>
      </c>
      <c r="U12" s="45" t="str">
        <f>VLOOKUP(T12,المرجع!$D$2:$E$11,2)</f>
        <v xml:space="preserve">أ+ </v>
      </c>
      <c r="V12" s="10">
        <f t="shared" si="3"/>
        <v>15</v>
      </c>
      <c r="W12" s="46">
        <v>2</v>
      </c>
      <c r="X12" s="36">
        <v>67</v>
      </c>
      <c r="Y12" s="11">
        <f>VLOOKUP(X12,المرجع!$B$2:$C$11,2)</f>
        <v>2.5</v>
      </c>
      <c r="Z12" s="45" t="str">
        <f>VLOOKUP(Y12,المرجع!$D$2:$E$11,2)</f>
        <v>د+</v>
      </c>
      <c r="AA12" s="10">
        <f t="shared" si="4"/>
        <v>5</v>
      </c>
      <c r="AB12" s="43">
        <v>3</v>
      </c>
      <c r="AC12" s="36">
        <v>100</v>
      </c>
      <c r="AD12" s="11">
        <f>VLOOKUP(AC12,المرجع!$B$2:$C$11,2)</f>
        <v>5</v>
      </c>
      <c r="AE12" s="45" t="str">
        <f>VLOOKUP(AD12,المرجع!$D$2:$E$11,2)</f>
        <v xml:space="preserve">أ+ </v>
      </c>
      <c r="AF12" s="10">
        <f t="shared" si="5"/>
        <v>15</v>
      </c>
      <c r="AG12" s="46">
        <v>2</v>
      </c>
      <c r="AH12" s="36">
        <v>100</v>
      </c>
      <c r="AI12" s="11">
        <f>VLOOKUP(AH12,المرجع!$B$2:$C$11,2)</f>
        <v>5</v>
      </c>
      <c r="AJ12" s="45" t="str">
        <f>VLOOKUP(AI12,المرجع!$D$2:$E$11,2)</f>
        <v xml:space="preserve">أ+ </v>
      </c>
      <c r="AK12" s="10">
        <f t="shared" si="6"/>
        <v>10</v>
      </c>
      <c r="AL12" s="46">
        <v>2</v>
      </c>
      <c r="AM12" s="36">
        <v>70</v>
      </c>
      <c r="AN12" s="11">
        <f>VLOOKUP(AM12,المرجع!$B$2:$C$11,2)</f>
        <v>3</v>
      </c>
      <c r="AO12" s="45" t="str">
        <f>VLOOKUP(AN12,المرجع!$D$2:$E$11,2)</f>
        <v>ج</v>
      </c>
      <c r="AP12" s="10">
        <f t="shared" si="7"/>
        <v>6</v>
      </c>
      <c r="AQ12" s="46">
        <v>2</v>
      </c>
      <c r="AR12" s="36">
        <v>96</v>
      </c>
      <c r="AS12" s="11">
        <f>VLOOKUP(AR12,المرجع!$B$2:$C$11,2)</f>
        <v>5</v>
      </c>
      <c r="AT12" s="45" t="str">
        <f>VLOOKUP(AS12,المرجع!$D$2:$E$11,2)</f>
        <v xml:space="preserve">أ+ </v>
      </c>
      <c r="AU12" s="10">
        <f t="shared" si="8"/>
        <v>10</v>
      </c>
      <c r="AV12" s="46">
        <v>2</v>
      </c>
      <c r="AW12" s="36">
        <v>83</v>
      </c>
      <c r="AX12" s="11">
        <f>VLOOKUP(AW12,المرجع!$B$2:$C$11,2)</f>
        <v>4</v>
      </c>
      <c r="AY12" s="45" t="str">
        <f>VLOOKUP(AX12,المرجع!$D$2:$E$11,2)</f>
        <v>ب</v>
      </c>
      <c r="AZ12" s="10">
        <f t="shared" si="9"/>
        <v>8</v>
      </c>
      <c r="BA12" s="47">
        <f t="shared" si="10"/>
        <v>103.5</v>
      </c>
      <c r="BB12" s="20">
        <f t="shared" si="11"/>
        <v>23</v>
      </c>
      <c r="BC12" s="21">
        <f t="shared" si="12"/>
        <v>4.5</v>
      </c>
      <c r="BD12" s="50">
        <f>(BA12+'المستوى الثاني '!BB12+'المستوى الأول '!BL13)/('المستوى الأول '!BM13+'المستوى الثاني '!BC12+'المستوى الثالث '!BB12)</f>
        <v>4.367647058823529</v>
      </c>
      <c r="BE12" s="48" t="str">
        <f>VLOOKUP(BD12,المرجع!$D$3:$F$11,3,TRUE)</f>
        <v>جيد جد مرتفع</v>
      </c>
      <c r="BF12" s="22">
        <f t="shared" si="13"/>
        <v>11</v>
      </c>
    </row>
    <row r="13" spans="1:58" ht="28.5">
      <c r="A13" s="36">
        <v>2024155</v>
      </c>
      <c r="B13" s="40" t="s">
        <v>17</v>
      </c>
      <c r="C13" s="43">
        <v>1</v>
      </c>
      <c r="D13" s="36">
        <v>62</v>
      </c>
      <c r="E13" s="11">
        <f>VLOOKUP(D13,المرجع!$B$2:$C$11,2)</f>
        <v>2</v>
      </c>
      <c r="F13" s="45" t="str">
        <f>VLOOKUP(E13,المرجع!$D$2:$E$11,2)</f>
        <v>د</v>
      </c>
      <c r="G13" s="10">
        <f t="shared" si="0"/>
        <v>2</v>
      </c>
      <c r="H13" s="46">
        <v>3</v>
      </c>
      <c r="I13" s="36">
        <v>97</v>
      </c>
      <c r="J13" s="11">
        <f>VLOOKUP(I13,المرجع!$B$2:$C$11,2)</f>
        <v>5</v>
      </c>
      <c r="K13" s="45" t="str">
        <f>VLOOKUP(J13,المرجع!$D$2:$E$11,2)</f>
        <v xml:space="preserve">أ+ </v>
      </c>
      <c r="L13" s="10">
        <f t="shared" si="1"/>
        <v>15</v>
      </c>
      <c r="M13" s="46">
        <v>3</v>
      </c>
      <c r="N13" s="36">
        <v>100</v>
      </c>
      <c r="O13" s="11">
        <f>VLOOKUP(N13,المرجع!$B$2:$C$11,2)</f>
        <v>5</v>
      </c>
      <c r="P13" s="45" t="str">
        <f>VLOOKUP(O13,المرجع!$D$2:$E$11,2)</f>
        <v xml:space="preserve">أ+ </v>
      </c>
      <c r="Q13" s="10">
        <f t="shared" si="2"/>
        <v>15</v>
      </c>
      <c r="R13" s="46">
        <v>3</v>
      </c>
      <c r="S13" s="36">
        <v>98</v>
      </c>
      <c r="T13" s="11">
        <f>VLOOKUP(S13,المرجع!$B$2:$C$11,2)</f>
        <v>5</v>
      </c>
      <c r="U13" s="45" t="str">
        <f>VLOOKUP(T13,المرجع!$D$2:$E$11,2)</f>
        <v xml:space="preserve">أ+ </v>
      </c>
      <c r="V13" s="10">
        <f t="shared" si="3"/>
        <v>15</v>
      </c>
      <c r="W13" s="46">
        <v>2</v>
      </c>
      <c r="X13" s="36">
        <v>86</v>
      </c>
      <c r="Y13" s="11">
        <f>VLOOKUP(X13,المرجع!$B$2:$C$11,2)</f>
        <v>4.5</v>
      </c>
      <c r="Z13" s="45" t="str">
        <f>VLOOKUP(Y13,المرجع!$D$2:$E$11,2)</f>
        <v>ب+</v>
      </c>
      <c r="AA13" s="10">
        <f t="shared" si="4"/>
        <v>9</v>
      </c>
      <c r="AB13" s="43">
        <v>3</v>
      </c>
      <c r="AC13" s="36">
        <v>95</v>
      </c>
      <c r="AD13" s="11">
        <f>VLOOKUP(AC13,المرجع!$B$2:$C$11,2)</f>
        <v>5</v>
      </c>
      <c r="AE13" s="45" t="str">
        <f>VLOOKUP(AD13,المرجع!$D$2:$E$11,2)</f>
        <v xml:space="preserve">أ+ </v>
      </c>
      <c r="AF13" s="10">
        <f t="shared" si="5"/>
        <v>15</v>
      </c>
      <c r="AG13" s="46">
        <v>2</v>
      </c>
      <c r="AH13" s="36">
        <v>96</v>
      </c>
      <c r="AI13" s="11">
        <f>VLOOKUP(AH13,المرجع!$B$2:$C$11,2)</f>
        <v>5</v>
      </c>
      <c r="AJ13" s="45" t="str">
        <f>VLOOKUP(AI13,المرجع!$D$2:$E$11,2)</f>
        <v xml:space="preserve">أ+ </v>
      </c>
      <c r="AK13" s="10">
        <f t="shared" si="6"/>
        <v>10</v>
      </c>
      <c r="AL13" s="46">
        <v>2</v>
      </c>
      <c r="AM13" s="36">
        <v>85</v>
      </c>
      <c r="AN13" s="11">
        <f>VLOOKUP(AM13,المرجع!$B$2:$C$11,2)</f>
        <v>4.5</v>
      </c>
      <c r="AO13" s="45" t="str">
        <f>VLOOKUP(AN13,المرجع!$D$2:$E$11,2)</f>
        <v>ب+</v>
      </c>
      <c r="AP13" s="10">
        <f t="shared" si="7"/>
        <v>9</v>
      </c>
      <c r="AQ13" s="46">
        <v>2</v>
      </c>
      <c r="AR13" s="36">
        <v>90</v>
      </c>
      <c r="AS13" s="11">
        <f>VLOOKUP(AR13,المرجع!$B$2:$C$11,2)</f>
        <v>4.75</v>
      </c>
      <c r="AT13" s="45" t="str">
        <f>VLOOKUP(AS13,المرجع!$D$2:$E$11,2)</f>
        <v>أ</v>
      </c>
      <c r="AU13" s="10">
        <f t="shared" si="8"/>
        <v>9.5</v>
      </c>
      <c r="AV13" s="46">
        <v>2</v>
      </c>
      <c r="AW13" s="36">
        <v>63</v>
      </c>
      <c r="AX13" s="11">
        <f>VLOOKUP(AW13,المرجع!$B$2:$C$11,2)</f>
        <v>2</v>
      </c>
      <c r="AY13" s="45" t="str">
        <f>VLOOKUP(AX13,المرجع!$D$2:$E$11,2)</f>
        <v>د</v>
      </c>
      <c r="AZ13" s="10">
        <f t="shared" si="9"/>
        <v>4</v>
      </c>
      <c r="BA13" s="47">
        <f t="shared" si="10"/>
        <v>103.5</v>
      </c>
      <c r="BB13" s="20">
        <f t="shared" si="11"/>
        <v>23</v>
      </c>
      <c r="BC13" s="21">
        <f t="shared" si="12"/>
        <v>4.5</v>
      </c>
      <c r="BD13" s="50">
        <f>(BA13+'المستوى الثاني '!BB13+'المستوى الأول '!BL14)/('المستوى الأول '!BM14+'المستوى الثاني '!BC13+'المستوى الثالث '!BB13)</f>
        <v>4.3161764705882355</v>
      </c>
      <c r="BE13" s="48" t="str">
        <f>VLOOKUP(BD13,المرجع!$D$3:$F$11,3,TRUE)</f>
        <v>جيد جد مرتفع</v>
      </c>
      <c r="BF13" s="22">
        <f t="shared" si="13"/>
        <v>12</v>
      </c>
    </row>
    <row r="14" spans="1:58" ht="28.5">
      <c r="A14" s="36">
        <v>2024162</v>
      </c>
      <c r="B14" s="40" t="s">
        <v>22</v>
      </c>
      <c r="C14" s="43">
        <v>1</v>
      </c>
      <c r="D14" s="36">
        <v>92</v>
      </c>
      <c r="E14" s="11">
        <f>VLOOKUP(D14,المرجع!$B$2:$C$11,2)</f>
        <v>4.75</v>
      </c>
      <c r="F14" s="45" t="str">
        <f>VLOOKUP(E14,المرجع!$D$2:$E$11,2)</f>
        <v>أ</v>
      </c>
      <c r="G14" s="10">
        <f t="shared" si="0"/>
        <v>4.75</v>
      </c>
      <c r="H14" s="46">
        <v>3</v>
      </c>
      <c r="I14" s="36">
        <v>98</v>
      </c>
      <c r="J14" s="11">
        <f>VLOOKUP(I14,المرجع!$B$2:$C$11,2)</f>
        <v>5</v>
      </c>
      <c r="K14" s="45" t="str">
        <f>VLOOKUP(J14,المرجع!$D$2:$E$11,2)</f>
        <v xml:space="preserve">أ+ </v>
      </c>
      <c r="L14" s="10">
        <f t="shared" si="1"/>
        <v>15</v>
      </c>
      <c r="M14" s="46">
        <v>3</v>
      </c>
      <c r="N14" s="36">
        <v>99</v>
      </c>
      <c r="O14" s="11">
        <f>VLOOKUP(N14,المرجع!$B$2:$C$11,2)</f>
        <v>5</v>
      </c>
      <c r="P14" s="45" t="str">
        <f>VLOOKUP(O14,المرجع!$D$2:$E$11,2)</f>
        <v xml:space="preserve">أ+ </v>
      </c>
      <c r="Q14" s="10">
        <f t="shared" si="2"/>
        <v>15</v>
      </c>
      <c r="R14" s="46">
        <v>3</v>
      </c>
      <c r="S14" s="36">
        <v>98</v>
      </c>
      <c r="T14" s="11">
        <f>VLOOKUP(S14,المرجع!$B$2:$C$11,2)</f>
        <v>5</v>
      </c>
      <c r="U14" s="45" t="str">
        <f>VLOOKUP(T14,المرجع!$D$2:$E$11,2)</f>
        <v xml:space="preserve">أ+ </v>
      </c>
      <c r="V14" s="10">
        <f t="shared" si="3"/>
        <v>15</v>
      </c>
      <c r="W14" s="46">
        <v>2</v>
      </c>
      <c r="X14" s="36">
        <v>84</v>
      </c>
      <c r="Y14" s="11">
        <f>VLOOKUP(X14,المرجع!$B$2:$C$11,2)</f>
        <v>4</v>
      </c>
      <c r="Z14" s="45" t="str">
        <f>VLOOKUP(Y14,المرجع!$D$2:$E$11,2)</f>
        <v>ب</v>
      </c>
      <c r="AA14" s="10">
        <f t="shared" si="4"/>
        <v>8</v>
      </c>
      <c r="AB14" s="43">
        <v>3</v>
      </c>
      <c r="AC14" s="36">
        <v>100</v>
      </c>
      <c r="AD14" s="11">
        <f>VLOOKUP(AC14,المرجع!$B$2:$C$11,2)</f>
        <v>5</v>
      </c>
      <c r="AE14" s="45" t="str">
        <f>VLOOKUP(AD14,المرجع!$D$2:$E$11,2)</f>
        <v xml:space="preserve">أ+ </v>
      </c>
      <c r="AF14" s="10">
        <f t="shared" si="5"/>
        <v>15</v>
      </c>
      <c r="AG14" s="46">
        <v>2</v>
      </c>
      <c r="AH14" s="36">
        <v>71</v>
      </c>
      <c r="AI14" s="11">
        <f>VLOOKUP(AH14,المرجع!$B$2:$C$11,2)</f>
        <v>3</v>
      </c>
      <c r="AJ14" s="45" t="str">
        <f>VLOOKUP(AI14,المرجع!$D$2:$E$11,2)</f>
        <v>ج</v>
      </c>
      <c r="AK14" s="10">
        <f t="shared" si="6"/>
        <v>6</v>
      </c>
      <c r="AL14" s="46">
        <v>2</v>
      </c>
      <c r="AM14" s="36">
        <v>93</v>
      </c>
      <c r="AN14" s="11">
        <f>VLOOKUP(AM14,المرجع!$B$2:$C$11,2)</f>
        <v>4.75</v>
      </c>
      <c r="AO14" s="45" t="str">
        <f>VLOOKUP(AN14,المرجع!$D$2:$E$11,2)</f>
        <v>أ</v>
      </c>
      <c r="AP14" s="10">
        <f t="shared" si="7"/>
        <v>9.5</v>
      </c>
      <c r="AQ14" s="46">
        <v>2</v>
      </c>
      <c r="AR14" s="36">
        <v>99</v>
      </c>
      <c r="AS14" s="11">
        <f>VLOOKUP(AR14,المرجع!$B$2:$C$11,2)</f>
        <v>5</v>
      </c>
      <c r="AT14" s="45" t="str">
        <f>VLOOKUP(AS14,المرجع!$D$2:$E$11,2)</f>
        <v xml:space="preserve">أ+ </v>
      </c>
      <c r="AU14" s="10">
        <f t="shared" si="8"/>
        <v>10</v>
      </c>
      <c r="AV14" s="46">
        <v>2</v>
      </c>
      <c r="AW14" s="36">
        <v>65</v>
      </c>
      <c r="AX14" s="11">
        <f>VLOOKUP(AW14,المرجع!$B$2:$C$11,2)</f>
        <v>2.5</v>
      </c>
      <c r="AY14" s="45" t="str">
        <f>VLOOKUP(AX14,المرجع!$D$2:$E$11,2)</f>
        <v>د+</v>
      </c>
      <c r="AZ14" s="10">
        <f t="shared" si="9"/>
        <v>5</v>
      </c>
      <c r="BA14" s="47">
        <f t="shared" si="10"/>
        <v>103.25</v>
      </c>
      <c r="BB14" s="20">
        <f t="shared" si="11"/>
        <v>23</v>
      </c>
      <c r="BC14" s="21">
        <f t="shared" si="12"/>
        <v>4.4891304347826084</v>
      </c>
      <c r="BD14" s="50">
        <f>(BA14+'المستوى الثاني '!BB14+'المستوى الأول '!BL15)/('المستوى الأول '!BM15+'المستوى الثاني '!BC14+'المستوى الثالث '!BB14)</f>
        <v>4.2941176470588234</v>
      </c>
      <c r="BE14" s="48" t="str">
        <f>VLOOKUP(BD14,المرجع!$D$3:$F$11,3,TRUE)</f>
        <v>جيد جد مرتفع</v>
      </c>
      <c r="BF14" s="22">
        <f t="shared" si="13"/>
        <v>13</v>
      </c>
    </row>
    <row r="15" spans="1:58" ht="28.5">
      <c r="A15" s="36">
        <v>2024179</v>
      </c>
      <c r="B15" s="40" t="s">
        <v>42</v>
      </c>
      <c r="C15" s="43">
        <v>1</v>
      </c>
      <c r="D15" s="36">
        <v>84</v>
      </c>
      <c r="E15" s="11">
        <f>VLOOKUP(D15,المرجع!$B$2:$C$11,2)</f>
        <v>4</v>
      </c>
      <c r="F15" s="45" t="str">
        <f>VLOOKUP(E15,المرجع!$D$2:$E$11,2)</f>
        <v>ب</v>
      </c>
      <c r="G15" s="10">
        <f t="shared" si="0"/>
        <v>4</v>
      </c>
      <c r="H15" s="46">
        <v>3</v>
      </c>
      <c r="I15" s="36">
        <v>98</v>
      </c>
      <c r="J15" s="11">
        <f>VLOOKUP(I15,المرجع!$B$2:$C$11,2)</f>
        <v>5</v>
      </c>
      <c r="K15" s="45" t="str">
        <f>VLOOKUP(J15,المرجع!$D$2:$E$11,2)</f>
        <v xml:space="preserve">أ+ </v>
      </c>
      <c r="L15" s="10">
        <f t="shared" si="1"/>
        <v>15</v>
      </c>
      <c r="M15" s="46">
        <v>3</v>
      </c>
      <c r="N15" s="36">
        <v>82</v>
      </c>
      <c r="O15" s="11">
        <f>VLOOKUP(N15,المرجع!$B$2:$C$11,2)</f>
        <v>4</v>
      </c>
      <c r="P15" s="45" t="str">
        <f>VLOOKUP(O15,المرجع!$D$2:$E$11,2)</f>
        <v>ب</v>
      </c>
      <c r="Q15" s="10">
        <f t="shared" si="2"/>
        <v>12</v>
      </c>
      <c r="R15" s="46">
        <v>3</v>
      </c>
      <c r="S15" s="36">
        <v>95</v>
      </c>
      <c r="T15" s="11">
        <f>VLOOKUP(S15,المرجع!$B$2:$C$11,2)</f>
        <v>5</v>
      </c>
      <c r="U15" s="45" t="str">
        <f>VLOOKUP(T15,المرجع!$D$2:$E$11,2)</f>
        <v xml:space="preserve">أ+ </v>
      </c>
      <c r="V15" s="10">
        <f t="shared" si="3"/>
        <v>15</v>
      </c>
      <c r="W15" s="46">
        <v>2</v>
      </c>
      <c r="X15" s="36">
        <v>89</v>
      </c>
      <c r="Y15" s="11">
        <f>VLOOKUP(X15,المرجع!$B$2:$C$11,2)</f>
        <v>4.5</v>
      </c>
      <c r="Z15" s="45" t="str">
        <f>VLOOKUP(Y15,المرجع!$D$2:$E$11,2)</f>
        <v>ب+</v>
      </c>
      <c r="AA15" s="10">
        <f t="shared" si="4"/>
        <v>9</v>
      </c>
      <c r="AB15" s="43">
        <v>3</v>
      </c>
      <c r="AC15" s="36">
        <v>90</v>
      </c>
      <c r="AD15" s="11">
        <f>VLOOKUP(AC15,المرجع!$B$2:$C$11,2)</f>
        <v>4.75</v>
      </c>
      <c r="AE15" s="45" t="str">
        <f>VLOOKUP(AD15,المرجع!$D$2:$E$11,2)</f>
        <v>أ</v>
      </c>
      <c r="AF15" s="10">
        <f t="shared" si="5"/>
        <v>14.25</v>
      </c>
      <c r="AG15" s="46">
        <v>2</v>
      </c>
      <c r="AH15" s="36">
        <v>90</v>
      </c>
      <c r="AI15" s="11">
        <f>VLOOKUP(AH15,المرجع!$B$2:$C$11,2)</f>
        <v>4.75</v>
      </c>
      <c r="AJ15" s="45" t="str">
        <f>VLOOKUP(AI15,المرجع!$D$2:$E$11,2)</f>
        <v>أ</v>
      </c>
      <c r="AK15" s="10">
        <f t="shared" si="6"/>
        <v>9.5</v>
      </c>
      <c r="AL15" s="46">
        <v>2</v>
      </c>
      <c r="AM15" s="36">
        <v>68</v>
      </c>
      <c r="AN15" s="11">
        <f>VLOOKUP(AM15,المرجع!$B$2:$C$11,2)</f>
        <v>2.5</v>
      </c>
      <c r="AO15" s="45" t="str">
        <f>VLOOKUP(AN15,المرجع!$D$2:$E$11,2)</f>
        <v>د+</v>
      </c>
      <c r="AP15" s="10">
        <f t="shared" si="7"/>
        <v>5</v>
      </c>
      <c r="AQ15" s="46">
        <v>2</v>
      </c>
      <c r="AR15" s="36">
        <v>93</v>
      </c>
      <c r="AS15" s="11">
        <f>VLOOKUP(AR15,المرجع!$B$2:$C$11,2)</f>
        <v>4.75</v>
      </c>
      <c r="AT15" s="45" t="str">
        <f>VLOOKUP(AS15,المرجع!$D$2:$E$11,2)</f>
        <v>أ</v>
      </c>
      <c r="AU15" s="10">
        <f t="shared" si="8"/>
        <v>9.5</v>
      </c>
      <c r="AV15" s="46">
        <v>2</v>
      </c>
      <c r="AW15" s="36">
        <v>69</v>
      </c>
      <c r="AX15" s="11">
        <f>VLOOKUP(AW15,المرجع!$B$2:$C$11,2)</f>
        <v>2.5</v>
      </c>
      <c r="AY15" s="45" t="str">
        <f>VLOOKUP(AX15,المرجع!$D$2:$E$11,2)</f>
        <v>د+</v>
      </c>
      <c r="AZ15" s="10">
        <f t="shared" si="9"/>
        <v>5</v>
      </c>
      <c r="BA15" s="47">
        <f t="shared" si="10"/>
        <v>98.25</v>
      </c>
      <c r="BB15" s="20">
        <f t="shared" si="11"/>
        <v>23</v>
      </c>
      <c r="BC15" s="21">
        <f t="shared" si="12"/>
        <v>4.2717391304347823</v>
      </c>
      <c r="BD15" s="50">
        <f>(BA15+'المستوى الثاني '!BB17+'المستوى الأول '!BL18)/('المستوى الأول '!BM18+'المستوى الثاني '!BC17+'المستوى الثالث '!BB17)</f>
        <v>4.1985294117647056</v>
      </c>
      <c r="BE15" s="48" t="str">
        <f>VLOOKUP(BD15,المرجع!$D$3:$F$11,3,TRUE)</f>
        <v>جيد جد مرتفع</v>
      </c>
      <c r="BF15" s="22">
        <f t="shared" si="13"/>
        <v>15</v>
      </c>
    </row>
    <row r="16" spans="1:58" ht="28.5">
      <c r="A16" s="36">
        <v>2024205</v>
      </c>
      <c r="B16" s="40" t="s">
        <v>30</v>
      </c>
      <c r="C16" s="43">
        <v>1</v>
      </c>
      <c r="D16" s="36">
        <v>88</v>
      </c>
      <c r="E16" s="11">
        <f>VLOOKUP(D16,المرجع!$B$2:$C$11,2)</f>
        <v>4.5</v>
      </c>
      <c r="F16" s="45" t="str">
        <f>VLOOKUP(E16,المرجع!$D$2:$E$11,2)</f>
        <v>ب+</v>
      </c>
      <c r="G16" s="10">
        <f t="shared" si="0"/>
        <v>4.5</v>
      </c>
      <c r="H16" s="46">
        <v>3</v>
      </c>
      <c r="I16" s="36">
        <v>96</v>
      </c>
      <c r="J16" s="11">
        <f>VLOOKUP(I16,المرجع!$B$2:$C$11,2)</f>
        <v>5</v>
      </c>
      <c r="K16" s="45" t="str">
        <f>VLOOKUP(J16,المرجع!$D$2:$E$11,2)</f>
        <v xml:space="preserve">أ+ </v>
      </c>
      <c r="L16" s="10">
        <f t="shared" si="1"/>
        <v>15</v>
      </c>
      <c r="M16" s="46">
        <v>3</v>
      </c>
      <c r="N16" s="36">
        <v>88</v>
      </c>
      <c r="O16" s="11">
        <f>VLOOKUP(N16,المرجع!$B$2:$C$11,2)</f>
        <v>4.5</v>
      </c>
      <c r="P16" s="45" t="str">
        <f>VLOOKUP(O16,المرجع!$D$2:$E$11,2)</f>
        <v>ب+</v>
      </c>
      <c r="Q16" s="10">
        <f t="shared" si="2"/>
        <v>13.5</v>
      </c>
      <c r="R16" s="46">
        <v>3</v>
      </c>
      <c r="S16" s="36">
        <v>95</v>
      </c>
      <c r="T16" s="11">
        <f>VLOOKUP(S16,المرجع!$B$2:$C$11,2)</f>
        <v>5</v>
      </c>
      <c r="U16" s="45" t="str">
        <f>VLOOKUP(T16,المرجع!$D$2:$E$11,2)</f>
        <v xml:space="preserve">أ+ </v>
      </c>
      <c r="V16" s="10">
        <f t="shared" si="3"/>
        <v>15</v>
      </c>
      <c r="W16" s="46">
        <v>2</v>
      </c>
      <c r="X16" s="36">
        <v>82</v>
      </c>
      <c r="Y16" s="11">
        <f>VLOOKUP(X16,المرجع!$B$2:$C$11,2)</f>
        <v>4</v>
      </c>
      <c r="Z16" s="45" t="str">
        <f>VLOOKUP(Y16,المرجع!$D$2:$E$11,2)</f>
        <v>ب</v>
      </c>
      <c r="AA16" s="10">
        <f t="shared" si="4"/>
        <v>8</v>
      </c>
      <c r="AB16" s="43">
        <v>3</v>
      </c>
      <c r="AC16" s="36">
        <v>100</v>
      </c>
      <c r="AD16" s="11">
        <f>VLOOKUP(AC16,المرجع!$B$2:$C$11,2)</f>
        <v>5</v>
      </c>
      <c r="AE16" s="45" t="str">
        <f>VLOOKUP(AD16,المرجع!$D$2:$E$11,2)</f>
        <v xml:space="preserve">أ+ </v>
      </c>
      <c r="AF16" s="10">
        <f t="shared" si="5"/>
        <v>15</v>
      </c>
      <c r="AG16" s="46">
        <v>2</v>
      </c>
      <c r="AH16" s="36">
        <v>98</v>
      </c>
      <c r="AI16" s="11">
        <f>VLOOKUP(AH16,المرجع!$B$2:$C$11,2)</f>
        <v>5</v>
      </c>
      <c r="AJ16" s="45" t="str">
        <f>VLOOKUP(AI16,المرجع!$D$2:$E$11,2)</f>
        <v xml:space="preserve">أ+ </v>
      </c>
      <c r="AK16" s="10">
        <f t="shared" si="6"/>
        <v>10</v>
      </c>
      <c r="AL16" s="46">
        <v>2</v>
      </c>
      <c r="AM16" s="36">
        <v>52</v>
      </c>
      <c r="AN16" s="11">
        <f>VLOOKUP(AM16,المرجع!$B$2:$C$11,2)</f>
        <v>2</v>
      </c>
      <c r="AO16" s="45" t="str">
        <f>VLOOKUP(AN16,المرجع!$D$2:$E$11,2)</f>
        <v>د</v>
      </c>
      <c r="AP16" s="10">
        <f t="shared" si="7"/>
        <v>4</v>
      </c>
      <c r="AQ16" s="46">
        <v>2</v>
      </c>
      <c r="AR16" s="36">
        <v>98</v>
      </c>
      <c r="AS16" s="11">
        <f>VLOOKUP(AR16,المرجع!$B$2:$C$11,2)</f>
        <v>5</v>
      </c>
      <c r="AT16" s="45" t="str">
        <f>VLOOKUP(AS16,المرجع!$D$2:$E$11,2)</f>
        <v xml:space="preserve">أ+ </v>
      </c>
      <c r="AU16" s="10">
        <f t="shared" si="8"/>
        <v>10</v>
      </c>
      <c r="AV16" s="46">
        <v>2</v>
      </c>
      <c r="AW16" s="36">
        <v>73</v>
      </c>
      <c r="AX16" s="11">
        <f>VLOOKUP(AW16,المرجع!$B$2:$C$11,2)</f>
        <v>3</v>
      </c>
      <c r="AY16" s="45" t="str">
        <f>VLOOKUP(AX16,المرجع!$D$2:$E$11,2)</f>
        <v>ج</v>
      </c>
      <c r="AZ16" s="10">
        <f t="shared" si="9"/>
        <v>6</v>
      </c>
      <c r="BA16" s="47">
        <f t="shared" si="10"/>
        <v>101</v>
      </c>
      <c r="BB16" s="20">
        <f t="shared" si="11"/>
        <v>23</v>
      </c>
      <c r="BC16" s="21">
        <f t="shared" si="12"/>
        <v>4.3913043478260869</v>
      </c>
      <c r="BD16" s="50">
        <f>(BA16+'المستوى الثاني '!BB15+'المستوى الأول '!BL16)/('المستوى الأول '!BM16+'المستوى الثاني '!BC15+'المستوى الثالث '!BB15)</f>
        <v>4.2095588235294121</v>
      </c>
      <c r="BE16" s="48" t="str">
        <f>VLOOKUP(BD16,المرجع!$D$3:$F$11,3,TRUE)</f>
        <v>جيد جد مرتفع</v>
      </c>
      <c r="BF16" s="22">
        <f t="shared" si="13"/>
        <v>14</v>
      </c>
    </row>
    <row r="17" spans="1:58" ht="28.5">
      <c r="A17" s="36">
        <v>2024158</v>
      </c>
      <c r="B17" s="40" t="s">
        <v>31</v>
      </c>
      <c r="C17" s="43">
        <v>1</v>
      </c>
      <c r="D17" s="36">
        <v>96</v>
      </c>
      <c r="E17" s="11">
        <f>VLOOKUP(D17,المرجع!$B$2:$C$11,2)</f>
        <v>5</v>
      </c>
      <c r="F17" s="45" t="str">
        <f>VLOOKUP(E17,المرجع!$D$2:$E$11,2)</f>
        <v xml:space="preserve">أ+ </v>
      </c>
      <c r="G17" s="10">
        <f t="shared" si="0"/>
        <v>5</v>
      </c>
      <c r="H17" s="46">
        <v>3</v>
      </c>
      <c r="I17" s="36">
        <v>93</v>
      </c>
      <c r="J17" s="11">
        <f>VLOOKUP(I17,المرجع!$B$2:$C$11,2)</f>
        <v>4.75</v>
      </c>
      <c r="K17" s="45" t="str">
        <f>VLOOKUP(J17,المرجع!$D$2:$E$11,2)</f>
        <v>أ</v>
      </c>
      <c r="L17" s="10">
        <f t="shared" si="1"/>
        <v>14.25</v>
      </c>
      <c r="M17" s="46">
        <v>3</v>
      </c>
      <c r="N17" s="36">
        <v>77</v>
      </c>
      <c r="O17" s="11">
        <f>VLOOKUP(N17,المرجع!$B$2:$C$11,2)</f>
        <v>3.5</v>
      </c>
      <c r="P17" s="45" t="str">
        <f>VLOOKUP(O17,المرجع!$D$2:$E$11,2)</f>
        <v>ج+</v>
      </c>
      <c r="Q17" s="10">
        <f t="shared" si="2"/>
        <v>10.5</v>
      </c>
      <c r="R17" s="46">
        <v>3</v>
      </c>
      <c r="S17" s="36">
        <v>98</v>
      </c>
      <c r="T17" s="11">
        <f>VLOOKUP(S17,المرجع!$B$2:$C$11,2)</f>
        <v>5</v>
      </c>
      <c r="U17" s="45" t="str">
        <f>VLOOKUP(T17,المرجع!$D$2:$E$11,2)</f>
        <v xml:space="preserve">أ+ </v>
      </c>
      <c r="V17" s="10">
        <f t="shared" si="3"/>
        <v>15</v>
      </c>
      <c r="W17" s="46">
        <v>2</v>
      </c>
      <c r="X17" s="36">
        <v>77</v>
      </c>
      <c r="Y17" s="11">
        <f>VLOOKUP(X17,المرجع!$B$2:$C$11,2)</f>
        <v>3.5</v>
      </c>
      <c r="Z17" s="45" t="str">
        <f>VLOOKUP(Y17,المرجع!$D$2:$E$11,2)</f>
        <v>ج+</v>
      </c>
      <c r="AA17" s="10">
        <f t="shared" si="4"/>
        <v>7</v>
      </c>
      <c r="AB17" s="43">
        <v>3</v>
      </c>
      <c r="AC17" s="36">
        <v>95</v>
      </c>
      <c r="AD17" s="11">
        <f>VLOOKUP(AC17,المرجع!$B$2:$C$11,2)</f>
        <v>5</v>
      </c>
      <c r="AE17" s="45" t="str">
        <f>VLOOKUP(AD17,المرجع!$D$2:$E$11,2)</f>
        <v xml:space="preserve">أ+ </v>
      </c>
      <c r="AF17" s="10">
        <f t="shared" si="5"/>
        <v>15</v>
      </c>
      <c r="AG17" s="46">
        <v>2</v>
      </c>
      <c r="AH17" s="36">
        <v>93</v>
      </c>
      <c r="AI17" s="11">
        <f>VLOOKUP(AH17,المرجع!$B$2:$C$11,2)</f>
        <v>4.75</v>
      </c>
      <c r="AJ17" s="45" t="str">
        <f>VLOOKUP(AI17,المرجع!$D$2:$E$11,2)</f>
        <v>أ</v>
      </c>
      <c r="AK17" s="10">
        <f t="shared" si="6"/>
        <v>9.5</v>
      </c>
      <c r="AL17" s="46">
        <v>2</v>
      </c>
      <c r="AM17" s="36">
        <v>87</v>
      </c>
      <c r="AN17" s="11">
        <f>VLOOKUP(AM17,المرجع!$B$2:$C$11,2)</f>
        <v>4.5</v>
      </c>
      <c r="AO17" s="45" t="str">
        <f>VLOOKUP(AN17,المرجع!$D$2:$E$11,2)</f>
        <v>ب+</v>
      </c>
      <c r="AP17" s="10">
        <f t="shared" si="7"/>
        <v>9</v>
      </c>
      <c r="AQ17" s="46">
        <v>2</v>
      </c>
      <c r="AR17" s="36">
        <v>89</v>
      </c>
      <c r="AS17" s="11">
        <f>VLOOKUP(AR17,المرجع!$B$2:$C$11,2)</f>
        <v>4.5</v>
      </c>
      <c r="AT17" s="45" t="str">
        <f>VLOOKUP(AS17,المرجع!$D$2:$E$11,2)</f>
        <v>ب+</v>
      </c>
      <c r="AU17" s="10">
        <f t="shared" si="8"/>
        <v>9</v>
      </c>
      <c r="AV17" s="46">
        <v>2</v>
      </c>
      <c r="AW17" s="36">
        <v>64</v>
      </c>
      <c r="AX17" s="11">
        <f>VLOOKUP(AW17,المرجع!$B$2:$C$11,2)</f>
        <v>2</v>
      </c>
      <c r="AY17" s="45" t="str">
        <f>VLOOKUP(AX17,المرجع!$D$2:$E$11,2)</f>
        <v>د</v>
      </c>
      <c r="AZ17" s="10">
        <f t="shared" si="9"/>
        <v>4</v>
      </c>
      <c r="BA17" s="47">
        <f t="shared" si="10"/>
        <v>98.25</v>
      </c>
      <c r="BB17" s="20">
        <f t="shared" si="11"/>
        <v>23</v>
      </c>
      <c r="BC17" s="21">
        <f t="shared" si="12"/>
        <v>4.2717391304347823</v>
      </c>
      <c r="BD17" s="50">
        <f>(BA17+'المستوى الثاني '!BB16+'المستوى الأول '!BL17)/('المستوى الأول '!BM17+'المستوى الثاني '!BC16+'المستوى الثالث '!BB16)</f>
        <v>4.1875</v>
      </c>
      <c r="BE17" s="48" t="str">
        <f>VLOOKUP(BD17,المرجع!$D$3:$F$11,3,TRUE)</f>
        <v>جيد جد مرتفع</v>
      </c>
      <c r="BF17" s="22">
        <f t="shared" si="13"/>
        <v>16</v>
      </c>
    </row>
    <row r="18" spans="1:58" ht="28.5">
      <c r="A18" s="36">
        <v>2024193</v>
      </c>
      <c r="B18" s="40" t="s">
        <v>39</v>
      </c>
      <c r="C18" s="43">
        <v>1</v>
      </c>
      <c r="D18" s="36">
        <v>98</v>
      </c>
      <c r="E18" s="11">
        <f>VLOOKUP(D18,المرجع!$B$2:$C$11,2)</f>
        <v>5</v>
      </c>
      <c r="F18" s="45" t="str">
        <f>VLOOKUP(E18,المرجع!$D$2:$E$11,2)</f>
        <v xml:space="preserve">أ+ </v>
      </c>
      <c r="G18" s="10">
        <f t="shared" si="0"/>
        <v>5</v>
      </c>
      <c r="H18" s="46">
        <v>3</v>
      </c>
      <c r="I18" s="36">
        <v>92</v>
      </c>
      <c r="J18" s="11">
        <f>VLOOKUP(I18,المرجع!$B$2:$C$11,2)</f>
        <v>4.75</v>
      </c>
      <c r="K18" s="45" t="str">
        <f>VLOOKUP(J18,المرجع!$D$2:$E$11,2)</f>
        <v>أ</v>
      </c>
      <c r="L18" s="10">
        <f t="shared" si="1"/>
        <v>14.25</v>
      </c>
      <c r="M18" s="46">
        <v>3</v>
      </c>
      <c r="N18" s="36">
        <v>92</v>
      </c>
      <c r="O18" s="11">
        <f>VLOOKUP(N18,المرجع!$B$2:$C$11,2)</f>
        <v>4.75</v>
      </c>
      <c r="P18" s="45" t="str">
        <f>VLOOKUP(O18,المرجع!$D$2:$E$11,2)</f>
        <v>أ</v>
      </c>
      <c r="Q18" s="10">
        <f t="shared" si="2"/>
        <v>14.25</v>
      </c>
      <c r="R18" s="46">
        <v>3</v>
      </c>
      <c r="S18" s="36">
        <v>92</v>
      </c>
      <c r="T18" s="11">
        <f>VLOOKUP(S18,المرجع!$B$2:$C$11,2)</f>
        <v>4.75</v>
      </c>
      <c r="U18" s="45" t="str">
        <f>VLOOKUP(T18,المرجع!$D$2:$E$11,2)</f>
        <v>أ</v>
      </c>
      <c r="V18" s="10">
        <f t="shared" si="3"/>
        <v>14.25</v>
      </c>
      <c r="W18" s="46">
        <v>2</v>
      </c>
      <c r="X18" s="36">
        <v>76</v>
      </c>
      <c r="Y18" s="11">
        <f>VLOOKUP(X18,المرجع!$B$2:$C$11,2)</f>
        <v>3.5</v>
      </c>
      <c r="Z18" s="45" t="str">
        <f>VLOOKUP(Y18,المرجع!$D$2:$E$11,2)</f>
        <v>ج+</v>
      </c>
      <c r="AA18" s="10">
        <f t="shared" si="4"/>
        <v>7</v>
      </c>
      <c r="AB18" s="43">
        <v>3</v>
      </c>
      <c r="AC18" s="36">
        <v>95</v>
      </c>
      <c r="AD18" s="11">
        <f>VLOOKUP(AC18,المرجع!$B$2:$C$11,2)</f>
        <v>5</v>
      </c>
      <c r="AE18" s="45" t="str">
        <f>VLOOKUP(AD18,المرجع!$D$2:$E$11,2)</f>
        <v xml:space="preserve">أ+ </v>
      </c>
      <c r="AF18" s="10">
        <f t="shared" si="5"/>
        <v>15</v>
      </c>
      <c r="AG18" s="46">
        <v>2</v>
      </c>
      <c r="AH18" s="36">
        <v>93</v>
      </c>
      <c r="AI18" s="11">
        <f>VLOOKUP(AH18,المرجع!$B$2:$C$11,2)</f>
        <v>4.75</v>
      </c>
      <c r="AJ18" s="45" t="str">
        <f>VLOOKUP(AI18,المرجع!$D$2:$E$11,2)</f>
        <v>أ</v>
      </c>
      <c r="AK18" s="10">
        <f t="shared" si="6"/>
        <v>9.5</v>
      </c>
      <c r="AL18" s="46">
        <v>2</v>
      </c>
      <c r="AM18" s="36">
        <v>66</v>
      </c>
      <c r="AN18" s="11">
        <f>VLOOKUP(AM18,المرجع!$B$2:$C$11,2)</f>
        <v>2.5</v>
      </c>
      <c r="AO18" s="45" t="str">
        <f>VLOOKUP(AN18,المرجع!$D$2:$E$11,2)</f>
        <v>د+</v>
      </c>
      <c r="AP18" s="10">
        <f t="shared" si="7"/>
        <v>5</v>
      </c>
      <c r="AQ18" s="46">
        <v>2</v>
      </c>
      <c r="AR18" s="36">
        <v>97</v>
      </c>
      <c r="AS18" s="11">
        <f>VLOOKUP(AR18,المرجع!$B$2:$C$11,2)</f>
        <v>5</v>
      </c>
      <c r="AT18" s="45" t="str">
        <f>VLOOKUP(AS18,المرجع!$D$2:$E$11,2)</f>
        <v xml:space="preserve">أ+ </v>
      </c>
      <c r="AU18" s="10">
        <f t="shared" si="8"/>
        <v>10</v>
      </c>
      <c r="AV18" s="46">
        <v>2</v>
      </c>
      <c r="AW18" s="36">
        <v>54</v>
      </c>
      <c r="AX18" s="11">
        <f>VLOOKUP(AW18,المرجع!$B$2:$C$11,2)</f>
        <v>2</v>
      </c>
      <c r="AY18" s="45" t="str">
        <f>VLOOKUP(AX18,المرجع!$D$2:$E$11,2)</f>
        <v>د</v>
      </c>
      <c r="AZ18" s="10">
        <f t="shared" si="9"/>
        <v>4</v>
      </c>
      <c r="BA18" s="47">
        <f t="shared" si="10"/>
        <v>98.25</v>
      </c>
      <c r="BB18" s="20">
        <f t="shared" si="11"/>
        <v>23</v>
      </c>
      <c r="BC18" s="21">
        <f t="shared" si="12"/>
        <v>4.2717391304347823</v>
      </c>
      <c r="BD18" s="50">
        <f>(BA18+'المستوى الثاني '!BB18+'المستوى الأول '!BL19)/('المستوى الأول '!BM19+'المستوى الثاني '!BC18+'المستوى الثالث '!BB18)</f>
        <v>4.0955882352941178</v>
      </c>
      <c r="BE18" s="48" t="str">
        <f>VLOOKUP(BD18,المرجع!$D$3:$F$11,3,TRUE)</f>
        <v xml:space="preserve">جيد جدا </v>
      </c>
      <c r="BF18" s="22">
        <f t="shared" si="13"/>
        <v>17</v>
      </c>
    </row>
    <row r="19" spans="1:58" ht="28.5">
      <c r="A19" s="36">
        <v>2024176</v>
      </c>
      <c r="B19" s="40" t="s">
        <v>27</v>
      </c>
      <c r="C19" s="43">
        <v>1</v>
      </c>
      <c r="D19" s="36">
        <v>93</v>
      </c>
      <c r="E19" s="11">
        <f>VLOOKUP(D19,المرجع!$B$2:$C$11,2)</f>
        <v>4.75</v>
      </c>
      <c r="F19" s="45" t="str">
        <f>VLOOKUP(E19,المرجع!$D$2:$E$11,2)</f>
        <v>أ</v>
      </c>
      <c r="G19" s="10">
        <f t="shared" si="0"/>
        <v>4.75</v>
      </c>
      <c r="H19" s="46">
        <v>3</v>
      </c>
      <c r="I19" s="36">
        <v>96</v>
      </c>
      <c r="J19" s="11">
        <f>VLOOKUP(I19,المرجع!$B$2:$C$11,2)</f>
        <v>5</v>
      </c>
      <c r="K19" s="45" t="str">
        <f>VLOOKUP(J19,المرجع!$D$2:$E$11,2)</f>
        <v xml:space="preserve">أ+ </v>
      </c>
      <c r="L19" s="10">
        <f t="shared" si="1"/>
        <v>15</v>
      </c>
      <c r="M19" s="46">
        <v>3</v>
      </c>
      <c r="N19" s="36">
        <v>96</v>
      </c>
      <c r="O19" s="11">
        <f>VLOOKUP(N19,المرجع!$B$2:$C$11,2)</f>
        <v>5</v>
      </c>
      <c r="P19" s="45" t="str">
        <f>VLOOKUP(O19,المرجع!$D$2:$E$11,2)</f>
        <v xml:space="preserve">أ+ </v>
      </c>
      <c r="Q19" s="10">
        <f t="shared" si="2"/>
        <v>15</v>
      </c>
      <c r="R19" s="46">
        <v>3</v>
      </c>
      <c r="S19" s="36">
        <v>95</v>
      </c>
      <c r="T19" s="11">
        <f>VLOOKUP(S19,المرجع!$B$2:$C$11,2)</f>
        <v>5</v>
      </c>
      <c r="U19" s="45" t="str">
        <f>VLOOKUP(T19,المرجع!$D$2:$E$11,2)</f>
        <v xml:space="preserve">أ+ </v>
      </c>
      <c r="V19" s="10">
        <f t="shared" si="3"/>
        <v>15</v>
      </c>
      <c r="W19" s="46">
        <v>2</v>
      </c>
      <c r="X19" s="36">
        <v>64</v>
      </c>
      <c r="Y19" s="11">
        <f>VLOOKUP(X19,المرجع!$B$2:$C$11,2)</f>
        <v>2</v>
      </c>
      <c r="Z19" s="45" t="str">
        <f>VLOOKUP(Y19,المرجع!$D$2:$E$11,2)</f>
        <v>د</v>
      </c>
      <c r="AA19" s="10">
        <f t="shared" si="4"/>
        <v>4</v>
      </c>
      <c r="AB19" s="43">
        <v>3</v>
      </c>
      <c r="AC19" s="36">
        <v>90</v>
      </c>
      <c r="AD19" s="11">
        <f>VLOOKUP(AC19,المرجع!$B$2:$C$11,2)</f>
        <v>4.75</v>
      </c>
      <c r="AE19" s="45" t="str">
        <f>VLOOKUP(AD19,المرجع!$D$2:$E$11,2)</f>
        <v>أ</v>
      </c>
      <c r="AF19" s="10">
        <f t="shared" si="5"/>
        <v>14.25</v>
      </c>
      <c r="AG19" s="46">
        <v>2</v>
      </c>
      <c r="AH19" s="36">
        <v>95</v>
      </c>
      <c r="AI19" s="11">
        <f>VLOOKUP(AH19,المرجع!$B$2:$C$11,2)</f>
        <v>5</v>
      </c>
      <c r="AJ19" s="45" t="str">
        <f>VLOOKUP(AI19,المرجع!$D$2:$E$11,2)</f>
        <v xml:space="preserve">أ+ </v>
      </c>
      <c r="AK19" s="10">
        <f t="shared" si="6"/>
        <v>10</v>
      </c>
      <c r="AL19" s="46">
        <v>2</v>
      </c>
      <c r="AM19" s="36">
        <v>50</v>
      </c>
      <c r="AN19" s="11">
        <f>VLOOKUP(AM19,المرجع!$B$2:$C$11,2)</f>
        <v>2</v>
      </c>
      <c r="AO19" s="45" t="str">
        <f>VLOOKUP(AN19,المرجع!$D$2:$E$11,2)</f>
        <v>د</v>
      </c>
      <c r="AP19" s="10">
        <f t="shared" si="7"/>
        <v>4</v>
      </c>
      <c r="AQ19" s="46">
        <v>2</v>
      </c>
      <c r="AR19" s="36">
        <v>82</v>
      </c>
      <c r="AS19" s="11">
        <f>VLOOKUP(AR19,المرجع!$B$2:$C$11,2)</f>
        <v>4</v>
      </c>
      <c r="AT19" s="45" t="str">
        <f>VLOOKUP(AS19,المرجع!$D$2:$E$11,2)</f>
        <v>ب</v>
      </c>
      <c r="AU19" s="10">
        <f t="shared" si="8"/>
        <v>8</v>
      </c>
      <c r="AV19" s="46">
        <v>2</v>
      </c>
      <c r="AW19" s="36">
        <v>80</v>
      </c>
      <c r="AX19" s="11">
        <f>VLOOKUP(AW19,المرجع!$B$2:$C$11,2)</f>
        <v>4</v>
      </c>
      <c r="AY19" s="45" t="str">
        <f>VLOOKUP(AX19,المرجع!$D$2:$E$11,2)</f>
        <v>ب</v>
      </c>
      <c r="AZ19" s="10">
        <f t="shared" si="9"/>
        <v>8</v>
      </c>
      <c r="BA19" s="47">
        <f t="shared" si="10"/>
        <v>98</v>
      </c>
      <c r="BB19" s="20">
        <f t="shared" si="11"/>
        <v>23</v>
      </c>
      <c r="BC19" s="21">
        <f t="shared" si="12"/>
        <v>4.2608695652173916</v>
      </c>
      <c r="BD19" s="50">
        <f>(BA19+'المستوى الثاني '!BB19+'المستوى الأول '!BL20)/('المستوى الأول '!BM20+'المستوى الثاني '!BC19+'المستوى الثالث '!BB19)</f>
        <v>4.0735294117647056</v>
      </c>
      <c r="BE19" s="48" t="str">
        <f>VLOOKUP(BD19,المرجع!$D$3:$F$11,3,TRUE)</f>
        <v xml:space="preserve">جيد جدا </v>
      </c>
      <c r="BF19" s="22">
        <f t="shared" si="13"/>
        <v>18</v>
      </c>
    </row>
    <row r="20" spans="1:58" ht="28.5">
      <c r="A20" s="36">
        <v>2024157</v>
      </c>
      <c r="B20" s="40" t="s">
        <v>32</v>
      </c>
      <c r="C20" s="43">
        <v>1</v>
      </c>
      <c r="D20" s="36">
        <v>96</v>
      </c>
      <c r="E20" s="11">
        <f>VLOOKUP(D20,المرجع!$B$2:$C$11,2)</f>
        <v>5</v>
      </c>
      <c r="F20" s="45" t="str">
        <f>VLOOKUP(E20,المرجع!$D$2:$E$11,2)</f>
        <v xml:space="preserve">أ+ </v>
      </c>
      <c r="G20" s="10">
        <f t="shared" si="0"/>
        <v>5</v>
      </c>
      <c r="H20" s="46">
        <v>3</v>
      </c>
      <c r="I20" s="36">
        <v>99</v>
      </c>
      <c r="J20" s="11">
        <f>VLOOKUP(I20,المرجع!$B$2:$C$11,2)</f>
        <v>5</v>
      </c>
      <c r="K20" s="45" t="str">
        <f>VLOOKUP(J20,المرجع!$D$2:$E$11,2)</f>
        <v xml:space="preserve">أ+ </v>
      </c>
      <c r="L20" s="10">
        <f t="shared" si="1"/>
        <v>15</v>
      </c>
      <c r="M20" s="46">
        <v>3</v>
      </c>
      <c r="N20" s="36">
        <v>78</v>
      </c>
      <c r="O20" s="11">
        <f>VLOOKUP(N20,المرجع!$B$2:$C$11,2)</f>
        <v>3.5</v>
      </c>
      <c r="P20" s="45" t="str">
        <f>VLOOKUP(O20,المرجع!$D$2:$E$11,2)</f>
        <v>ج+</v>
      </c>
      <c r="Q20" s="10">
        <f t="shared" si="2"/>
        <v>10.5</v>
      </c>
      <c r="R20" s="46">
        <v>3</v>
      </c>
      <c r="S20" s="36">
        <v>98</v>
      </c>
      <c r="T20" s="11">
        <f>VLOOKUP(S20,المرجع!$B$2:$C$11,2)</f>
        <v>5</v>
      </c>
      <c r="U20" s="45" t="str">
        <f>VLOOKUP(T20,المرجع!$D$2:$E$11,2)</f>
        <v xml:space="preserve">أ+ </v>
      </c>
      <c r="V20" s="10">
        <f t="shared" si="3"/>
        <v>15</v>
      </c>
      <c r="W20" s="46">
        <v>2</v>
      </c>
      <c r="X20" s="36">
        <v>67</v>
      </c>
      <c r="Y20" s="11">
        <f>VLOOKUP(X20,المرجع!$B$2:$C$11,2)</f>
        <v>2.5</v>
      </c>
      <c r="Z20" s="45" t="str">
        <f>VLOOKUP(Y20,المرجع!$D$2:$E$11,2)</f>
        <v>د+</v>
      </c>
      <c r="AA20" s="10">
        <f t="shared" si="4"/>
        <v>5</v>
      </c>
      <c r="AB20" s="43">
        <v>3</v>
      </c>
      <c r="AC20" s="36">
        <v>100</v>
      </c>
      <c r="AD20" s="11">
        <f>VLOOKUP(AC20,المرجع!$B$2:$C$11,2)</f>
        <v>5</v>
      </c>
      <c r="AE20" s="45" t="str">
        <f>VLOOKUP(AD20,المرجع!$D$2:$E$11,2)</f>
        <v xml:space="preserve">أ+ </v>
      </c>
      <c r="AF20" s="10">
        <f t="shared" si="5"/>
        <v>15</v>
      </c>
      <c r="AG20" s="46">
        <v>2</v>
      </c>
      <c r="AH20" s="36">
        <v>100</v>
      </c>
      <c r="AI20" s="11">
        <f>VLOOKUP(AH20,المرجع!$B$2:$C$11,2)</f>
        <v>5</v>
      </c>
      <c r="AJ20" s="45" t="str">
        <f>VLOOKUP(AI20,المرجع!$D$2:$E$11,2)</f>
        <v xml:space="preserve">أ+ </v>
      </c>
      <c r="AK20" s="10">
        <f t="shared" si="6"/>
        <v>10</v>
      </c>
      <c r="AL20" s="46">
        <v>2</v>
      </c>
      <c r="AM20" s="36">
        <v>77</v>
      </c>
      <c r="AN20" s="11">
        <f>VLOOKUP(AM20,المرجع!$B$2:$C$11,2)</f>
        <v>3.5</v>
      </c>
      <c r="AO20" s="45" t="str">
        <f>VLOOKUP(AN20,المرجع!$D$2:$E$11,2)</f>
        <v>ج+</v>
      </c>
      <c r="AP20" s="10">
        <f t="shared" si="7"/>
        <v>7</v>
      </c>
      <c r="AQ20" s="46">
        <v>2</v>
      </c>
      <c r="AR20" s="36">
        <v>98</v>
      </c>
      <c r="AS20" s="11">
        <f>VLOOKUP(AR20,المرجع!$B$2:$C$11,2)</f>
        <v>5</v>
      </c>
      <c r="AT20" s="45" t="str">
        <f>VLOOKUP(AS20,المرجع!$D$2:$E$11,2)</f>
        <v xml:space="preserve">أ+ </v>
      </c>
      <c r="AU20" s="10">
        <f t="shared" si="8"/>
        <v>10</v>
      </c>
      <c r="AV20" s="46">
        <v>2</v>
      </c>
      <c r="AW20" s="36">
        <v>61</v>
      </c>
      <c r="AX20" s="11">
        <f>VLOOKUP(AW20,المرجع!$B$2:$C$11,2)</f>
        <v>2</v>
      </c>
      <c r="AY20" s="45" t="str">
        <f>VLOOKUP(AX20,المرجع!$D$2:$E$11,2)</f>
        <v>د</v>
      </c>
      <c r="AZ20" s="10">
        <f t="shared" si="9"/>
        <v>4</v>
      </c>
      <c r="BA20" s="47">
        <f t="shared" si="10"/>
        <v>96.5</v>
      </c>
      <c r="BB20" s="20">
        <f t="shared" si="11"/>
        <v>23</v>
      </c>
      <c r="BC20" s="21">
        <f t="shared" si="12"/>
        <v>4.1956521739130439</v>
      </c>
      <c r="BD20" s="50">
        <f>(BA20+'المستوى الثاني '!BB20+'المستوى الأول '!BL21)/('المستوى الأول '!BM21+'المستوى الثاني '!BC20+'المستوى الثالث '!BB20)</f>
        <v>3.9889705882352939</v>
      </c>
      <c r="BE20" s="48" t="str">
        <f>VLOOKUP(BD20,المرجع!$D$3:$F$11,3,TRUE)</f>
        <v xml:space="preserve">جيد جدا </v>
      </c>
      <c r="BF20" s="22">
        <f t="shared" si="13"/>
        <v>19</v>
      </c>
    </row>
    <row r="21" spans="1:58" ht="28.5">
      <c r="A21" s="36">
        <v>2024204</v>
      </c>
      <c r="B21" s="40" t="s">
        <v>51</v>
      </c>
      <c r="C21" s="43">
        <v>1</v>
      </c>
      <c r="D21" s="36">
        <v>93</v>
      </c>
      <c r="E21" s="11">
        <f>VLOOKUP(D21,المرجع!$B$2:$C$11,2)</f>
        <v>4.75</v>
      </c>
      <c r="F21" s="45" t="str">
        <f>VLOOKUP(E21,المرجع!$D$2:$E$11,2)</f>
        <v>أ</v>
      </c>
      <c r="G21" s="10">
        <f t="shared" si="0"/>
        <v>4.75</v>
      </c>
      <c r="H21" s="46">
        <v>3</v>
      </c>
      <c r="I21" s="36">
        <v>91</v>
      </c>
      <c r="J21" s="11">
        <f>VLOOKUP(I21,المرجع!$B$2:$C$11,2)</f>
        <v>4.75</v>
      </c>
      <c r="K21" s="45" t="str">
        <f>VLOOKUP(J21,المرجع!$D$2:$E$11,2)</f>
        <v>أ</v>
      </c>
      <c r="L21" s="10">
        <f t="shared" si="1"/>
        <v>14.25</v>
      </c>
      <c r="M21" s="46">
        <v>3</v>
      </c>
      <c r="N21" s="36">
        <v>75</v>
      </c>
      <c r="O21" s="11">
        <f>VLOOKUP(N21,المرجع!$B$2:$C$11,2)</f>
        <v>3.5</v>
      </c>
      <c r="P21" s="45" t="str">
        <f>VLOOKUP(O21,المرجع!$D$2:$E$11,2)</f>
        <v>ج+</v>
      </c>
      <c r="Q21" s="10">
        <f t="shared" si="2"/>
        <v>10.5</v>
      </c>
      <c r="R21" s="46">
        <v>3</v>
      </c>
      <c r="S21" s="36">
        <v>92</v>
      </c>
      <c r="T21" s="11">
        <f>VLOOKUP(S21,المرجع!$B$2:$C$11,2)</f>
        <v>4.75</v>
      </c>
      <c r="U21" s="45" t="str">
        <f>VLOOKUP(T21,المرجع!$D$2:$E$11,2)</f>
        <v>أ</v>
      </c>
      <c r="V21" s="10">
        <f t="shared" si="3"/>
        <v>14.25</v>
      </c>
      <c r="W21" s="46">
        <v>2</v>
      </c>
      <c r="X21" s="36">
        <v>69</v>
      </c>
      <c r="Y21" s="11">
        <f>VLOOKUP(X21,المرجع!$B$2:$C$11,2)</f>
        <v>2.5</v>
      </c>
      <c r="Z21" s="45" t="str">
        <f>VLOOKUP(Y21,المرجع!$D$2:$E$11,2)</f>
        <v>د+</v>
      </c>
      <c r="AA21" s="10">
        <f t="shared" si="4"/>
        <v>5</v>
      </c>
      <c r="AB21" s="43">
        <v>3</v>
      </c>
      <c r="AC21" s="36">
        <v>86</v>
      </c>
      <c r="AD21" s="11">
        <f>VLOOKUP(AC21,المرجع!$B$2:$C$11,2)</f>
        <v>4.5</v>
      </c>
      <c r="AE21" s="45" t="str">
        <f>VLOOKUP(AD21,المرجع!$D$2:$E$11,2)</f>
        <v>ب+</v>
      </c>
      <c r="AF21" s="10">
        <f t="shared" si="5"/>
        <v>13.5</v>
      </c>
      <c r="AG21" s="46">
        <v>2</v>
      </c>
      <c r="AH21" s="36">
        <v>90</v>
      </c>
      <c r="AI21" s="11">
        <f>VLOOKUP(AH21,المرجع!$B$2:$C$11,2)</f>
        <v>4.75</v>
      </c>
      <c r="AJ21" s="45" t="str">
        <f>VLOOKUP(AI21,المرجع!$D$2:$E$11,2)</f>
        <v>أ</v>
      </c>
      <c r="AK21" s="10">
        <f t="shared" si="6"/>
        <v>9.5</v>
      </c>
      <c r="AL21" s="46">
        <v>2</v>
      </c>
      <c r="AM21" s="36">
        <v>50</v>
      </c>
      <c r="AN21" s="11">
        <f>VLOOKUP(AM21,المرجع!$B$2:$C$11,2)</f>
        <v>2</v>
      </c>
      <c r="AO21" s="45" t="str">
        <f>VLOOKUP(AN21,المرجع!$D$2:$E$11,2)</f>
        <v>د</v>
      </c>
      <c r="AP21" s="10">
        <f t="shared" si="7"/>
        <v>4</v>
      </c>
      <c r="AQ21" s="46">
        <v>2</v>
      </c>
      <c r="AR21" s="36">
        <v>85</v>
      </c>
      <c r="AS21" s="11">
        <f>VLOOKUP(AR21,المرجع!$B$2:$C$11,2)</f>
        <v>4.5</v>
      </c>
      <c r="AT21" s="45" t="str">
        <f>VLOOKUP(AS21,المرجع!$D$2:$E$11,2)</f>
        <v>ب+</v>
      </c>
      <c r="AU21" s="10">
        <f t="shared" si="8"/>
        <v>9</v>
      </c>
      <c r="AV21" s="46">
        <v>2</v>
      </c>
      <c r="AW21" s="36">
        <v>95</v>
      </c>
      <c r="AX21" s="11">
        <f>VLOOKUP(AW21,المرجع!$B$2:$C$11,2)</f>
        <v>5</v>
      </c>
      <c r="AY21" s="45" t="str">
        <f>VLOOKUP(AX21,المرجع!$D$2:$E$11,2)</f>
        <v xml:space="preserve">أ+ </v>
      </c>
      <c r="AZ21" s="10">
        <f t="shared" si="9"/>
        <v>10</v>
      </c>
      <c r="BA21" s="47">
        <f t="shared" si="10"/>
        <v>94.75</v>
      </c>
      <c r="BB21" s="20">
        <f t="shared" si="11"/>
        <v>23</v>
      </c>
      <c r="BC21" s="21">
        <f t="shared" si="12"/>
        <v>4.1195652173913047</v>
      </c>
      <c r="BD21" s="50">
        <f>(BA21+'المستوى الثاني '!BB21+'المستوى الأول '!BL22)/('المستوى الأول '!BM22+'المستوى الثاني '!BC21+'المستوى الثالث '!BB21)</f>
        <v>3.8897058823529411</v>
      </c>
      <c r="BE21" s="48" t="str">
        <f>VLOOKUP(BD21,المرجع!$D$3:$F$11,3,TRUE)</f>
        <v xml:space="preserve">جيد جدا </v>
      </c>
      <c r="BF21" s="22">
        <f t="shared" si="13"/>
        <v>20</v>
      </c>
    </row>
    <row r="22" spans="1:58" ht="28.5">
      <c r="A22" s="36">
        <v>2024161</v>
      </c>
      <c r="B22" s="40" t="s">
        <v>24</v>
      </c>
      <c r="C22" s="43">
        <v>1</v>
      </c>
      <c r="D22" s="36">
        <v>89</v>
      </c>
      <c r="E22" s="11">
        <f>VLOOKUP(D22,المرجع!$B$2:$C$11,2)</f>
        <v>4.5</v>
      </c>
      <c r="F22" s="45" t="str">
        <f>VLOOKUP(E22,المرجع!$D$2:$E$11,2)</f>
        <v>ب+</v>
      </c>
      <c r="G22" s="10">
        <f t="shared" si="0"/>
        <v>4.5</v>
      </c>
      <c r="H22" s="46">
        <v>3</v>
      </c>
      <c r="I22" s="36">
        <v>89</v>
      </c>
      <c r="J22" s="11">
        <f>VLOOKUP(I22,المرجع!$B$2:$C$11,2)</f>
        <v>4.5</v>
      </c>
      <c r="K22" s="45" t="str">
        <f>VLOOKUP(J22,المرجع!$D$2:$E$11,2)</f>
        <v>ب+</v>
      </c>
      <c r="L22" s="10">
        <f t="shared" si="1"/>
        <v>13.5</v>
      </c>
      <c r="M22" s="46">
        <v>3</v>
      </c>
      <c r="N22" s="36">
        <v>68</v>
      </c>
      <c r="O22" s="11">
        <f>VLOOKUP(N22,المرجع!$B$2:$C$11,2)</f>
        <v>2.5</v>
      </c>
      <c r="P22" s="45" t="str">
        <f>VLOOKUP(O22,المرجع!$D$2:$E$11,2)</f>
        <v>د+</v>
      </c>
      <c r="Q22" s="10">
        <f t="shared" si="2"/>
        <v>7.5</v>
      </c>
      <c r="R22" s="46">
        <v>3</v>
      </c>
      <c r="S22" s="36">
        <v>98</v>
      </c>
      <c r="T22" s="11">
        <f>VLOOKUP(S22,المرجع!$B$2:$C$11,2)</f>
        <v>5</v>
      </c>
      <c r="U22" s="45" t="str">
        <f>VLOOKUP(T22,المرجع!$D$2:$E$11,2)</f>
        <v xml:space="preserve">أ+ </v>
      </c>
      <c r="V22" s="10">
        <f t="shared" si="3"/>
        <v>15</v>
      </c>
      <c r="W22" s="46">
        <v>2</v>
      </c>
      <c r="X22" s="36">
        <v>83</v>
      </c>
      <c r="Y22" s="11">
        <f>VLOOKUP(X22,المرجع!$B$2:$C$11,2)</f>
        <v>4</v>
      </c>
      <c r="Z22" s="45" t="str">
        <f>VLOOKUP(Y22,المرجع!$D$2:$E$11,2)</f>
        <v>ب</v>
      </c>
      <c r="AA22" s="10">
        <f t="shared" si="4"/>
        <v>8</v>
      </c>
      <c r="AB22" s="43">
        <v>3</v>
      </c>
      <c r="AC22" s="36">
        <v>95</v>
      </c>
      <c r="AD22" s="11">
        <f>VLOOKUP(AC22,المرجع!$B$2:$C$11,2)</f>
        <v>5</v>
      </c>
      <c r="AE22" s="45" t="str">
        <f>VLOOKUP(AD22,المرجع!$D$2:$E$11,2)</f>
        <v xml:space="preserve">أ+ </v>
      </c>
      <c r="AF22" s="10">
        <f t="shared" si="5"/>
        <v>15</v>
      </c>
      <c r="AG22" s="46">
        <v>2</v>
      </c>
      <c r="AH22" s="36">
        <v>78</v>
      </c>
      <c r="AI22" s="11">
        <f>VLOOKUP(AH22,المرجع!$B$2:$C$11,2)</f>
        <v>3.5</v>
      </c>
      <c r="AJ22" s="45" t="str">
        <f>VLOOKUP(AI22,المرجع!$D$2:$E$11,2)</f>
        <v>ج+</v>
      </c>
      <c r="AK22" s="10">
        <f t="shared" si="6"/>
        <v>7</v>
      </c>
      <c r="AL22" s="46">
        <v>2</v>
      </c>
      <c r="AM22" s="36">
        <v>55</v>
      </c>
      <c r="AN22" s="11">
        <f>VLOOKUP(AM22,المرجع!$B$2:$C$11,2)</f>
        <v>2</v>
      </c>
      <c r="AO22" s="45" t="str">
        <f>VLOOKUP(AN22,المرجع!$D$2:$E$11,2)</f>
        <v>د</v>
      </c>
      <c r="AP22" s="10">
        <f t="shared" si="7"/>
        <v>4</v>
      </c>
      <c r="AQ22" s="46">
        <v>2</v>
      </c>
      <c r="AR22" s="36">
        <v>87</v>
      </c>
      <c r="AS22" s="11">
        <f>VLOOKUP(AR22,المرجع!$B$2:$C$11,2)</f>
        <v>4.5</v>
      </c>
      <c r="AT22" s="45" t="str">
        <f>VLOOKUP(AS22,المرجع!$D$2:$E$11,2)</f>
        <v>ب+</v>
      </c>
      <c r="AU22" s="10">
        <f t="shared" si="8"/>
        <v>9</v>
      </c>
      <c r="AV22" s="46">
        <v>2</v>
      </c>
      <c r="AW22" s="36">
        <v>75</v>
      </c>
      <c r="AX22" s="11">
        <f>VLOOKUP(AW22,المرجع!$B$2:$C$11,2)</f>
        <v>3.5</v>
      </c>
      <c r="AY22" s="45" t="str">
        <f>VLOOKUP(AX22,المرجع!$D$2:$E$11,2)</f>
        <v>ج+</v>
      </c>
      <c r="AZ22" s="10">
        <f t="shared" si="9"/>
        <v>7</v>
      </c>
      <c r="BA22" s="47">
        <f t="shared" si="10"/>
        <v>90.5</v>
      </c>
      <c r="BB22" s="20">
        <f t="shared" si="11"/>
        <v>23</v>
      </c>
      <c r="BC22" s="21">
        <f t="shared" si="12"/>
        <v>3.9347826086956523</v>
      </c>
      <c r="BD22" s="50">
        <f>(BA22+'المستوى الثاني '!BB23+'المستوى الأول '!BL24)/('المستوى الأول '!BM24+'المستوى الثاني '!BC23+'المستوى الثالث '!BB23)</f>
        <v>3.7794117647058822</v>
      </c>
      <c r="BE22" s="48" t="str">
        <f>VLOOKUP(BD22,المرجع!$D$3:$F$11,3,TRUE)</f>
        <v xml:space="preserve">جيد جدا </v>
      </c>
      <c r="BF22" s="22">
        <f t="shared" si="13"/>
        <v>21</v>
      </c>
    </row>
    <row r="23" spans="1:58" ht="28.5">
      <c r="A23" s="36">
        <v>2024212</v>
      </c>
      <c r="B23" s="40" t="s">
        <v>34</v>
      </c>
      <c r="C23" s="43">
        <v>1</v>
      </c>
      <c r="D23" s="36">
        <v>88</v>
      </c>
      <c r="E23" s="11">
        <f>VLOOKUP(D23,المرجع!$B$2:$C$11,2)</f>
        <v>4.5</v>
      </c>
      <c r="F23" s="45" t="str">
        <f>VLOOKUP(E23,المرجع!$D$2:$E$11,2)</f>
        <v>ب+</v>
      </c>
      <c r="G23" s="10">
        <f t="shared" si="0"/>
        <v>4.5</v>
      </c>
      <c r="H23" s="46">
        <v>3</v>
      </c>
      <c r="I23" s="36">
        <v>100</v>
      </c>
      <c r="J23" s="11">
        <f>VLOOKUP(I23,المرجع!$B$2:$C$11,2)</f>
        <v>5</v>
      </c>
      <c r="K23" s="45" t="str">
        <f>VLOOKUP(J23,المرجع!$D$2:$E$11,2)</f>
        <v xml:space="preserve">أ+ </v>
      </c>
      <c r="L23" s="10">
        <f t="shared" si="1"/>
        <v>15</v>
      </c>
      <c r="M23" s="46">
        <v>3</v>
      </c>
      <c r="N23" s="36">
        <v>85</v>
      </c>
      <c r="O23" s="11">
        <f>VLOOKUP(N23,المرجع!$B$2:$C$11,2)</f>
        <v>4.5</v>
      </c>
      <c r="P23" s="45" t="str">
        <f>VLOOKUP(O23,المرجع!$D$2:$E$11,2)</f>
        <v>ب+</v>
      </c>
      <c r="Q23" s="10">
        <f t="shared" si="2"/>
        <v>13.5</v>
      </c>
      <c r="R23" s="46">
        <v>3</v>
      </c>
      <c r="S23" s="36">
        <v>98</v>
      </c>
      <c r="T23" s="11">
        <f>VLOOKUP(S23,المرجع!$B$2:$C$11,2)</f>
        <v>5</v>
      </c>
      <c r="U23" s="45" t="str">
        <f>VLOOKUP(T23,المرجع!$D$2:$E$11,2)</f>
        <v xml:space="preserve">أ+ </v>
      </c>
      <c r="V23" s="10">
        <f t="shared" si="3"/>
        <v>15</v>
      </c>
      <c r="W23" s="46">
        <v>2</v>
      </c>
      <c r="X23" s="36">
        <v>52</v>
      </c>
      <c r="Y23" s="11">
        <f>VLOOKUP(X23,المرجع!$B$2:$C$11,2)</f>
        <v>2</v>
      </c>
      <c r="Z23" s="45" t="str">
        <f>VLOOKUP(Y23,المرجع!$D$2:$E$11,2)</f>
        <v>د</v>
      </c>
      <c r="AA23" s="10">
        <f t="shared" si="4"/>
        <v>4</v>
      </c>
      <c r="AB23" s="43">
        <v>3</v>
      </c>
      <c r="AC23" s="36">
        <v>98</v>
      </c>
      <c r="AD23" s="11">
        <f>VLOOKUP(AC23,المرجع!$B$2:$C$11,2)</f>
        <v>5</v>
      </c>
      <c r="AE23" s="45" t="str">
        <f>VLOOKUP(AD23,المرجع!$D$2:$E$11,2)</f>
        <v xml:space="preserve">أ+ </v>
      </c>
      <c r="AF23" s="10">
        <f t="shared" si="5"/>
        <v>15</v>
      </c>
      <c r="AG23" s="46">
        <v>2</v>
      </c>
      <c r="AH23" s="36">
        <v>88</v>
      </c>
      <c r="AI23" s="11">
        <f>VLOOKUP(AH23,المرجع!$B$2:$C$11,2)</f>
        <v>4.5</v>
      </c>
      <c r="AJ23" s="45" t="str">
        <f>VLOOKUP(AI23,المرجع!$D$2:$E$11,2)</f>
        <v>ب+</v>
      </c>
      <c r="AK23" s="10">
        <f t="shared" si="6"/>
        <v>9</v>
      </c>
      <c r="AL23" s="46">
        <v>2</v>
      </c>
      <c r="AM23" s="36">
        <v>78</v>
      </c>
      <c r="AN23" s="11">
        <f>VLOOKUP(AM23,المرجع!$B$2:$C$11,2)</f>
        <v>3.5</v>
      </c>
      <c r="AO23" s="45" t="str">
        <f>VLOOKUP(AN23,المرجع!$D$2:$E$11,2)</f>
        <v>ج+</v>
      </c>
      <c r="AP23" s="10">
        <f t="shared" si="7"/>
        <v>7</v>
      </c>
      <c r="AQ23" s="46">
        <v>2</v>
      </c>
      <c r="AR23" s="36">
        <v>86</v>
      </c>
      <c r="AS23" s="11">
        <f>VLOOKUP(AR23,المرجع!$B$2:$C$11,2)</f>
        <v>4.5</v>
      </c>
      <c r="AT23" s="45" t="str">
        <f>VLOOKUP(AS23,المرجع!$D$2:$E$11,2)</f>
        <v>ب+</v>
      </c>
      <c r="AU23" s="10">
        <f t="shared" si="8"/>
        <v>9</v>
      </c>
      <c r="AV23" s="46">
        <v>2</v>
      </c>
      <c r="AW23" s="36">
        <v>34</v>
      </c>
      <c r="AX23" s="11">
        <f>VLOOKUP(AW23,المرجع!$B$2:$C$11,2)</f>
        <v>0</v>
      </c>
      <c r="AY23" s="45" t="str">
        <f>VLOOKUP(AX23,المرجع!$D$2:$E$11,2)</f>
        <v>ه</v>
      </c>
      <c r="AZ23" s="10">
        <f t="shared" si="9"/>
        <v>0</v>
      </c>
      <c r="BA23" s="47">
        <f t="shared" si="10"/>
        <v>92</v>
      </c>
      <c r="BB23" s="20">
        <f t="shared" si="11"/>
        <v>23</v>
      </c>
      <c r="BC23" s="21">
        <f t="shared" si="12"/>
        <v>4</v>
      </c>
      <c r="BD23" s="50">
        <f>(BA23+'المستوى الثاني '!BB22+'المستوى الأول '!BL23)/('المستوى الأول '!BM23+'المستوى الثاني '!BC22+'المستوى الثالث '!BB22)</f>
        <v>3.7794117647058822</v>
      </c>
      <c r="BE23" s="48" t="str">
        <f>VLOOKUP(BD23,المرجع!$D$3:$F$11,3,TRUE)</f>
        <v xml:space="preserve">جيد جدا </v>
      </c>
      <c r="BF23" s="22">
        <f t="shared" si="13"/>
        <v>21</v>
      </c>
    </row>
    <row r="24" spans="1:58" ht="28.5">
      <c r="A24" s="36">
        <v>2024188</v>
      </c>
      <c r="B24" s="40" t="s">
        <v>43</v>
      </c>
      <c r="C24" s="43">
        <v>1</v>
      </c>
      <c r="D24" s="36">
        <v>18</v>
      </c>
      <c r="E24" s="11">
        <f>VLOOKUP(D24,المرجع!$B$2:$C$11,2)</f>
        <v>0</v>
      </c>
      <c r="F24" s="45" t="str">
        <f>VLOOKUP(E24,المرجع!$D$2:$E$11,2)</f>
        <v>ه</v>
      </c>
      <c r="G24" s="10">
        <f t="shared" si="0"/>
        <v>0</v>
      </c>
      <c r="H24" s="46">
        <v>3</v>
      </c>
      <c r="I24" s="36">
        <v>95</v>
      </c>
      <c r="J24" s="11">
        <f>VLOOKUP(I24,المرجع!$B$2:$C$11,2)</f>
        <v>5</v>
      </c>
      <c r="K24" s="45" t="str">
        <f>VLOOKUP(J24,المرجع!$D$2:$E$11,2)</f>
        <v xml:space="preserve">أ+ </v>
      </c>
      <c r="L24" s="10">
        <f t="shared" si="1"/>
        <v>15</v>
      </c>
      <c r="M24" s="46">
        <v>3</v>
      </c>
      <c r="N24" s="36">
        <v>73</v>
      </c>
      <c r="O24" s="11">
        <f>VLOOKUP(N24,المرجع!$B$2:$C$11,2)</f>
        <v>3</v>
      </c>
      <c r="P24" s="45" t="str">
        <f>VLOOKUP(O24,المرجع!$D$2:$E$11,2)</f>
        <v>ج</v>
      </c>
      <c r="Q24" s="10">
        <f t="shared" si="2"/>
        <v>9</v>
      </c>
      <c r="R24" s="46">
        <v>3</v>
      </c>
      <c r="S24" s="36">
        <v>65</v>
      </c>
      <c r="T24" s="11">
        <f>VLOOKUP(S24,المرجع!$B$2:$C$11,2)</f>
        <v>2.5</v>
      </c>
      <c r="U24" s="45" t="str">
        <f>VLOOKUP(T24,المرجع!$D$2:$E$11,2)</f>
        <v>د+</v>
      </c>
      <c r="V24" s="10">
        <f t="shared" si="3"/>
        <v>7.5</v>
      </c>
      <c r="W24" s="46">
        <v>2</v>
      </c>
      <c r="X24" s="36">
        <v>86</v>
      </c>
      <c r="Y24" s="11">
        <f>VLOOKUP(X24,المرجع!$B$2:$C$11,2)</f>
        <v>4.5</v>
      </c>
      <c r="Z24" s="45" t="str">
        <f>VLOOKUP(Y24,المرجع!$D$2:$E$11,2)</f>
        <v>ب+</v>
      </c>
      <c r="AA24" s="10">
        <f t="shared" si="4"/>
        <v>9</v>
      </c>
      <c r="AB24" s="43">
        <v>3</v>
      </c>
      <c r="AC24" s="36">
        <v>100</v>
      </c>
      <c r="AD24" s="11">
        <f>VLOOKUP(AC24,المرجع!$B$2:$C$11,2)</f>
        <v>5</v>
      </c>
      <c r="AE24" s="45" t="str">
        <f>VLOOKUP(AD24,المرجع!$D$2:$E$11,2)</f>
        <v xml:space="preserve">أ+ </v>
      </c>
      <c r="AF24" s="10">
        <f t="shared" si="5"/>
        <v>15</v>
      </c>
      <c r="AG24" s="46">
        <v>2</v>
      </c>
      <c r="AH24" s="36">
        <v>96</v>
      </c>
      <c r="AI24" s="11">
        <f>VLOOKUP(AH24,المرجع!$B$2:$C$11,2)</f>
        <v>5</v>
      </c>
      <c r="AJ24" s="45" t="str">
        <f>VLOOKUP(AI24,المرجع!$D$2:$E$11,2)</f>
        <v xml:space="preserve">أ+ </v>
      </c>
      <c r="AK24" s="10">
        <f t="shared" si="6"/>
        <v>10</v>
      </c>
      <c r="AL24" s="46">
        <v>2</v>
      </c>
      <c r="AM24" s="36">
        <v>67</v>
      </c>
      <c r="AN24" s="11">
        <f>VLOOKUP(AM24,المرجع!$B$2:$C$11,2)</f>
        <v>2.5</v>
      </c>
      <c r="AO24" s="45" t="str">
        <f>VLOOKUP(AN24,المرجع!$D$2:$E$11,2)</f>
        <v>د+</v>
      </c>
      <c r="AP24" s="10">
        <f t="shared" si="7"/>
        <v>5</v>
      </c>
      <c r="AQ24" s="46">
        <v>2</v>
      </c>
      <c r="AR24" s="36">
        <v>88</v>
      </c>
      <c r="AS24" s="11">
        <f>VLOOKUP(AR24,المرجع!$B$2:$C$11,2)</f>
        <v>4.5</v>
      </c>
      <c r="AT24" s="45" t="str">
        <f>VLOOKUP(AS24,المرجع!$D$2:$E$11,2)</f>
        <v>ب+</v>
      </c>
      <c r="AU24" s="10">
        <f t="shared" si="8"/>
        <v>9</v>
      </c>
      <c r="AV24" s="46">
        <v>2</v>
      </c>
      <c r="AW24" s="36">
        <v>93</v>
      </c>
      <c r="AX24" s="11">
        <f>VLOOKUP(AW24,المرجع!$B$2:$C$11,2)</f>
        <v>4.75</v>
      </c>
      <c r="AY24" s="45" t="str">
        <f>VLOOKUP(AX24,المرجع!$D$2:$E$11,2)</f>
        <v>أ</v>
      </c>
      <c r="AZ24" s="10">
        <f t="shared" si="9"/>
        <v>9.5</v>
      </c>
      <c r="BA24" s="47">
        <f t="shared" si="10"/>
        <v>89</v>
      </c>
      <c r="BB24" s="20">
        <f t="shared" si="11"/>
        <v>23</v>
      </c>
      <c r="BC24" s="21">
        <f t="shared" si="12"/>
        <v>3.8695652173913042</v>
      </c>
      <c r="BD24" s="50">
        <f>(BA24+'المستوى الثاني '!BB24+'المستوى الأول '!BL25)/('المستوى الأول '!BM25+'المستوى الثاني '!BC24+'المستوى الثالث '!BB24)</f>
        <v>3.6727941176470589</v>
      </c>
      <c r="BE24" s="48" t="str">
        <f>VLOOKUP(BD24,المرجع!$D$3:$F$11,3,TRUE)</f>
        <v xml:space="preserve">جيد جدا </v>
      </c>
      <c r="BF24" s="22">
        <f t="shared" si="13"/>
        <v>23</v>
      </c>
    </row>
    <row r="25" spans="1:58" ht="28.5">
      <c r="A25" s="36">
        <v>2024187</v>
      </c>
      <c r="B25" s="40" t="s">
        <v>35</v>
      </c>
      <c r="C25" s="43">
        <v>1</v>
      </c>
      <c r="D25" s="36">
        <v>86</v>
      </c>
      <c r="E25" s="11">
        <f>VLOOKUP(D25,المرجع!$B$2:$C$11,2)</f>
        <v>4.5</v>
      </c>
      <c r="F25" s="45" t="str">
        <f>VLOOKUP(E25,المرجع!$D$2:$E$11,2)</f>
        <v>ب+</v>
      </c>
      <c r="G25" s="10">
        <f t="shared" si="0"/>
        <v>4.5</v>
      </c>
      <c r="H25" s="46">
        <v>3</v>
      </c>
      <c r="I25" s="36">
        <v>97</v>
      </c>
      <c r="J25" s="11">
        <f>VLOOKUP(I25,المرجع!$B$2:$C$11,2)</f>
        <v>5</v>
      </c>
      <c r="K25" s="45" t="str">
        <f>VLOOKUP(J25,المرجع!$D$2:$E$11,2)</f>
        <v xml:space="preserve">أ+ </v>
      </c>
      <c r="L25" s="10">
        <f t="shared" si="1"/>
        <v>15</v>
      </c>
      <c r="M25" s="46">
        <v>3</v>
      </c>
      <c r="N25" s="36">
        <v>65</v>
      </c>
      <c r="O25" s="11">
        <f>VLOOKUP(N25,المرجع!$B$2:$C$11,2)</f>
        <v>2.5</v>
      </c>
      <c r="P25" s="45" t="str">
        <f>VLOOKUP(O25,المرجع!$D$2:$E$11,2)</f>
        <v>د+</v>
      </c>
      <c r="Q25" s="10">
        <f t="shared" si="2"/>
        <v>7.5</v>
      </c>
      <c r="R25" s="46">
        <v>3</v>
      </c>
      <c r="S25" s="36">
        <v>56</v>
      </c>
      <c r="T25" s="11">
        <f>VLOOKUP(S25,المرجع!$B$2:$C$11,2)</f>
        <v>2</v>
      </c>
      <c r="U25" s="45" t="str">
        <f>VLOOKUP(T25,المرجع!$D$2:$E$11,2)</f>
        <v>د</v>
      </c>
      <c r="V25" s="10">
        <f t="shared" si="3"/>
        <v>6</v>
      </c>
      <c r="W25" s="46">
        <v>2</v>
      </c>
      <c r="X25" s="36">
        <v>77</v>
      </c>
      <c r="Y25" s="11">
        <f>VLOOKUP(X25,المرجع!$B$2:$C$11,2)</f>
        <v>3.5</v>
      </c>
      <c r="Z25" s="45" t="str">
        <f>VLOOKUP(Y25,المرجع!$D$2:$E$11,2)</f>
        <v>ج+</v>
      </c>
      <c r="AA25" s="10">
        <f t="shared" si="4"/>
        <v>7</v>
      </c>
      <c r="AB25" s="43">
        <v>3</v>
      </c>
      <c r="AC25" s="36">
        <v>95</v>
      </c>
      <c r="AD25" s="11">
        <f>VLOOKUP(AC25,المرجع!$B$2:$C$11,2)</f>
        <v>5</v>
      </c>
      <c r="AE25" s="45" t="str">
        <f>VLOOKUP(AD25,المرجع!$D$2:$E$11,2)</f>
        <v xml:space="preserve">أ+ </v>
      </c>
      <c r="AF25" s="10">
        <f t="shared" si="5"/>
        <v>15</v>
      </c>
      <c r="AG25" s="46">
        <v>2</v>
      </c>
      <c r="AH25" s="36">
        <v>88</v>
      </c>
      <c r="AI25" s="11">
        <f>VLOOKUP(AH25,المرجع!$B$2:$C$11,2)</f>
        <v>4.5</v>
      </c>
      <c r="AJ25" s="45" t="str">
        <f>VLOOKUP(AI25,المرجع!$D$2:$E$11,2)</f>
        <v>ب+</v>
      </c>
      <c r="AK25" s="10">
        <f t="shared" si="6"/>
        <v>9</v>
      </c>
      <c r="AL25" s="46">
        <v>2</v>
      </c>
      <c r="AM25" s="36">
        <v>58</v>
      </c>
      <c r="AN25" s="11">
        <f>VLOOKUP(AM25,المرجع!$B$2:$C$11,2)</f>
        <v>2</v>
      </c>
      <c r="AO25" s="45" t="str">
        <f>VLOOKUP(AN25,المرجع!$D$2:$E$11,2)</f>
        <v>د</v>
      </c>
      <c r="AP25" s="10">
        <f t="shared" si="7"/>
        <v>4</v>
      </c>
      <c r="AQ25" s="46">
        <v>2</v>
      </c>
      <c r="AR25" s="36">
        <v>91</v>
      </c>
      <c r="AS25" s="11">
        <f>VLOOKUP(AR25,المرجع!$B$2:$C$11,2)</f>
        <v>4.75</v>
      </c>
      <c r="AT25" s="45" t="str">
        <f>VLOOKUP(AS25,المرجع!$D$2:$E$11,2)</f>
        <v>أ</v>
      </c>
      <c r="AU25" s="10">
        <f t="shared" si="8"/>
        <v>9.5</v>
      </c>
      <c r="AV25" s="46">
        <v>2</v>
      </c>
      <c r="AW25" s="36">
        <v>82</v>
      </c>
      <c r="AX25" s="11">
        <f>VLOOKUP(AW25,المرجع!$B$2:$C$11,2)</f>
        <v>4</v>
      </c>
      <c r="AY25" s="45" t="str">
        <f>VLOOKUP(AX25,المرجع!$D$2:$E$11,2)</f>
        <v>ب</v>
      </c>
      <c r="AZ25" s="10">
        <f t="shared" si="9"/>
        <v>8</v>
      </c>
      <c r="BA25" s="47">
        <f t="shared" si="10"/>
        <v>85.5</v>
      </c>
      <c r="BB25" s="20">
        <f t="shared" si="11"/>
        <v>23</v>
      </c>
      <c r="BC25" s="21">
        <f t="shared" si="12"/>
        <v>3.7173913043478262</v>
      </c>
      <c r="BD25" s="50">
        <f>(BA25+'المستوى الثاني '!BB27+'المستوى الأول '!BL28)/('المستوى الأول '!BM28+'المستوى الثاني '!BC27+'المستوى الثالث '!BB27)</f>
        <v>3.6617647058823528</v>
      </c>
      <c r="BE25" s="48" t="str">
        <f>VLOOKUP(BD25,المرجع!$D$3:$F$11,3,TRUE)</f>
        <v xml:space="preserve">جيد جدا </v>
      </c>
      <c r="BF25" s="22">
        <f t="shared" si="13"/>
        <v>24</v>
      </c>
    </row>
    <row r="26" spans="1:58" ht="28.5">
      <c r="A26" s="36">
        <v>2024191</v>
      </c>
      <c r="B26" s="40" t="s">
        <v>45</v>
      </c>
      <c r="C26" s="43">
        <v>1</v>
      </c>
      <c r="D26" s="36">
        <v>64</v>
      </c>
      <c r="E26" s="11">
        <f>VLOOKUP(D26,المرجع!$B$2:$C$11,2)</f>
        <v>2</v>
      </c>
      <c r="F26" s="45" t="str">
        <f>VLOOKUP(E26,المرجع!$D$2:$E$11,2)</f>
        <v>د</v>
      </c>
      <c r="G26" s="10">
        <f t="shared" si="0"/>
        <v>2</v>
      </c>
      <c r="H26" s="46">
        <v>3</v>
      </c>
      <c r="I26" s="36">
        <v>99</v>
      </c>
      <c r="J26" s="11">
        <f>VLOOKUP(I26,المرجع!$B$2:$C$11,2)</f>
        <v>5</v>
      </c>
      <c r="K26" s="45" t="str">
        <f>VLOOKUP(J26,المرجع!$D$2:$E$11,2)</f>
        <v xml:space="preserve">أ+ </v>
      </c>
      <c r="L26" s="10">
        <f t="shared" si="1"/>
        <v>15</v>
      </c>
      <c r="M26" s="46">
        <v>3</v>
      </c>
      <c r="N26" s="36">
        <v>100</v>
      </c>
      <c r="O26" s="11">
        <f>VLOOKUP(N26,المرجع!$B$2:$C$11,2)</f>
        <v>5</v>
      </c>
      <c r="P26" s="45" t="str">
        <f>VLOOKUP(O26,المرجع!$D$2:$E$11,2)</f>
        <v xml:space="preserve">أ+ </v>
      </c>
      <c r="Q26" s="10">
        <f t="shared" si="2"/>
        <v>15</v>
      </c>
      <c r="R26" s="46">
        <v>3</v>
      </c>
      <c r="S26" s="36">
        <v>97</v>
      </c>
      <c r="T26" s="11">
        <f>VLOOKUP(S26,المرجع!$B$2:$C$11,2)</f>
        <v>5</v>
      </c>
      <c r="U26" s="45" t="str">
        <f>VLOOKUP(T26,المرجع!$D$2:$E$11,2)</f>
        <v xml:space="preserve">أ+ </v>
      </c>
      <c r="V26" s="10">
        <f t="shared" si="3"/>
        <v>15</v>
      </c>
      <c r="W26" s="46">
        <v>2</v>
      </c>
      <c r="X26" s="36">
        <v>70</v>
      </c>
      <c r="Y26" s="11">
        <f>VLOOKUP(X26,المرجع!$B$2:$C$11,2)</f>
        <v>3</v>
      </c>
      <c r="Z26" s="45" t="str">
        <f>VLOOKUP(Y26,المرجع!$D$2:$E$11,2)</f>
        <v>ج</v>
      </c>
      <c r="AA26" s="10">
        <f t="shared" si="4"/>
        <v>6</v>
      </c>
      <c r="AB26" s="43">
        <v>3</v>
      </c>
      <c r="AC26" s="36">
        <v>80</v>
      </c>
      <c r="AD26" s="11">
        <f>VLOOKUP(AC26,المرجع!$B$2:$C$11,2)</f>
        <v>4</v>
      </c>
      <c r="AE26" s="45" t="str">
        <f>VLOOKUP(AD26,المرجع!$D$2:$E$11,2)</f>
        <v>ب</v>
      </c>
      <c r="AF26" s="10">
        <f t="shared" si="5"/>
        <v>12</v>
      </c>
      <c r="AG26" s="46">
        <v>2</v>
      </c>
      <c r="AH26" s="36">
        <v>90</v>
      </c>
      <c r="AI26" s="11">
        <f>VLOOKUP(AH26,المرجع!$B$2:$C$11,2)</f>
        <v>4.75</v>
      </c>
      <c r="AJ26" s="45" t="str">
        <f>VLOOKUP(AI26,المرجع!$D$2:$E$11,2)</f>
        <v>أ</v>
      </c>
      <c r="AK26" s="10">
        <f t="shared" si="6"/>
        <v>9.5</v>
      </c>
      <c r="AL26" s="46">
        <v>2</v>
      </c>
      <c r="AM26" s="36">
        <v>50</v>
      </c>
      <c r="AN26" s="11">
        <f>VLOOKUP(AM26,المرجع!$B$2:$C$11,2)</f>
        <v>2</v>
      </c>
      <c r="AO26" s="45" t="str">
        <f>VLOOKUP(AN26,المرجع!$D$2:$E$11,2)</f>
        <v>د</v>
      </c>
      <c r="AP26" s="10">
        <f t="shared" si="7"/>
        <v>4</v>
      </c>
      <c r="AQ26" s="46">
        <v>2</v>
      </c>
      <c r="AR26" s="36">
        <v>73</v>
      </c>
      <c r="AS26" s="11">
        <f>VLOOKUP(AR26,المرجع!$B$2:$C$11,2)</f>
        <v>3</v>
      </c>
      <c r="AT26" s="45" t="str">
        <f>VLOOKUP(AS26,المرجع!$D$2:$E$11,2)</f>
        <v>ج</v>
      </c>
      <c r="AU26" s="10">
        <f t="shared" si="8"/>
        <v>6</v>
      </c>
      <c r="AV26" s="46">
        <v>2</v>
      </c>
      <c r="AW26" s="36">
        <v>61</v>
      </c>
      <c r="AX26" s="11">
        <f>VLOOKUP(AW26,المرجع!$B$2:$C$11,2)</f>
        <v>2</v>
      </c>
      <c r="AY26" s="45" t="str">
        <f>VLOOKUP(AX26,المرجع!$D$2:$E$11,2)</f>
        <v>د</v>
      </c>
      <c r="AZ26" s="10">
        <f t="shared" si="9"/>
        <v>4</v>
      </c>
      <c r="BA26" s="47">
        <f t="shared" si="10"/>
        <v>88.5</v>
      </c>
      <c r="BB26" s="20">
        <f t="shared" si="11"/>
        <v>23</v>
      </c>
      <c r="BC26" s="21">
        <f t="shared" si="12"/>
        <v>3.847826086956522</v>
      </c>
      <c r="BD26" s="50">
        <f>(BA26+'المستوى الثاني '!BB25+'المستوى الأول '!BL26)/('المستوى الأول '!BM26+'المستوى الثاني '!BC25+'المستوى الثالث '!BB25)</f>
        <v>3.6507352941176472</v>
      </c>
      <c r="BE26" s="48" t="str">
        <f>VLOOKUP(BD26,المرجع!$D$3:$F$11,3,TRUE)</f>
        <v xml:space="preserve">جيد جدا </v>
      </c>
      <c r="BF26" s="22">
        <f t="shared" si="13"/>
        <v>25</v>
      </c>
    </row>
    <row r="27" spans="1:58" ht="28.5">
      <c r="A27" s="36">
        <v>2024194</v>
      </c>
      <c r="B27" s="40" t="s">
        <v>38</v>
      </c>
      <c r="C27" s="43">
        <v>1</v>
      </c>
      <c r="D27" s="36">
        <v>89</v>
      </c>
      <c r="E27" s="11">
        <f>VLOOKUP(D27,المرجع!$B$2:$C$11,2)</f>
        <v>4.5</v>
      </c>
      <c r="F27" s="45" t="str">
        <f>VLOOKUP(E27,المرجع!$D$2:$E$11,2)</f>
        <v>ب+</v>
      </c>
      <c r="G27" s="10">
        <f t="shared" si="0"/>
        <v>4.5</v>
      </c>
      <c r="H27" s="46">
        <v>3</v>
      </c>
      <c r="I27" s="36">
        <v>98</v>
      </c>
      <c r="J27" s="11">
        <f>VLOOKUP(I27,المرجع!$B$2:$C$11,2)</f>
        <v>5</v>
      </c>
      <c r="K27" s="45" t="str">
        <f>VLOOKUP(J27,المرجع!$D$2:$E$11,2)</f>
        <v xml:space="preserve">أ+ </v>
      </c>
      <c r="L27" s="10">
        <f t="shared" si="1"/>
        <v>15</v>
      </c>
      <c r="M27" s="46">
        <v>3</v>
      </c>
      <c r="N27" s="36">
        <v>54</v>
      </c>
      <c r="O27" s="11">
        <f>VLOOKUP(N27,المرجع!$B$2:$C$11,2)</f>
        <v>2</v>
      </c>
      <c r="P27" s="45" t="str">
        <f>VLOOKUP(O27,المرجع!$D$2:$E$11,2)</f>
        <v>د</v>
      </c>
      <c r="Q27" s="10">
        <f t="shared" si="2"/>
        <v>6</v>
      </c>
      <c r="R27" s="46">
        <v>3</v>
      </c>
      <c r="S27" s="36">
        <v>59</v>
      </c>
      <c r="T27" s="11">
        <f>VLOOKUP(S27,المرجع!$B$2:$C$11,2)</f>
        <v>2</v>
      </c>
      <c r="U27" s="45" t="str">
        <f>VLOOKUP(T27,المرجع!$D$2:$E$11,2)</f>
        <v>د</v>
      </c>
      <c r="V27" s="10">
        <f t="shared" si="3"/>
        <v>6</v>
      </c>
      <c r="W27" s="46">
        <v>2</v>
      </c>
      <c r="X27" s="36">
        <v>73</v>
      </c>
      <c r="Y27" s="11">
        <f>VLOOKUP(X27,المرجع!$B$2:$C$11,2)</f>
        <v>3</v>
      </c>
      <c r="Z27" s="45" t="str">
        <f>VLOOKUP(Y27,المرجع!$D$2:$E$11,2)</f>
        <v>ج</v>
      </c>
      <c r="AA27" s="10">
        <f t="shared" si="4"/>
        <v>6</v>
      </c>
      <c r="AB27" s="43">
        <v>3</v>
      </c>
      <c r="AC27" s="36">
        <v>95</v>
      </c>
      <c r="AD27" s="11">
        <f>VLOOKUP(AC27,المرجع!$B$2:$C$11,2)</f>
        <v>5</v>
      </c>
      <c r="AE27" s="45" t="str">
        <f>VLOOKUP(AD27,المرجع!$D$2:$E$11,2)</f>
        <v xml:space="preserve">أ+ </v>
      </c>
      <c r="AF27" s="10">
        <f t="shared" si="5"/>
        <v>15</v>
      </c>
      <c r="AG27" s="46">
        <v>2</v>
      </c>
      <c r="AH27" s="36">
        <v>96</v>
      </c>
      <c r="AI27" s="11">
        <f>VLOOKUP(AH27,المرجع!$B$2:$C$11,2)</f>
        <v>5</v>
      </c>
      <c r="AJ27" s="45" t="str">
        <f>VLOOKUP(AI27,المرجع!$D$2:$E$11,2)</f>
        <v xml:space="preserve">أ+ </v>
      </c>
      <c r="AK27" s="10">
        <f t="shared" si="6"/>
        <v>10</v>
      </c>
      <c r="AL27" s="46">
        <v>2</v>
      </c>
      <c r="AM27" s="36">
        <v>65</v>
      </c>
      <c r="AN27" s="11">
        <f>VLOOKUP(AM27,المرجع!$B$2:$C$11,2)</f>
        <v>2.5</v>
      </c>
      <c r="AO27" s="45" t="str">
        <f>VLOOKUP(AN27,المرجع!$D$2:$E$11,2)</f>
        <v>د+</v>
      </c>
      <c r="AP27" s="10">
        <f t="shared" si="7"/>
        <v>5</v>
      </c>
      <c r="AQ27" s="46">
        <v>2</v>
      </c>
      <c r="AR27" s="36">
        <v>86</v>
      </c>
      <c r="AS27" s="11">
        <f>VLOOKUP(AR27,المرجع!$B$2:$C$11,2)</f>
        <v>4.5</v>
      </c>
      <c r="AT27" s="45" t="str">
        <f>VLOOKUP(AS27,المرجع!$D$2:$E$11,2)</f>
        <v>ب+</v>
      </c>
      <c r="AU27" s="10">
        <f t="shared" si="8"/>
        <v>9</v>
      </c>
      <c r="AV27" s="46">
        <v>2</v>
      </c>
      <c r="AW27" s="36">
        <v>91</v>
      </c>
      <c r="AX27" s="11">
        <f>VLOOKUP(AW27,المرجع!$B$2:$C$11,2)</f>
        <v>4.75</v>
      </c>
      <c r="AY27" s="45" t="str">
        <f>VLOOKUP(AX27,المرجع!$D$2:$E$11,2)</f>
        <v>أ</v>
      </c>
      <c r="AZ27" s="10">
        <f t="shared" si="9"/>
        <v>9.5</v>
      </c>
      <c r="BA27" s="47">
        <f t="shared" si="10"/>
        <v>86</v>
      </c>
      <c r="BB27" s="20">
        <f t="shared" si="11"/>
        <v>23</v>
      </c>
      <c r="BC27" s="21">
        <f t="shared" si="12"/>
        <v>3.7391304347826089</v>
      </c>
      <c r="BD27" s="50">
        <f>(BA27+'المستوى الثاني '!BB26+'المستوى الأول '!BL27)/('المستوى الأول '!BM27+'المستوى الثاني '!BC26+'المستوى الثالث '!BB26)</f>
        <v>3.5882352941176472</v>
      </c>
      <c r="BE27" s="48" t="str">
        <f>VLOOKUP(BD27,المرجع!$D$3:$F$11,3,TRUE)</f>
        <v xml:space="preserve">جيد مرتفع </v>
      </c>
      <c r="BF27" s="22">
        <f t="shared" si="13"/>
        <v>26</v>
      </c>
    </row>
    <row r="28" spans="1:58" ht="28.5">
      <c r="A28" s="36">
        <v>2024164</v>
      </c>
      <c r="B28" s="40" t="s">
        <v>41</v>
      </c>
      <c r="C28" s="43">
        <v>1</v>
      </c>
      <c r="D28" s="36">
        <v>52</v>
      </c>
      <c r="E28" s="11">
        <f>VLOOKUP(D28,المرجع!$B$2:$C$11,2)</f>
        <v>2</v>
      </c>
      <c r="F28" s="45" t="str">
        <f>VLOOKUP(E28,المرجع!$D$2:$E$11,2)</f>
        <v>د</v>
      </c>
      <c r="G28" s="10">
        <f t="shared" si="0"/>
        <v>2</v>
      </c>
      <c r="H28" s="46">
        <v>3</v>
      </c>
      <c r="I28" s="36">
        <v>94</v>
      </c>
      <c r="J28" s="11">
        <f>VLOOKUP(I28,المرجع!$B$2:$C$11,2)</f>
        <v>4.75</v>
      </c>
      <c r="K28" s="45" t="str">
        <f>VLOOKUP(J28,المرجع!$D$2:$E$11,2)</f>
        <v>أ</v>
      </c>
      <c r="L28" s="10">
        <f t="shared" si="1"/>
        <v>14.25</v>
      </c>
      <c r="M28" s="46">
        <v>3</v>
      </c>
      <c r="N28" s="36">
        <v>50</v>
      </c>
      <c r="O28" s="11">
        <f>VLOOKUP(N28,المرجع!$B$2:$C$11,2)</f>
        <v>2</v>
      </c>
      <c r="P28" s="45" t="str">
        <f>VLOOKUP(O28,المرجع!$D$2:$E$11,2)</f>
        <v>د</v>
      </c>
      <c r="Q28" s="10">
        <f t="shared" si="2"/>
        <v>6</v>
      </c>
      <c r="R28" s="46">
        <v>3</v>
      </c>
      <c r="S28" s="36">
        <v>93</v>
      </c>
      <c r="T28" s="11">
        <f>VLOOKUP(S28,المرجع!$B$2:$C$11,2)</f>
        <v>4.75</v>
      </c>
      <c r="U28" s="45" t="str">
        <f>VLOOKUP(T28,المرجع!$D$2:$E$11,2)</f>
        <v>أ</v>
      </c>
      <c r="V28" s="10">
        <f t="shared" si="3"/>
        <v>14.25</v>
      </c>
      <c r="W28" s="46">
        <v>2</v>
      </c>
      <c r="X28" s="36">
        <v>57</v>
      </c>
      <c r="Y28" s="11">
        <f>VLOOKUP(X28,المرجع!$B$2:$C$11,2)</f>
        <v>2</v>
      </c>
      <c r="Z28" s="45" t="str">
        <f>VLOOKUP(Y28,المرجع!$D$2:$E$11,2)</f>
        <v>د</v>
      </c>
      <c r="AA28" s="10">
        <f t="shared" si="4"/>
        <v>4</v>
      </c>
      <c r="AB28" s="43">
        <v>3</v>
      </c>
      <c r="AC28" s="36">
        <v>95</v>
      </c>
      <c r="AD28" s="11">
        <f>VLOOKUP(AC28,المرجع!$B$2:$C$11,2)</f>
        <v>5</v>
      </c>
      <c r="AE28" s="45" t="str">
        <f>VLOOKUP(AD28,المرجع!$D$2:$E$11,2)</f>
        <v xml:space="preserve">أ+ </v>
      </c>
      <c r="AF28" s="10">
        <f t="shared" si="5"/>
        <v>15</v>
      </c>
      <c r="AG28" s="46">
        <v>2</v>
      </c>
      <c r="AH28" s="36">
        <v>60</v>
      </c>
      <c r="AI28" s="11">
        <f>VLOOKUP(AH28,المرجع!$B$2:$C$11,2)</f>
        <v>2</v>
      </c>
      <c r="AJ28" s="45" t="str">
        <f>VLOOKUP(AI28,المرجع!$D$2:$E$11,2)</f>
        <v>د</v>
      </c>
      <c r="AK28" s="10">
        <f t="shared" si="6"/>
        <v>4</v>
      </c>
      <c r="AL28" s="46">
        <v>2</v>
      </c>
      <c r="AM28" s="36">
        <v>58</v>
      </c>
      <c r="AN28" s="11">
        <f>VLOOKUP(AM28,المرجع!$B$2:$C$11,2)</f>
        <v>2</v>
      </c>
      <c r="AO28" s="45" t="str">
        <f>VLOOKUP(AN28,المرجع!$D$2:$E$11,2)</f>
        <v>د</v>
      </c>
      <c r="AP28" s="10">
        <f t="shared" si="7"/>
        <v>4</v>
      </c>
      <c r="AQ28" s="46">
        <v>2</v>
      </c>
      <c r="AR28" s="36">
        <v>86</v>
      </c>
      <c r="AS28" s="11">
        <f>VLOOKUP(AR28,المرجع!$B$2:$C$11,2)</f>
        <v>4.5</v>
      </c>
      <c r="AT28" s="45" t="str">
        <f>VLOOKUP(AS28,المرجع!$D$2:$E$11,2)</f>
        <v>ب+</v>
      </c>
      <c r="AU28" s="10">
        <f t="shared" si="8"/>
        <v>9</v>
      </c>
      <c r="AV28" s="46">
        <v>2</v>
      </c>
      <c r="AW28" s="36">
        <v>51</v>
      </c>
      <c r="AX28" s="11">
        <f>VLOOKUP(AW28,المرجع!$B$2:$C$11,2)</f>
        <v>2</v>
      </c>
      <c r="AY28" s="45" t="str">
        <f>VLOOKUP(AX28,المرجع!$D$2:$E$11,2)</f>
        <v>د</v>
      </c>
      <c r="AZ28" s="10">
        <f t="shared" si="9"/>
        <v>4</v>
      </c>
      <c r="BA28" s="47">
        <f t="shared" si="10"/>
        <v>76.5</v>
      </c>
      <c r="BB28" s="20">
        <f t="shared" si="11"/>
        <v>23</v>
      </c>
      <c r="BC28" s="21">
        <f t="shared" si="12"/>
        <v>3.3260869565217392</v>
      </c>
      <c r="BD28" s="50">
        <f>(BA28+'المستوى الثاني '!BB31+'المستوى الأول '!BL32)/('المستوى الأول '!BM32+'المستوى الثاني '!BC31+'المستوى الثالث '!BB31)</f>
        <v>3.5404411764705883</v>
      </c>
      <c r="BE28" s="48" t="str">
        <f>VLOOKUP(BD28,المرجع!$D$3:$F$11,3,TRUE)</f>
        <v xml:space="preserve">جيد مرتفع </v>
      </c>
      <c r="BF28" s="22">
        <f t="shared" si="13"/>
        <v>27</v>
      </c>
    </row>
    <row r="29" spans="1:58" ht="28.5">
      <c r="A29" s="36">
        <v>2024199</v>
      </c>
      <c r="B29" s="40" t="s">
        <v>48</v>
      </c>
      <c r="C29" s="43">
        <v>1</v>
      </c>
      <c r="D29" s="36">
        <v>82</v>
      </c>
      <c r="E29" s="11">
        <f>VLOOKUP(D29,المرجع!$B$2:$C$11,2)</f>
        <v>4</v>
      </c>
      <c r="F29" s="45" t="str">
        <f>VLOOKUP(E29,المرجع!$D$2:$E$11,2)</f>
        <v>ب</v>
      </c>
      <c r="G29" s="10">
        <f t="shared" si="0"/>
        <v>4</v>
      </c>
      <c r="H29" s="46">
        <v>3</v>
      </c>
      <c r="I29" s="36">
        <v>94</v>
      </c>
      <c r="J29" s="11">
        <f>VLOOKUP(I29,المرجع!$B$2:$C$11,2)</f>
        <v>4.75</v>
      </c>
      <c r="K29" s="45" t="str">
        <f>VLOOKUP(J29,المرجع!$D$2:$E$11,2)</f>
        <v>أ</v>
      </c>
      <c r="L29" s="10">
        <f t="shared" si="1"/>
        <v>14.25</v>
      </c>
      <c r="M29" s="46">
        <v>3</v>
      </c>
      <c r="N29" s="36">
        <v>56</v>
      </c>
      <c r="O29" s="11">
        <f>VLOOKUP(N29,المرجع!$B$2:$C$11,2)</f>
        <v>2</v>
      </c>
      <c r="P29" s="45" t="str">
        <f>VLOOKUP(O29,المرجع!$D$2:$E$11,2)</f>
        <v>د</v>
      </c>
      <c r="Q29" s="10">
        <f t="shared" si="2"/>
        <v>6</v>
      </c>
      <c r="R29" s="46">
        <v>3</v>
      </c>
      <c r="S29" s="36">
        <v>92</v>
      </c>
      <c r="T29" s="11">
        <f>VLOOKUP(S29,المرجع!$B$2:$C$11,2)</f>
        <v>4.75</v>
      </c>
      <c r="U29" s="45" t="str">
        <f>VLOOKUP(T29,المرجع!$D$2:$E$11,2)</f>
        <v>أ</v>
      </c>
      <c r="V29" s="10">
        <f t="shared" si="3"/>
        <v>14.25</v>
      </c>
      <c r="W29" s="46">
        <v>2</v>
      </c>
      <c r="X29" s="36">
        <v>55</v>
      </c>
      <c r="Y29" s="11">
        <f>VLOOKUP(X29,المرجع!$B$2:$C$11,2)</f>
        <v>2</v>
      </c>
      <c r="Z29" s="45" t="str">
        <f>VLOOKUP(Y29,المرجع!$D$2:$E$11,2)</f>
        <v>د</v>
      </c>
      <c r="AA29" s="10">
        <f t="shared" si="4"/>
        <v>4</v>
      </c>
      <c r="AB29" s="43">
        <v>3</v>
      </c>
      <c r="AC29" s="36">
        <v>81</v>
      </c>
      <c r="AD29" s="11">
        <f>VLOOKUP(AC29,المرجع!$B$2:$C$11,2)</f>
        <v>4</v>
      </c>
      <c r="AE29" s="45" t="str">
        <f>VLOOKUP(AD29,المرجع!$D$2:$E$11,2)</f>
        <v>ب</v>
      </c>
      <c r="AF29" s="10">
        <f t="shared" si="5"/>
        <v>12</v>
      </c>
      <c r="AG29" s="46">
        <v>2</v>
      </c>
      <c r="AH29" s="36">
        <v>75</v>
      </c>
      <c r="AI29" s="11">
        <f>VLOOKUP(AH29,المرجع!$B$2:$C$11,2)</f>
        <v>3.5</v>
      </c>
      <c r="AJ29" s="45" t="str">
        <f>VLOOKUP(AI29,المرجع!$D$2:$E$11,2)</f>
        <v>ج+</v>
      </c>
      <c r="AK29" s="10">
        <f t="shared" si="6"/>
        <v>7</v>
      </c>
      <c r="AL29" s="46">
        <v>2</v>
      </c>
      <c r="AM29" s="36">
        <v>50</v>
      </c>
      <c r="AN29" s="11">
        <f>VLOOKUP(AM29,المرجع!$B$2:$C$11,2)</f>
        <v>2</v>
      </c>
      <c r="AO29" s="45" t="str">
        <f>VLOOKUP(AN29,المرجع!$D$2:$E$11,2)</f>
        <v>د</v>
      </c>
      <c r="AP29" s="10">
        <f t="shared" si="7"/>
        <v>4</v>
      </c>
      <c r="AQ29" s="46">
        <v>2</v>
      </c>
      <c r="AR29" s="36">
        <v>60</v>
      </c>
      <c r="AS29" s="11">
        <f>VLOOKUP(AR29,المرجع!$B$2:$C$11,2)</f>
        <v>2</v>
      </c>
      <c r="AT29" s="45" t="str">
        <f>VLOOKUP(AS29,المرجع!$D$2:$E$11,2)</f>
        <v>د</v>
      </c>
      <c r="AU29" s="10">
        <f t="shared" si="8"/>
        <v>4</v>
      </c>
      <c r="AV29" s="46">
        <v>2</v>
      </c>
      <c r="AW29" s="36">
        <v>85</v>
      </c>
      <c r="AX29" s="11">
        <f>VLOOKUP(AW29,المرجع!$B$2:$C$11,2)</f>
        <v>4.5</v>
      </c>
      <c r="AY29" s="45" t="str">
        <f>VLOOKUP(AX29,المرجع!$D$2:$E$11,2)</f>
        <v>ب+</v>
      </c>
      <c r="AZ29" s="10">
        <f t="shared" si="9"/>
        <v>9</v>
      </c>
      <c r="BA29" s="47">
        <f t="shared" si="10"/>
        <v>78.5</v>
      </c>
      <c r="BB29" s="20">
        <f t="shared" si="11"/>
        <v>23</v>
      </c>
      <c r="BC29" s="21">
        <f t="shared" si="12"/>
        <v>3.4130434782608696</v>
      </c>
      <c r="BD29" s="50">
        <f>(BA29+'المستوى الثاني '!BB29+'المستوى الأول '!BL30)/('المستوى الأول '!BM30+'المستوى الثاني '!BC29+'المستوى الثالث '!BB29)</f>
        <v>3.3786764705882355</v>
      </c>
      <c r="BE29" s="48" t="str">
        <f>VLOOKUP(BD29,المرجع!$D$3:$F$11,3,TRUE)</f>
        <v xml:space="preserve">جيد مرتفع </v>
      </c>
      <c r="BF29" s="22">
        <f t="shared" si="13"/>
        <v>28</v>
      </c>
    </row>
    <row r="30" spans="1:58" ht="28.5">
      <c r="A30" s="36">
        <v>2024160</v>
      </c>
      <c r="B30" s="40" t="s">
        <v>33</v>
      </c>
      <c r="C30" s="43">
        <v>1</v>
      </c>
      <c r="D30" s="36">
        <v>85</v>
      </c>
      <c r="E30" s="11">
        <f>VLOOKUP(D30,المرجع!$B$2:$C$11,2)</f>
        <v>4.5</v>
      </c>
      <c r="F30" s="45" t="str">
        <f>VLOOKUP(E30,المرجع!$D$2:$E$11,2)</f>
        <v>ب+</v>
      </c>
      <c r="G30" s="10">
        <f t="shared" si="0"/>
        <v>4.5</v>
      </c>
      <c r="H30" s="46">
        <v>3</v>
      </c>
      <c r="I30" s="36">
        <v>89</v>
      </c>
      <c r="J30" s="11">
        <f>VLOOKUP(I30,المرجع!$B$2:$C$11,2)</f>
        <v>4.5</v>
      </c>
      <c r="K30" s="45" t="str">
        <f>VLOOKUP(J30,المرجع!$D$2:$E$11,2)</f>
        <v>ب+</v>
      </c>
      <c r="L30" s="10">
        <f t="shared" si="1"/>
        <v>13.5</v>
      </c>
      <c r="M30" s="46">
        <v>3</v>
      </c>
      <c r="N30" s="36">
        <v>79</v>
      </c>
      <c r="O30" s="11">
        <f>VLOOKUP(N30,المرجع!$B$2:$C$11,2)</f>
        <v>3.5</v>
      </c>
      <c r="P30" s="45" t="str">
        <f>VLOOKUP(O30,المرجع!$D$2:$E$11,2)</f>
        <v>ج+</v>
      </c>
      <c r="Q30" s="10">
        <f t="shared" si="2"/>
        <v>10.5</v>
      </c>
      <c r="R30" s="46">
        <v>3</v>
      </c>
      <c r="S30" s="36">
        <v>91</v>
      </c>
      <c r="T30" s="11">
        <f>VLOOKUP(S30,المرجع!$B$2:$C$11,2)</f>
        <v>4.75</v>
      </c>
      <c r="U30" s="45" t="str">
        <f>VLOOKUP(T30,المرجع!$D$2:$E$11,2)</f>
        <v>أ</v>
      </c>
      <c r="V30" s="10">
        <f t="shared" si="3"/>
        <v>14.25</v>
      </c>
      <c r="W30" s="46">
        <v>2</v>
      </c>
      <c r="X30" s="36">
        <v>54</v>
      </c>
      <c r="Y30" s="11">
        <f>VLOOKUP(X30,المرجع!$B$2:$C$11,2)</f>
        <v>2</v>
      </c>
      <c r="Z30" s="45" t="str">
        <f>VLOOKUP(Y30,المرجع!$D$2:$E$11,2)</f>
        <v>د</v>
      </c>
      <c r="AA30" s="10">
        <f t="shared" si="4"/>
        <v>4</v>
      </c>
      <c r="AB30" s="43">
        <v>3</v>
      </c>
      <c r="AC30" s="36">
        <v>99</v>
      </c>
      <c r="AD30" s="11">
        <f>VLOOKUP(AC30,المرجع!$B$2:$C$11,2)</f>
        <v>5</v>
      </c>
      <c r="AE30" s="45" t="str">
        <f>VLOOKUP(AD30,المرجع!$D$2:$E$11,2)</f>
        <v xml:space="preserve">أ+ </v>
      </c>
      <c r="AF30" s="10">
        <f t="shared" si="5"/>
        <v>15</v>
      </c>
      <c r="AG30" s="46">
        <v>2</v>
      </c>
      <c r="AH30" s="36">
        <v>78</v>
      </c>
      <c r="AI30" s="11">
        <f>VLOOKUP(AH30,المرجع!$B$2:$C$11,2)</f>
        <v>3.5</v>
      </c>
      <c r="AJ30" s="45" t="str">
        <f>VLOOKUP(AI30,المرجع!$D$2:$E$11,2)</f>
        <v>ج+</v>
      </c>
      <c r="AK30" s="10">
        <f t="shared" si="6"/>
        <v>7</v>
      </c>
      <c r="AL30" s="46">
        <v>2</v>
      </c>
      <c r="AM30" s="36">
        <v>50</v>
      </c>
      <c r="AN30" s="11">
        <f>VLOOKUP(AM30,المرجع!$B$2:$C$11,2)</f>
        <v>2</v>
      </c>
      <c r="AO30" s="45" t="str">
        <f>VLOOKUP(AN30,المرجع!$D$2:$E$11,2)</f>
        <v>د</v>
      </c>
      <c r="AP30" s="10">
        <f t="shared" si="7"/>
        <v>4</v>
      </c>
      <c r="AQ30" s="46">
        <v>2</v>
      </c>
      <c r="AR30" s="36">
        <v>79</v>
      </c>
      <c r="AS30" s="11">
        <f>VLOOKUP(AR30,المرجع!$B$2:$C$11,2)</f>
        <v>3.5</v>
      </c>
      <c r="AT30" s="45" t="str">
        <f>VLOOKUP(AS30,المرجع!$D$2:$E$11,2)</f>
        <v>ج+</v>
      </c>
      <c r="AU30" s="10">
        <f t="shared" si="8"/>
        <v>7</v>
      </c>
      <c r="AV30" s="46">
        <v>2</v>
      </c>
      <c r="AW30" s="36">
        <v>34</v>
      </c>
      <c r="AX30" s="11">
        <f>VLOOKUP(AW30,المرجع!$B$2:$C$11,2)</f>
        <v>0</v>
      </c>
      <c r="AY30" s="45" t="str">
        <f>VLOOKUP(AX30,المرجع!$D$2:$E$11,2)</f>
        <v>ه</v>
      </c>
      <c r="AZ30" s="10">
        <f t="shared" si="9"/>
        <v>0</v>
      </c>
      <c r="BA30" s="47">
        <f t="shared" si="10"/>
        <v>79.75</v>
      </c>
      <c r="BB30" s="20">
        <f t="shared" si="11"/>
        <v>23</v>
      </c>
      <c r="BC30" s="21">
        <f t="shared" si="12"/>
        <v>3.4673913043478262</v>
      </c>
      <c r="BD30" s="50">
        <f>(BA30+'المستوى الثاني '!BB28+'المستوى الأول '!BL29)/('المستوى الأول '!BM29+'المستوى الثاني '!BC28+'المستوى الثالث '!BB28)</f>
        <v>3.3602941176470589</v>
      </c>
      <c r="BE30" s="48" t="str">
        <f>VLOOKUP(BD30,المرجع!$D$3:$F$11,3,TRUE)</f>
        <v xml:space="preserve">جيد مرتفع </v>
      </c>
      <c r="BF30" s="22">
        <f t="shared" si="13"/>
        <v>29</v>
      </c>
    </row>
    <row r="31" spans="1:58" ht="28.5">
      <c r="A31" s="36">
        <v>2024196</v>
      </c>
      <c r="B31" s="40" t="s">
        <v>36</v>
      </c>
      <c r="C31" s="43">
        <v>1</v>
      </c>
      <c r="D31" s="36">
        <v>18</v>
      </c>
      <c r="E31" s="11">
        <f>VLOOKUP(D31,المرجع!$B$2:$C$11,2)</f>
        <v>0</v>
      </c>
      <c r="F31" s="45" t="str">
        <f>VLOOKUP(E31,المرجع!$D$2:$E$11,2)</f>
        <v>ه</v>
      </c>
      <c r="G31" s="10">
        <f t="shared" si="0"/>
        <v>0</v>
      </c>
      <c r="H31" s="46">
        <v>3</v>
      </c>
      <c r="I31" s="36">
        <v>100</v>
      </c>
      <c r="J31" s="11">
        <f>VLOOKUP(I31,المرجع!$B$2:$C$11,2)</f>
        <v>5</v>
      </c>
      <c r="K31" s="45" t="str">
        <f>VLOOKUP(J31,المرجع!$D$2:$E$11,2)</f>
        <v xml:space="preserve">أ+ </v>
      </c>
      <c r="L31" s="10">
        <f t="shared" si="1"/>
        <v>15</v>
      </c>
      <c r="M31" s="46">
        <v>3</v>
      </c>
      <c r="N31" s="36">
        <v>65</v>
      </c>
      <c r="O31" s="11">
        <f>VLOOKUP(N31,المرجع!$B$2:$C$11,2)</f>
        <v>2.5</v>
      </c>
      <c r="P31" s="45" t="str">
        <f>VLOOKUP(O31,المرجع!$D$2:$E$11,2)</f>
        <v>د+</v>
      </c>
      <c r="Q31" s="10">
        <f t="shared" si="2"/>
        <v>7.5</v>
      </c>
      <c r="R31" s="46">
        <v>3</v>
      </c>
      <c r="S31" s="36">
        <v>70</v>
      </c>
      <c r="T31" s="11">
        <f>VLOOKUP(S31,المرجع!$B$2:$C$11,2)</f>
        <v>3</v>
      </c>
      <c r="U31" s="45" t="str">
        <f>VLOOKUP(T31,المرجع!$D$2:$E$11,2)</f>
        <v>ج</v>
      </c>
      <c r="V31" s="10">
        <f t="shared" si="3"/>
        <v>9</v>
      </c>
      <c r="W31" s="46">
        <v>2</v>
      </c>
      <c r="X31" s="36">
        <v>58</v>
      </c>
      <c r="Y31" s="11">
        <f>VLOOKUP(X31,المرجع!$B$2:$C$11,2)</f>
        <v>2</v>
      </c>
      <c r="Z31" s="45" t="str">
        <f>VLOOKUP(Y31,المرجع!$D$2:$E$11,2)</f>
        <v>د</v>
      </c>
      <c r="AA31" s="10">
        <f t="shared" si="4"/>
        <v>4</v>
      </c>
      <c r="AB31" s="43">
        <v>3</v>
      </c>
      <c r="AC31" s="36">
        <v>100</v>
      </c>
      <c r="AD31" s="11">
        <f>VLOOKUP(AC31,المرجع!$B$2:$C$11,2)</f>
        <v>5</v>
      </c>
      <c r="AE31" s="45" t="str">
        <f>VLOOKUP(AD31,المرجع!$D$2:$E$11,2)</f>
        <v xml:space="preserve">أ+ </v>
      </c>
      <c r="AF31" s="10">
        <f t="shared" si="5"/>
        <v>15</v>
      </c>
      <c r="AG31" s="46">
        <v>2</v>
      </c>
      <c r="AH31" s="36">
        <v>93</v>
      </c>
      <c r="AI31" s="11">
        <f>VLOOKUP(AH31,المرجع!$B$2:$C$11,2)</f>
        <v>4.75</v>
      </c>
      <c r="AJ31" s="45" t="str">
        <f>VLOOKUP(AI31,المرجع!$D$2:$E$11,2)</f>
        <v>أ</v>
      </c>
      <c r="AK31" s="10">
        <f t="shared" si="6"/>
        <v>9.5</v>
      </c>
      <c r="AL31" s="46">
        <v>2</v>
      </c>
      <c r="AM31" s="36">
        <v>63</v>
      </c>
      <c r="AN31" s="11">
        <f>VLOOKUP(AM31,المرجع!$B$2:$C$11,2)</f>
        <v>2</v>
      </c>
      <c r="AO31" s="45" t="str">
        <f>VLOOKUP(AN31,المرجع!$D$2:$E$11,2)</f>
        <v>د</v>
      </c>
      <c r="AP31" s="10">
        <f t="shared" si="7"/>
        <v>4</v>
      </c>
      <c r="AQ31" s="46">
        <v>2</v>
      </c>
      <c r="AR31" s="36">
        <v>86</v>
      </c>
      <c r="AS31" s="11">
        <f>VLOOKUP(AR31,المرجع!$B$2:$C$11,2)</f>
        <v>4.5</v>
      </c>
      <c r="AT31" s="45" t="str">
        <f>VLOOKUP(AS31,المرجع!$D$2:$E$11,2)</f>
        <v>ب+</v>
      </c>
      <c r="AU31" s="10">
        <f t="shared" si="8"/>
        <v>9</v>
      </c>
      <c r="AV31" s="46">
        <v>2</v>
      </c>
      <c r="AW31" s="36">
        <v>62</v>
      </c>
      <c r="AX31" s="11">
        <f>VLOOKUP(AW31,المرجع!$B$2:$C$11,2)</f>
        <v>2</v>
      </c>
      <c r="AY31" s="45" t="str">
        <f>VLOOKUP(AX31,المرجع!$D$2:$E$11,2)</f>
        <v>د</v>
      </c>
      <c r="AZ31" s="10">
        <f t="shared" si="9"/>
        <v>4</v>
      </c>
      <c r="BA31" s="47">
        <f t="shared" si="10"/>
        <v>77</v>
      </c>
      <c r="BB31" s="20">
        <f t="shared" si="11"/>
        <v>23</v>
      </c>
      <c r="BC31" s="21">
        <f t="shared" si="12"/>
        <v>3.347826086956522</v>
      </c>
      <c r="BD31" s="50">
        <f>(BA31+'المستوى الثاني '!BB30+'المستوى الأول '!BL31)/('المستوى الأول '!BM31+'المستوى الثاني '!BC30+'المستوى الثالث '!BB30)</f>
        <v>3.3345588235294117</v>
      </c>
      <c r="BE31" s="48" t="str">
        <f>VLOOKUP(BD31,المرجع!$D$3:$F$11,3,TRUE)</f>
        <v xml:space="preserve">جيد مرتفع </v>
      </c>
      <c r="BF31" s="22">
        <f t="shared" si="13"/>
        <v>30</v>
      </c>
    </row>
    <row r="32" spans="1:58" ht="28.5">
      <c r="A32" s="36">
        <v>2024172</v>
      </c>
      <c r="B32" s="40" t="s">
        <v>47</v>
      </c>
      <c r="C32" s="43">
        <v>1</v>
      </c>
      <c r="D32" s="36">
        <v>90</v>
      </c>
      <c r="E32" s="11">
        <f>VLOOKUP(D32,المرجع!$B$2:$C$11,2)</f>
        <v>4.75</v>
      </c>
      <c r="F32" s="45" t="str">
        <f>VLOOKUP(E32,المرجع!$D$2:$E$11,2)</f>
        <v>أ</v>
      </c>
      <c r="G32" s="10">
        <f t="shared" si="0"/>
        <v>4.75</v>
      </c>
      <c r="H32" s="46">
        <v>3</v>
      </c>
      <c r="I32" s="36">
        <v>80</v>
      </c>
      <c r="J32" s="11">
        <f>VLOOKUP(I32,المرجع!$B$2:$C$11,2)</f>
        <v>4</v>
      </c>
      <c r="K32" s="45" t="str">
        <f>VLOOKUP(J32,المرجع!$D$2:$E$11,2)</f>
        <v>ب</v>
      </c>
      <c r="L32" s="10">
        <f t="shared" si="1"/>
        <v>12</v>
      </c>
      <c r="M32" s="46">
        <v>3</v>
      </c>
      <c r="N32" s="36">
        <v>62</v>
      </c>
      <c r="O32" s="11">
        <f>VLOOKUP(N32,المرجع!$B$2:$C$11,2)</f>
        <v>2</v>
      </c>
      <c r="P32" s="45" t="str">
        <f>VLOOKUP(O32,المرجع!$D$2:$E$11,2)</f>
        <v>د</v>
      </c>
      <c r="Q32" s="10">
        <f t="shared" si="2"/>
        <v>6</v>
      </c>
      <c r="R32" s="46">
        <v>3</v>
      </c>
      <c r="S32" s="36">
        <v>92</v>
      </c>
      <c r="T32" s="11">
        <f>VLOOKUP(S32,المرجع!$B$2:$C$11,2)</f>
        <v>4.75</v>
      </c>
      <c r="U32" s="45" t="str">
        <f>VLOOKUP(T32,المرجع!$D$2:$E$11,2)</f>
        <v>أ</v>
      </c>
      <c r="V32" s="10">
        <f t="shared" si="3"/>
        <v>14.25</v>
      </c>
      <c r="W32" s="46">
        <v>2</v>
      </c>
      <c r="X32" s="36">
        <v>34</v>
      </c>
      <c r="Y32" s="11">
        <f>VLOOKUP(X32,المرجع!$B$2:$C$11,2)</f>
        <v>0</v>
      </c>
      <c r="Z32" s="45" t="str">
        <f>VLOOKUP(Y32,المرجع!$D$2:$E$11,2)</f>
        <v>ه</v>
      </c>
      <c r="AA32" s="10">
        <f t="shared" si="4"/>
        <v>0</v>
      </c>
      <c r="AB32" s="43">
        <v>3</v>
      </c>
      <c r="AC32" s="36">
        <v>92</v>
      </c>
      <c r="AD32" s="11">
        <f>VLOOKUP(AC32,المرجع!$B$2:$C$11,2)</f>
        <v>4.75</v>
      </c>
      <c r="AE32" s="45" t="str">
        <f>VLOOKUP(AD32,المرجع!$D$2:$E$11,2)</f>
        <v>أ</v>
      </c>
      <c r="AF32" s="10">
        <f t="shared" si="5"/>
        <v>14.25</v>
      </c>
      <c r="AG32" s="46">
        <v>2</v>
      </c>
      <c r="AH32" s="36">
        <v>83</v>
      </c>
      <c r="AI32" s="11">
        <f>VLOOKUP(AH32,المرجع!$B$2:$C$11,2)</f>
        <v>4</v>
      </c>
      <c r="AJ32" s="45" t="str">
        <f>VLOOKUP(AI32,المرجع!$D$2:$E$11,2)</f>
        <v>ب</v>
      </c>
      <c r="AK32" s="10">
        <f t="shared" si="6"/>
        <v>8</v>
      </c>
      <c r="AL32" s="46">
        <v>2</v>
      </c>
      <c r="AM32" s="36">
        <v>52</v>
      </c>
      <c r="AN32" s="11">
        <f>VLOOKUP(AM32,المرجع!$B$2:$C$11,2)</f>
        <v>2</v>
      </c>
      <c r="AO32" s="45" t="str">
        <f>VLOOKUP(AN32,المرجع!$D$2:$E$11,2)</f>
        <v>د</v>
      </c>
      <c r="AP32" s="10">
        <f t="shared" si="7"/>
        <v>4</v>
      </c>
      <c r="AQ32" s="46">
        <v>2</v>
      </c>
      <c r="AR32" s="36">
        <v>82</v>
      </c>
      <c r="AS32" s="11">
        <f>VLOOKUP(AR32,المرجع!$B$2:$C$11,2)</f>
        <v>4</v>
      </c>
      <c r="AT32" s="45" t="str">
        <f>VLOOKUP(AS32,المرجع!$D$2:$E$11,2)</f>
        <v>ب</v>
      </c>
      <c r="AU32" s="10">
        <f t="shared" si="8"/>
        <v>8</v>
      </c>
      <c r="AV32" s="46">
        <v>2</v>
      </c>
      <c r="AW32" s="36">
        <v>53</v>
      </c>
      <c r="AX32" s="11">
        <f>VLOOKUP(AW32,المرجع!$B$2:$C$11,2)</f>
        <v>2</v>
      </c>
      <c r="AY32" s="45" t="str">
        <f>VLOOKUP(AX32,المرجع!$D$2:$E$11,2)</f>
        <v>د</v>
      </c>
      <c r="AZ32" s="10">
        <f t="shared" si="9"/>
        <v>4</v>
      </c>
      <c r="BA32" s="47">
        <f t="shared" si="10"/>
        <v>75.25</v>
      </c>
      <c r="BB32" s="20">
        <f t="shared" si="11"/>
        <v>23</v>
      </c>
      <c r="BC32" s="21">
        <f t="shared" si="12"/>
        <v>3.2717391304347827</v>
      </c>
      <c r="BD32" s="50">
        <f>(BA32+'المستوى الثاني '!BB32+'المستوى الأول '!BL33)/('المستوى الأول '!BM33+'المستوى الثاني '!BC32+'المستوى الثالث '!BB32)</f>
        <v>3.2426470588235294</v>
      </c>
      <c r="BE32" s="48" t="str">
        <f>VLOOKUP(BD32,المرجع!$D$3:$F$11,3,TRUE)</f>
        <v xml:space="preserve">جيد مرتفع </v>
      </c>
      <c r="BF32" s="22">
        <f t="shared" si="13"/>
        <v>31</v>
      </c>
    </row>
    <row r="33" spans="1:58" ht="28.5">
      <c r="A33" s="36">
        <v>2024182</v>
      </c>
      <c r="B33" s="40" t="s">
        <v>53</v>
      </c>
      <c r="C33" s="43">
        <v>1</v>
      </c>
      <c r="D33" s="36">
        <v>76</v>
      </c>
      <c r="E33" s="11">
        <f>VLOOKUP(D33,المرجع!$B$2:$C$11,2)</f>
        <v>3.5</v>
      </c>
      <c r="F33" s="45" t="str">
        <f>VLOOKUP(E33,المرجع!$D$2:$E$11,2)</f>
        <v>ج+</v>
      </c>
      <c r="G33" s="10">
        <f t="shared" si="0"/>
        <v>3.5</v>
      </c>
      <c r="H33" s="46">
        <v>3</v>
      </c>
      <c r="I33" s="36">
        <v>93</v>
      </c>
      <c r="J33" s="11">
        <f>VLOOKUP(I33,المرجع!$B$2:$C$11,2)</f>
        <v>4.75</v>
      </c>
      <c r="K33" s="45" t="str">
        <f>VLOOKUP(J33,المرجع!$D$2:$E$11,2)</f>
        <v>أ</v>
      </c>
      <c r="L33" s="10">
        <f t="shared" si="1"/>
        <v>14.25</v>
      </c>
      <c r="M33" s="46">
        <v>3</v>
      </c>
      <c r="N33" s="36">
        <v>70</v>
      </c>
      <c r="O33" s="11">
        <f>VLOOKUP(N33,المرجع!$B$2:$C$11,2)</f>
        <v>3</v>
      </c>
      <c r="P33" s="45" t="str">
        <f>VLOOKUP(O33,المرجع!$D$2:$E$11,2)</f>
        <v>ج</v>
      </c>
      <c r="Q33" s="10">
        <f t="shared" si="2"/>
        <v>9</v>
      </c>
      <c r="R33" s="46">
        <v>3</v>
      </c>
      <c r="S33" s="36">
        <v>93</v>
      </c>
      <c r="T33" s="11">
        <f>VLOOKUP(S33,المرجع!$B$2:$C$11,2)</f>
        <v>4.75</v>
      </c>
      <c r="U33" s="45" t="str">
        <f>VLOOKUP(T33,المرجع!$D$2:$E$11,2)</f>
        <v>أ</v>
      </c>
      <c r="V33" s="10">
        <f t="shared" si="3"/>
        <v>14.25</v>
      </c>
      <c r="W33" s="46">
        <v>2</v>
      </c>
      <c r="X33" s="36">
        <v>73</v>
      </c>
      <c r="Y33" s="11">
        <f>VLOOKUP(X33,المرجع!$B$2:$C$11,2)</f>
        <v>3</v>
      </c>
      <c r="Z33" s="45" t="str">
        <f>VLOOKUP(Y33,المرجع!$D$2:$E$11,2)</f>
        <v>ج</v>
      </c>
      <c r="AA33" s="10">
        <f t="shared" si="4"/>
        <v>6</v>
      </c>
      <c r="AB33" s="43">
        <v>3</v>
      </c>
      <c r="AC33" s="36">
        <v>70</v>
      </c>
      <c r="AD33" s="11">
        <f>VLOOKUP(AC33,المرجع!$B$2:$C$11,2)</f>
        <v>3</v>
      </c>
      <c r="AE33" s="45" t="str">
        <f>VLOOKUP(AD33,المرجع!$D$2:$E$11,2)</f>
        <v>ج</v>
      </c>
      <c r="AF33" s="10">
        <f t="shared" si="5"/>
        <v>9</v>
      </c>
      <c r="AG33" s="46">
        <v>2</v>
      </c>
      <c r="AH33" s="36">
        <v>69</v>
      </c>
      <c r="AI33" s="11">
        <f>VLOOKUP(AH33,المرجع!$B$2:$C$11,2)</f>
        <v>2.5</v>
      </c>
      <c r="AJ33" s="45" t="str">
        <f>VLOOKUP(AI33,المرجع!$D$2:$E$11,2)</f>
        <v>د+</v>
      </c>
      <c r="AK33" s="10">
        <f t="shared" si="6"/>
        <v>5</v>
      </c>
      <c r="AL33" s="46">
        <v>2</v>
      </c>
      <c r="AM33" s="36">
        <v>50</v>
      </c>
      <c r="AN33" s="11">
        <f>VLOOKUP(AM33,المرجع!$B$2:$C$11,2)</f>
        <v>2</v>
      </c>
      <c r="AO33" s="45" t="str">
        <f>VLOOKUP(AN33,المرجع!$D$2:$E$11,2)</f>
        <v>د</v>
      </c>
      <c r="AP33" s="10">
        <f t="shared" si="7"/>
        <v>4</v>
      </c>
      <c r="AQ33" s="46">
        <v>2</v>
      </c>
      <c r="AR33" s="36">
        <v>70</v>
      </c>
      <c r="AS33" s="11">
        <f>VLOOKUP(AR33,المرجع!$B$2:$C$11,2)</f>
        <v>3</v>
      </c>
      <c r="AT33" s="45" t="str">
        <f>VLOOKUP(AS33,المرجع!$D$2:$E$11,2)</f>
        <v>ج</v>
      </c>
      <c r="AU33" s="10">
        <f t="shared" si="8"/>
        <v>6</v>
      </c>
      <c r="AV33" s="46">
        <v>2</v>
      </c>
      <c r="AW33" s="36">
        <v>50</v>
      </c>
      <c r="AX33" s="11">
        <f>VLOOKUP(AW33,المرجع!$B$2:$C$11,2)</f>
        <v>2</v>
      </c>
      <c r="AY33" s="45" t="str">
        <f>VLOOKUP(AX33,المرجع!$D$2:$E$11,2)</f>
        <v>د</v>
      </c>
      <c r="AZ33" s="10">
        <f t="shared" si="9"/>
        <v>4</v>
      </c>
      <c r="BA33" s="47">
        <f t="shared" si="10"/>
        <v>75</v>
      </c>
      <c r="BB33" s="20">
        <f t="shared" si="11"/>
        <v>23</v>
      </c>
      <c r="BC33" s="21">
        <f t="shared" si="12"/>
        <v>3.2608695652173911</v>
      </c>
      <c r="BD33" s="50">
        <f>(BA33+'المستوى الثاني '!BB33+'المستوى الأول '!BL34)/('المستوى الأول '!BM34+'المستوى الثاني '!BC33+'المستوى الثالث '!BB33)</f>
        <v>3.1470588235294117</v>
      </c>
      <c r="BE33" s="48" t="str">
        <f>VLOOKUP(BD33,المرجع!$D$3:$F$11,3,TRUE)</f>
        <v xml:space="preserve">جيد مرتفع </v>
      </c>
      <c r="BF33" s="22">
        <f t="shared" si="13"/>
        <v>32</v>
      </c>
    </row>
    <row r="34" spans="1:58" ht="28.5">
      <c r="A34" s="36">
        <v>2024207</v>
      </c>
      <c r="B34" s="40" t="s">
        <v>37</v>
      </c>
      <c r="C34" s="43">
        <v>1</v>
      </c>
      <c r="D34" s="36">
        <v>98</v>
      </c>
      <c r="E34" s="11">
        <f>VLOOKUP(D34,المرجع!$B$2:$C$11,2)</f>
        <v>5</v>
      </c>
      <c r="F34" s="45" t="str">
        <f>VLOOKUP(E34,المرجع!$D$2:$E$11,2)</f>
        <v xml:space="preserve">أ+ </v>
      </c>
      <c r="G34" s="10">
        <f t="shared" si="0"/>
        <v>5</v>
      </c>
      <c r="H34" s="46">
        <v>3</v>
      </c>
      <c r="I34" s="36">
        <v>95</v>
      </c>
      <c r="J34" s="11">
        <f>VLOOKUP(I34,المرجع!$B$2:$C$11,2)</f>
        <v>5</v>
      </c>
      <c r="K34" s="45" t="str">
        <f>VLOOKUP(J34,المرجع!$D$2:$E$11,2)</f>
        <v xml:space="preserve">أ+ </v>
      </c>
      <c r="L34" s="10">
        <f t="shared" si="1"/>
        <v>15</v>
      </c>
      <c r="M34" s="46">
        <v>3</v>
      </c>
      <c r="N34" s="36">
        <v>64</v>
      </c>
      <c r="O34" s="11">
        <f>VLOOKUP(N34,المرجع!$B$2:$C$11,2)</f>
        <v>2</v>
      </c>
      <c r="P34" s="45" t="str">
        <f>VLOOKUP(O34,المرجع!$D$2:$E$11,2)</f>
        <v>د</v>
      </c>
      <c r="Q34" s="10">
        <f t="shared" si="2"/>
        <v>6</v>
      </c>
      <c r="R34" s="46">
        <v>3</v>
      </c>
      <c r="S34" s="36">
        <v>98</v>
      </c>
      <c r="T34" s="11">
        <f>VLOOKUP(S34,المرجع!$B$2:$C$11,2)</f>
        <v>5</v>
      </c>
      <c r="U34" s="45" t="str">
        <f>VLOOKUP(T34,المرجع!$D$2:$E$11,2)</f>
        <v xml:space="preserve">أ+ </v>
      </c>
      <c r="V34" s="10">
        <f t="shared" si="3"/>
        <v>15</v>
      </c>
      <c r="W34" s="46">
        <v>2</v>
      </c>
      <c r="X34" s="36">
        <v>28</v>
      </c>
      <c r="Y34" s="11">
        <f>VLOOKUP(X34,المرجع!$B$2:$C$11,2)</f>
        <v>0</v>
      </c>
      <c r="Z34" s="45" t="str">
        <f>VLOOKUP(Y34,المرجع!$D$2:$E$11,2)</f>
        <v>ه</v>
      </c>
      <c r="AA34" s="10">
        <f t="shared" si="4"/>
        <v>0</v>
      </c>
      <c r="AB34" s="43">
        <v>3</v>
      </c>
      <c r="AC34" s="36">
        <v>75</v>
      </c>
      <c r="AD34" s="11">
        <f>VLOOKUP(AC34,المرجع!$B$2:$C$11,2)</f>
        <v>3.5</v>
      </c>
      <c r="AE34" s="45" t="str">
        <f>VLOOKUP(AD34,المرجع!$D$2:$E$11,2)</f>
        <v>ج+</v>
      </c>
      <c r="AF34" s="10">
        <f t="shared" si="5"/>
        <v>10.5</v>
      </c>
      <c r="AG34" s="46">
        <v>2</v>
      </c>
      <c r="AH34" s="36">
        <v>81</v>
      </c>
      <c r="AI34" s="11">
        <f>VLOOKUP(AH34,المرجع!$B$2:$C$11,2)</f>
        <v>4</v>
      </c>
      <c r="AJ34" s="45" t="str">
        <f>VLOOKUP(AI34,المرجع!$D$2:$E$11,2)</f>
        <v>ب</v>
      </c>
      <c r="AK34" s="10">
        <f t="shared" si="6"/>
        <v>8</v>
      </c>
      <c r="AL34" s="46">
        <v>2</v>
      </c>
      <c r="AM34" s="36">
        <v>57</v>
      </c>
      <c r="AN34" s="11">
        <f>VLOOKUP(AM34,المرجع!$B$2:$C$11,2)</f>
        <v>2</v>
      </c>
      <c r="AO34" s="45" t="str">
        <f>VLOOKUP(AN34,المرجع!$D$2:$E$11,2)</f>
        <v>د</v>
      </c>
      <c r="AP34" s="10">
        <f t="shared" si="7"/>
        <v>4</v>
      </c>
      <c r="AQ34" s="46">
        <v>2</v>
      </c>
      <c r="AR34" s="36">
        <v>66</v>
      </c>
      <c r="AS34" s="11">
        <f>VLOOKUP(AR34,المرجع!$B$2:$C$11,2)</f>
        <v>2.5</v>
      </c>
      <c r="AT34" s="45" t="str">
        <f>VLOOKUP(AS34,المرجع!$D$2:$E$11,2)</f>
        <v>د+</v>
      </c>
      <c r="AU34" s="10">
        <f t="shared" si="8"/>
        <v>5</v>
      </c>
      <c r="AV34" s="46">
        <v>2</v>
      </c>
      <c r="AW34" s="36">
        <v>50</v>
      </c>
      <c r="AX34" s="11">
        <f>VLOOKUP(AW34,المرجع!$B$2:$C$11,2)</f>
        <v>2</v>
      </c>
      <c r="AY34" s="45" t="str">
        <f>VLOOKUP(AX34,المرجع!$D$2:$E$11,2)</f>
        <v>د</v>
      </c>
      <c r="AZ34" s="10">
        <f t="shared" si="9"/>
        <v>4</v>
      </c>
      <c r="BA34" s="47">
        <f t="shared" si="10"/>
        <v>72.5</v>
      </c>
      <c r="BB34" s="20">
        <f t="shared" si="11"/>
        <v>23</v>
      </c>
      <c r="BC34" s="21">
        <f t="shared" si="12"/>
        <v>3.152173913043478</v>
      </c>
      <c r="BD34" s="50">
        <f>(BA34+'المستوى الثاني '!BB34+'المستوى الأول '!BL35)/('المستوى الأول '!BM35+'المستوى الثاني '!BC34+'المستوى الثالث '!BB34)</f>
        <v>3.0698529411764706</v>
      </c>
      <c r="BE34" s="48" t="str">
        <f>VLOOKUP(BD34,المرجع!$D$3:$F$11,3,TRUE)</f>
        <v xml:space="preserve">جيد </v>
      </c>
      <c r="BF34" s="22">
        <f t="shared" si="13"/>
        <v>33</v>
      </c>
    </row>
    <row r="35" spans="1:58" ht="28.5">
      <c r="A35" s="36">
        <v>2024181</v>
      </c>
      <c r="B35" s="40" t="s">
        <v>60</v>
      </c>
      <c r="C35" s="43">
        <v>1</v>
      </c>
      <c r="D35" s="36">
        <v>82</v>
      </c>
      <c r="E35" s="11">
        <f>VLOOKUP(D35,المرجع!$B$2:$C$11,2)</f>
        <v>4</v>
      </c>
      <c r="F35" s="45" t="str">
        <f>VLOOKUP(E35,المرجع!$D$2:$E$11,2)</f>
        <v>ب</v>
      </c>
      <c r="G35" s="10">
        <f t="shared" si="0"/>
        <v>4</v>
      </c>
      <c r="H35" s="46">
        <v>3</v>
      </c>
      <c r="I35" s="36">
        <v>90</v>
      </c>
      <c r="J35" s="11">
        <f>VLOOKUP(I35,المرجع!$B$2:$C$11,2)</f>
        <v>4.75</v>
      </c>
      <c r="K35" s="45" t="str">
        <f>VLOOKUP(J35,المرجع!$D$2:$E$11,2)</f>
        <v>أ</v>
      </c>
      <c r="L35" s="10">
        <f t="shared" si="1"/>
        <v>14.25</v>
      </c>
      <c r="M35" s="46">
        <v>3</v>
      </c>
      <c r="N35" s="36">
        <v>50</v>
      </c>
      <c r="O35" s="11">
        <f>VLOOKUP(N35,المرجع!$B$2:$C$11,2)</f>
        <v>2</v>
      </c>
      <c r="P35" s="45" t="str">
        <f>VLOOKUP(O35,المرجع!$D$2:$E$11,2)</f>
        <v>د</v>
      </c>
      <c r="Q35" s="10">
        <f t="shared" si="2"/>
        <v>6</v>
      </c>
      <c r="R35" s="46">
        <v>3</v>
      </c>
      <c r="S35" s="36">
        <v>75</v>
      </c>
      <c r="T35" s="11">
        <f>VLOOKUP(S35,المرجع!$B$2:$C$11,2)</f>
        <v>3.5</v>
      </c>
      <c r="U35" s="45" t="str">
        <f>VLOOKUP(T35,المرجع!$D$2:$E$11,2)</f>
        <v>ج+</v>
      </c>
      <c r="V35" s="10">
        <f t="shared" si="3"/>
        <v>10.5</v>
      </c>
      <c r="W35" s="46">
        <v>2</v>
      </c>
      <c r="X35" s="36">
        <v>50</v>
      </c>
      <c r="Y35" s="11">
        <f>VLOOKUP(X35,المرجع!$B$2:$C$11,2)</f>
        <v>2</v>
      </c>
      <c r="Z35" s="45" t="str">
        <f>VLOOKUP(Y35,المرجع!$D$2:$E$11,2)</f>
        <v>د</v>
      </c>
      <c r="AA35" s="10">
        <f t="shared" si="4"/>
        <v>4</v>
      </c>
      <c r="AB35" s="43">
        <v>3</v>
      </c>
      <c r="AC35" s="36">
        <v>93</v>
      </c>
      <c r="AD35" s="11">
        <f>VLOOKUP(AC35,المرجع!$B$2:$C$11,2)</f>
        <v>4.75</v>
      </c>
      <c r="AE35" s="45" t="str">
        <f>VLOOKUP(AD35,المرجع!$D$2:$E$11,2)</f>
        <v>أ</v>
      </c>
      <c r="AF35" s="10">
        <f t="shared" si="5"/>
        <v>14.25</v>
      </c>
      <c r="AG35" s="46">
        <v>2</v>
      </c>
      <c r="AH35" s="36">
        <v>74</v>
      </c>
      <c r="AI35" s="11">
        <f>VLOOKUP(AH35,المرجع!$B$2:$C$11,2)</f>
        <v>3</v>
      </c>
      <c r="AJ35" s="45" t="str">
        <f>VLOOKUP(AI35,المرجع!$D$2:$E$11,2)</f>
        <v>ج</v>
      </c>
      <c r="AK35" s="10">
        <f t="shared" si="6"/>
        <v>6</v>
      </c>
      <c r="AL35" s="46">
        <v>2</v>
      </c>
      <c r="AM35" s="36">
        <v>25</v>
      </c>
      <c r="AN35" s="11">
        <f>VLOOKUP(AM35,المرجع!$B$2:$C$11,2)</f>
        <v>0</v>
      </c>
      <c r="AO35" s="45" t="str">
        <f>VLOOKUP(AN35,المرجع!$D$2:$E$11,2)</f>
        <v>ه</v>
      </c>
      <c r="AP35" s="10">
        <f t="shared" si="7"/>
        <v>0</v>
      </c>
      <c r="AQ35" s="46">
        <v>2</v>
      </c>
      <c r="AR35" s="36">
        <v>55</v>
      </c>
      <c r="AS35" s="11">
        <f>VLOOKUP(AR35,المرجع!$B$2:$C$11,2)</f>
        <v>2</v>
      </c>
      <c r="AT35" s="45" t="str">
        <f>VLOOKUP(AS35,المرجع!$D$2:$E$11,2)</f>
        <v>د</v>
      </c>
      <c r="AU35" s="10">
        <f t="shared" si="8"/>
        <v>4</v>
      </c>
      <c r="AV35" s="46">
        <v>2</v>
      </c>
      <c r="AW35" s="36">
        <v>87</v>
      </c>
      <c r="AX35" s="11">
        <f>VLOOKUP(AW35,المرجع!$B$2:$C$11,2)</f>
        <v>4.5</v>
      </c>
      <c r="AY35" s="45" t="str">
        <f>VLOOKUP(AX35,المرجع!$D$2:$E$11,2)</f>
        <v>ب+</v>
      </c>
      <c r="AZ35" s="10">
        <f t="shared" si="9"/>
        <v>9</v>
      </c>
      <c r="BA35" s="47">
        <f t="shared" si="10"/>
        <v>72</v>
      </c>
      <c r="BB35" s="20">
        <f t="shared" si="11"/>
        <v>23</v>
      </c>
      <c r="BC35" s="21">
        <f t="shared" si="12"/>
        <v>3.1304347826086958</v>
      </c>
      <c r="BD35" s="50">
        <f>(BA35+'المستوى الثاني '!BB35+'المستوى الأول '!BL36)/('المستوى الأول '!BM36+'المستوى الثاني '!BC35+'المستوى الثالث '!BB35)</f>
        <v>3.0147058823529411</v>
      </c>
      <c r="BE35" s="48" t="str">
        <f>VLOOKUP(BD35,المرجع!$D$3:$F$11,3,TRUE)</f>
        <v xml:space="preserve">جيد </v>
      </c>
      <c r="BF35" s="22">
        <f t="shared" si="13"/>
        <v>34</v>
      </c>
    </row>
    <row r="36" spans="1:58" ht="28.5">
      <c r="A36" s="36">
        <v>2024173</v>
      </c>
      <c r="B36" s="40" t="s">
        <v>49</v>
      </c>
      <c r="C36" s="43">
        <v>1</v>
      </c>
      <c r="D36" s="36">
        <v>87</v>
      </c>
      <c r="E36" s="11">
        <f>VLOOKUP(D36,المرجع!$B$2:$C$11,2)</f>
        <v>4.5</v>
      </c>
      <c r="F36" s="45" t="str">
        <f>VLOOKUP(E36,المرجع!$D$2:$E$11,2)</f>
        <v>ب+</v>
      </c>
      <c r="G36" s="10">
        <f t="shared" si="0"/>
        <v>4.5</v>
      </c>
      <c r="H36" s="46">
        <v>3</v>
      </c>
      <c r="I36" s="36">
        <v>80</v>
      </c>
      <c r="J36" s="11">
        <f>VLOOKUP(I36,المرجع!$B$2:$C$11,2)</f>
        <v>4</v>
      </c>
      <c r="K36" s="45" t="str">
        <f>VLOOKUP(J36,المرجع!$D$2:$E$11,2)</f>
        <v>ب</v>
      </c>
      <c r="L36" s="10">
        <f t="shared" si="1"/>
        <v>12</v>
      </c>
      <c r="M36" s="46">
        <v>3</v>
      </c>
      <c r="N36" s="36">
        <v>50</v>
      </c>
      <c r="O36" s="11">
        <f>VLOOKUP(N36,المرجع!$B$2:$C$11,2)</f>
        <v>2</v>
      </c>
      <c r="P36" s="45" t="str">
        <f>VLOOKUP(O36,المرجع!$D$2:$E$11,2)</f>
        <v>د</v>
      </c>
      <c r="Q36" s="10">
        <f t="shared" si="2"/>
        <v>6</v>
      </c>
      <c r="R36" s="46">
        <v>3</v>
      </c>
      <c r="S36" s="36">
        <v>94</v>
      </c>
      <c r="T36" s="11">
        <f>VLOOKUP(S36,المرجع!$B$2:$C$11,2)</f>
        <v>4.75</v>
      </c>
      <c r="U36" s="45" t="str">
        <f>VLOOKUP(T36,المرجع!$D$2:$E$11,2)</f>
        <v>أ</v>
      </c>
      <c r="V36" s="10">
        <f t="shared" si="3"/>
        <v>14.25</v>
      </c>
      <c r="W36" s="46">
        <v>2</v>
      </c>
      <c r="X36" s="36">
        <v>50</v>
      </c>
      <c r="Y36" s="11">
        <f>VLOOKUP(X36,المرجع!$B$2:$C$11,2)</f>
        <v>2</v>
      </c>
      <c r="Z36" s="45" t="str">
        <f>VLOOKUP(Y36,المرجع!$D$2:$E$11,2)</f>
        <v>د</v>
      </c>
      <c r="AA36" s="10">
        <f t="shared" si="4"/>
        <v>4</v>
      </c>
      <c r="AB36" s="43">
        <v>3</v>
      </c>
      <c r="AC36" s="36">
        <v>70</v>
      </c>
      <c r="AD36" s="11">
        <f>VLOOKUP(AC36,المرجع!$B$2:$C$11,2)</f>
        <v>3</v>
      </c>
      <c r="AE36" s="45" t="str">
        <f>VLOOKUP(AD36,المرجع!$D$2:$E$11,2)</f>
        <v>ج</v>
      </c>
      <c r="AF36" s="10">
        <f t="shared" si="5"/>
        <v>9</v>
      </c>
      <c r="AG36" s="46">
        <v>2</v>
      </c>
      <c r="AH36" s="36">
        <v>73</v>
      </c>
      <c r="AI36" s="11">
        <f>VLOOKUP(AH36,المرجع!$B$2:$C$11,2)</f>
        <v>3</v>
      </c>
      <c r="AJ36" s="45" t="str">
        <f>VLOOKUP(AI36,المرجع!$D$2:$E$11,2)</f>
        <v>ج</v>
      </c>
      <c r="AK36" s="10">
        <f t="shared" si="6"/>
        <v>6</v>
      </c>
      <c r="AL36" s="46">
        <v>2</v>
      </c>
      <c r="AM36" s="36">
        <v>50</v>
      </c>
      <c r="AN36" s="11">
        <f>VLOOKUP(AM36,المرجع!$B$2:$C$11,2)</f>
        <v>2</v>
      </c>
      <c r="AO36" s="45" t="str">
        <f>VLOOKUP(AN36,المرجع!$D$2:$E$11,2)</f>
        <v>د</v>
      </c>
      <c r="AP36" s="10">
        <f t="shared" si="7"/>
        <v>4</v>
      </c>
      <c r="AQ36" s="46">
        <v>2</v>
      </c>
      <c r="AR36" s="36">
        <v>50</v>
      </c>
      <c r="AS36" s="11">
        <f>VLOOKUP(AR36,المرجع!$B$2:$C$11,2)</f>
        <v>2</v>
      </c>
      <c r="AT36" s="45" t="str">
        <f>VLOOKUP(AS36,المرجع!$D$2:$E$11,2)</f>
        <v>د</v>
      </c>
      <c r="AU36" s="10">
        <f t="shared" si="8"/>
        <v>4</v>
      </c>
      <c r="AV36" s="46">
        <v>2</v>
      </c>
      <c r="AW36" s="36">
        <v>50</v>
      </c>
      <c r="AX36" s="11">
        <f>VLOOKUP(AW36,المرجع!$B$2:$C$11,2)</f>
        <v>2</v>
      </c>
      <c r="AY36" s="45" t="str">
        <f>VLOOKUP(AX36,المرجع!$D$2:$E$11,2)</f>
        <v>د</v>
      </c>
      <c r="AZ36" s="10">
        <f t="shared" si="9"/>
        <v>4</v>
      </c>
      <c r="BA36" s="47">
        <f t="shared" si="10"/>
        <v>67.75</v>
      </c>
      <c r="BB36" s="20">
        <f t="shared" si="11"/>
        <v>23</v>
      </c>
      <c r="BC36" s="21">
        <f t="shared" si="12"/>
        <v>2.9456521739130435</v>
      </c>
      <c r="BD36" s="50">
        <f>(BA36+'المستوى الثاني '!BB36+'المستوى الأول '!BL37)/('المستوى الأول '!BM37+'المستوى الثاني '!BC36+'المستوى الثالث '!BB36)</f>
        <v>2.8419117647058822</v>
      </c>
      <c r="BE36" s="48" t="str">
        <f>VLOOKUP(BD36,المرجع!$D$3:$F$11,3,TRUE)</f>
        <v xml:space="preserve">جيد </v>
      </c>
      <c r="BF36" s="22">
        <f t="shared" si="13"/>
        <v>35</v>
      </c>
    </row>
    <row r="37" spans="1:58" ht="28.5">
      <c r="A37" s="36">
        <v>2024211</v>
      </c>
      <c r="B37" s="40" t="s">
        <v>114</v>
      </c>
      <c r="C37" s="43">
        <v>1</v>
      </c>
      <c r="D37" s="36">
        <v>88</v>
      </c>
      <c r="E37" s="11">
        <f>VLOOKUP(D37,المرجع!$B$2:$C$11,2)</f>
        <v>4.5</v>
      </c>
      <c r="F37" s="45" t="str">
        <f>VLOOKUP(E37,المرجع!$D$2:$E$11,2)</f>
        <v>ب+</v>
      </c>
      <c r="G37" s="10">
        <f t="shared" si="0"/>
        <v>4.5</v>
      </c>
      <c r="H37" s="46">
        <v>3</v>
      </c>
      <c r="I37" s="36">
        <v>92</v>
      </c>
      <c r="J37" s="11">
        <f>VLOOKUP(I37,المرجع!$B$2:$C$11,2)</f>
        <v>4.75</v>
      </c>
      <c r="K37" s="45" t="str">
        <f>VLOOKUP(J37,المرجع!$D$2:$E$11,2)</f>
        <v>أ</v>
      </c>
      <c r="L37" s="10">
        <f t="shared" si="1"/>
        <v>14.25</v>
      </c>
      <c r="M37" s="46">
        <v>3</v>
      </c>
      <c r="N37" s="36">
        <v>62</v>
      </c>
      <c r="O37" s="11">
        <f>VLOOKUP(N37,المرجع!$B$2:$C$11,2)</f>
        <v>2</v>
      </c>
      <c r="P37" s="45" t="str">
        <f>VLOOKUP(O37,المرجع!$D$2:$E$11,2)</f>
        <v>د</v>
      </c>
      <c r="Q37" s="10">
        <f t="shared" si="2"/>
        <v>6</v>
      </c>
      <c r="R37" s="46">
        <v>3</v>
      </c>
      <c r="S37" s="36">
        <v>30</v>
      </c>
      <c r="T37" s="11">
        <f>VLOOKUP(S37,المرجع!$B$2:$C$11,2)</f>
        <v>0</v>
      </c>
      <c r="U37" s="45" t="str">
        <f>VLOOKUP(T37,المرجع!$D$2:$E$11,2)</f>
        <v>ه</v>
      </c>
      <c r="V37" s="10">
        <f t="shared" si="3"/>
        <v>0</v>
      </c>
      <c r="W37" s="46">
        <v>2</v>
      </c>
      <c r="X37" s="36">
        <v>64</v>
      </c>
      <c r="Y37" s="11">
        <f>VLOOKUP(X37,المرجع!$B$2:$C$11,2)</f>
        <v>2</v>
      </c>
      <c r="Z37" s="45" t="str">
        <f>VLOOKUP(Y37,المرجع!$D$2:$E$11,2)</f>
        <v>د</v>
      </c>
      <c r="AA37" s="10">
        <f t="shared" si="4"/>
        <v>4</v>
      </c>
      <c r="AB37" s="43">
        <v>3</v>
      </c>
      <c r="AC37" s="36">
        <v>85</v>
      </c>
      <c r="AD37" s="11">
        <f>VLOOKUP(AC37,المرجع!$B$2:$C$11,2)</f>
        <v>4.5</v>
      </c>
      <c r="AE37" s="45" t="str">
        <f>VLOOKUP(AD37,المرجع!$D$2:$E$11,2)</f>
        <v>ب+</v>
      </c>
      <c r="AF37" s="10">
        <f t="shared" si="5"/>
        <v>13.5</v>
      </c>
      <c r="AG37" s="46">
        <v>2</v>
      </c>
      <c r="AH37" s="36">
        <v>98</v>
      </c>
      <c r="AI37" s="11">
        <f>VLOOKUP(AH37,المرجع!$B$2:$C$11,2)</f>
        <v>5</v>
      </c>
      <c r="AJ37" s="45" t="str">
        <f>VLOOKUP(AI37,المرجع!$D$2:$E$11,2)</f>
        <v xml:space="preserve">أ+ </v>
      </c>
      <c r="AK37" s="10">
        <f t="shared" si="6"/>
        <v>10</v>
      </c>
      <c r="AL37" s="46">
        <v>2</v>
      </c>
      <c r="AM37" s="36">
        <v>72</v>
      </c>
      <c r="AN37" s="11">
        <f>VLOOKUP(AM37,المرجع!$B$2:$C$11,2)</f>
        <v>3</v>
      </c>
      <c r="AO37" s="45" t="str">
        <f>VLOOKUP(AN37,المرجع!$D$2:$E$11,2)</f>
        <v>ج</v>
      </c>
      <c r="AP37" s="10">
        <f t="shared" si="7"/>
        <v>6</v>
      </c>
      <c r="AQ37" s="46">
        <v>2</v>
      </c>
      <c r="AR37" s="36">
        <v>50</v>
      </c>
      <c r="AS37" s="11">
        <f>VLOOKUP(AR37,المرجع!$B$2:$C$11,2)</f>
        <v>2</v>
      </c>
      <c r="AT37" s="45" t="str">
        <f>VLOOKUP(AS37,المرجع!$D$2:$E$11,2)</f>
        <v>د</v>
      </c>
      <c r="AU37" s="10">
        <f t="shared" si="8"/>
        <v>4</v>
      </c>
      <c r="AV37" s="46">
        <v>2</v>
      </c>
      <c r="AW37" s="36">
        <v>50</v>
      </c>
      <c r="AX37" s="11">
        <f>VLOOKUP(AW37,المرجع!$B$2:$C$11,2)</f>
        <v>2</v>
      </c>
      <c r="AY37" s="45" t="str">
        <f>VLOOKUP(AX37,المرجع!$D$2:$E$11,2)</f>
        <v>د</v>
      </c>
      <c r="AZ37" s="10">
        <f t="shared" si="9"/>
        <v>4</v>
      </c>
      <c r="BA37" s="47">
        <f t="shared" si="10"/>
        <v>66.25</v>
      </c>
      <c r="BB37" s="20">
        <f t="shared" si="11"/>
        <v>23</v>
      </c>
      <c r="BC37" s="21">
        <f t="shared" si="12"/>
        <v>2.8804347826086958</v>
      </c>
      <c r="BD37" s="50">
        <f>(BA37+'المستوى الثاني '!BB37+'المستوى الأول '!BL38)/('المستوى الأول '!BM38+'المستوى الثاني '!BC37+'المستوى الثالث '!BB37)</f>
        <v>2.7867647058823528</v>
      </c>
      <c r="BE37" s="48" t="str">
        <f>VLOOKUP(BD37,المرجع!$D$3:$F$11,3,TRUE)</f>
        <v xml:space="preserve">جيد </v>
      </c>
      <c r="BF37" s="22">
        <f t="shared" si="13"/>
        <v>36</v>
      </c>
    </row>
    <row r="38" spans="1:58" ht="28.5">
      <c r="A38" s="36">
        <v>2024177</v>
      </c>
      <c r="B38" s="40" t="s">
        <v>54</v>
      </c>
      <c r="C38" s="43">
        <v>1</v>
      </c>
      <c r="D38" s="36">
        <v>20</v>
      </c>
      <c r="E38" s="11">
        <f>VLOOKUP(D38,المرجع!$B$2:$C$11,2)</f>
        <v>0</v>
      </c>
      <c r="F38" s="45" t="str">
        <f>VLOOKUP(E38,المرجع!$D$2:$E$11,2)</f>
        <v>ه</v>
      </c>
      <c r="G38" s="10">
        <f t="shared" si="0"/>
        <v>0</v>
      </c>
      <c r="H38" s="46">
        <v>3</v>
      </c>
      <c r="I38" s="36">
        <v>82</v>
      </c>
      <c r="J38" s="11">
        <f>VLOOKUP(I38,المرجع!$B$2:$C$11,2)</f>
        <v>4</v>
      </c>
      <c r="K38" s="45" t="str">
        <f>VLOOKUP(J38,المرجع!$D$2:$E$11,2)</f>
        <v>ب</v>
      </c>
      <c r="L38" s="10">
        <f t="shared" si="1"/>
        <v>12</v>
      </c>
      <c r="M38" s="46">
        <v>3</v>
      </c>
      <c r="N38" s="36">
        <v>50</v>
      </c>
      <c r="O38" s="11">
        <f>VLOOKUP(N38,المرجع!$B$2:$C$11,2)</f>
        <v>2</v>
      </c>
      <c r="P38" s="45" t="str">
        <f>VLOOKUP(O38,المرجع!$D$2:$E$11,2)</f>
        <v>د</v>
      </c>
      <c r="Q38" s="10">
        <f t="shared" si="2"/>
        <v>6</v>
      </c>
      <c r="R38" s="46">
        <v>3</v>
      </c>
      <c r="S38" s="36">
        <v>70</v>
      </c>
      <c r="T38" s="11">
        <f>VLOOKUP(S38,المرجع!$B$2:$C$11,2)</f>
        <v>3</v>
      </c>
      <c r="U38" s="45" t="str">
        <f>VLOOKUP(T38,المرجع!$D$2:$E$11,2)</f>
        <v>ج</v>
      </c>
      <c r="V38" s="10">
        <f t="shared" si="3"/>
        <v>9</v>
      </c>
      <c r="W38" s="46">
        <v>2</v>
      </c>
      <c r="X38" s="36">
        <v>29</v>
      </c>
      <c r="Y38" s="11">
        <f>VLOOKUP(X38,المرجع!$B$2:$C$11,2)</f>
        <v>0</v>
      </c>
      <c r="Z38" s="45" t="str">
        <f>VLOOKUP(Y38,المرجع!$D$2:$E$11,2)</f>
        <v>ه</v>
      </c>
      <c r="AA38" s="10">
        <f t="shared" si="4"/>
        <v>0</v>
      </c>
      <c r="AB38" s="43">
        <v>3</v>
      </c>
      <c r="AC38" s="36">
        <v>50</v>
      </c>
      <c r="AD38" s="11">
        <f>VLOOKUP(AC38,المرجع!$B$2:$C$11,2)</f>
        <v>2</v>
      </c>
      <c r="AE38" s="45" t="str">
        <f>VLOOKUP(AD38,المرجع!$D$2:$E$11,2)</f>
        <v>د</v>
      </c>
      <c r="AF38" s="10">
        <f t="shared" si="5"/>
        <v>6</v>
      </c>
      <c r="AG38" s="46">
        <v>2</v>
      </c>
      <c r="AH38" s="36">
        <v>76</v>
      </c>
      <c r="AI38" s="11">
        <f>VLOOKUP(AH38,المرجع!$B$2:$C$11,2)</f>
        <v>3.5</v>
      </c>
      <c r="AJ38" s="45" t="str">
        <f>VLOOKUP(AI38,المرجع!$D$2:$E$11,2)</f>
        <v>ج+</v>
      </c>
      <c r="AK38" s="10">
        <f t="shared" si="6"/>
        <v>7</v>
      </c>
      <c r="AL38" s="46">
        <v>2</v>
      </c>
      <c r="AM38" s="36">
        <v>50</v>
      </c>
      <c r="AN38" s="11">
        <f>VLOOKUP(AM38,المرجع!$B$2:$C$11,2)</f>
        <v>2</v>
      </c>
      <c r="AO38" s="45" t="str">
        <f>VLOOKUP(AN38,المرجع!$D$2:$E$11,2)</f>
        <v>د</v>
      </c>
      <c r="AP38" s="10">
        <f t="shared" si="7"/>
        <v>4</v>
      </c>
      <c r="AQ38" s="46">
        <v>2</v>
      </c>
      <c r="AR38" s="36">
        <v>71</v>
      </c>
      <c r="AS38" s="11">
        <f>VLOOKUP(AR38,المرجع!$B$2:$C$11,2)</f>
        <v>3</v>
      </c>
      <c r="AT38" s="45" t="str">
        <f>VLOOKUP(AS38,المرجع!$D$2:$E$11,2)</f>
        <v>ج</v>
      </c>
      <c r="AU38" s="10">
        <f t="shared" si="8"/>
        <v>6</v>
      </c>
      <c r="AV38" s="46">
        <v>2</v>
      </c>
      <c r="AW38" s="36">
        <v>50</v>
      </c>
      <c r="AX38" s="11">
        <f>VLOOKUP(AW38,المرجع!$B$2:$C$11,2)</f>
        <v>2</v>
      </c>
      <c r="AY38" s="45" t="str">
        <f>VLOOKUP(AX38,المرجع!$D$2:$E$11,2)</f>
        <v>د</v>
      </c>
      <c r="AZ38" s="10">
        <f t="shared" si="9"/>
        <v>4</v>
      </c>
      <c r="BA38" s="47">
        <f t="shared" si="10"/>
        <v>54</v>
      </c>
      <c r="BB38" s="20">
        <f t="shared" si="11"/>
        <v>23</v>
      </c>
      <c r="BC38" s="21">
        <f t="shared" si="12"/>
        <v>2.347826086956522</v>
      </c>
      <c r="BD38" s="50">
        <f>(BA38+'المستوى الثاني '!BB39+'المستوى الأول '!BL40)/('المستوى الأول '!BM40+'المستوى الثاني '!BC39+'المستوى الثالث '!BB39)</f>
        <v>2.5882352941176472</v>
      </c>
      <c r="BE38" s="48" t="str">
        <f>VLOOKUP(BD38,المرجع!$D$3:$F$11,3,TRUE)</f>
        <v xml:space="preserve">مقبول مرتفع </v>
      </c>
      <c r="BF38" s="22">
        <f t="shared" si="13"/>
        <v>38</v>
      </c>
    </row>
    <row r="39" spans="1:58" ht="28.5">
      <c r="A39" s="81">
        <v>2024186</v>
      </c>
      <c r="B39" s="83" t="s">
        <v>64</v>
      </c>
      <c r="C39" s="46">
        <v>1</v>
      </c>
      <c r="D39" s="81">
        <v>78</v>
      </c>
      <c r="E39" s="11">
        <f>VLOOKUP(D39,المرجع!$B$2:$C$11,2)</f>
        <v>3.5</v>
      </c>
      <c r="F39" s="45" t="str">
        <f>VLOOKUP(E39,المرجع!$D$2:$E$11,2)</f>
        <v>ج+</v>
      </c>
      <c r="G39" s="10">
        <f t="shared" si="0"/>
        <v>3.5</v>
      </c>
      <c r="H39" s="46">
        <v>3</v>
      </c>
      <c r="I39" s="81">
        <v>77</v>
      </c>
      <c r="J39" s="11">
        <f>VLOOKUP(I39,المرجع!$B$2:$C$11,2)</f>
        <v>3.5</v>
      </c>
      <c r="K39" s="45" t="str">
        <f>VLOOKUP(J39,المرجع!$D$2:$E$11,2)</f>
        <v>ج+</v>
      </c>
      <c r="L39" s="10">
        <f t="shared" si="1"/>
        <v>10.5</v>
      </c>
      <c r="M39" s="46">
        <v>3</v>
      </c>
      <c r="N39" s="81">
        <v>50</v>
      </c>
      <c r="O39" s="11">
        <f>VLOOKUP(N39,المرجع!$B$2:$C$11,2)</f>
        <v>2</v>
      </c>
      <c r="P39" s="45" t="str">
        <f>VLOOKUP(O39,المرجع!$D$2:$E$11,2)</f>
        <v>د</v>
      </c>
      <c r="Q39" s="10">
        <f t="shared" si="2"/>
        <v>6</v>
      </c>
      <c r="R39" s="46">
        <v>3</v>
      </c>
      <c r="S39" s="81">
        <v>90</v>
      </c>
      <c r="T39" s="11">
        <f>VLOOKUP(S39,المرجع!$B$2:$C$11,2)</f>
        <v>4.75</v>
      </c>
      <c r="U39" s="45" t="str">
        <f>VLOOKUP(T39,المرجع!$D$2:$E$11,2)</f>
        <v>أ</v>
      </c>
      <c r="V39" s="10">
        <f t="shared" si="3"/>
        <v>14.25</v>
      </c>
      <c r="W39" s="46">
        <v>2</v>
      </c>
      <c r="X39" s="81">
        <v>57</v>
      </c>
      <c r="Y39" s="11">
        <f>VLOOKUP(X39,المرجع!$B$2:$C$11,2)</f>
        <v>2</v>
      </c>
      <c r="Z39" s="45" t="str">
        <f>VLOOKUP(Y39,المرجع!$D$2:$E$11,2)</f>
        <v>د</v>
      </c>
      <c r="AA39" s="10">
        <f t="shared" si="4"/>
        <v>4</v>
      </c>
      <c r="AB39" s="46">
        <v>3</v>
      </c>
      <c r="AC39" s="81">
        <v>75</v>
      </c>
      <c r="AD39" s="11">
        <f>VLOOKUP(AC39,المرجع!$B$2:$C$11,2)</f>
        <v>3.5</v>
      </c>
      <c r="AE39" s="45" t="str">
        <f>VLOOKUP(AD39,المرجع!$D$2:$E$11,2)</f>
        <v>ج+</v>
      </c>
      <c r="AF39" s="10">
        <f t="shared" si="5"/>
        <v>10.5</v>
      </c>
      <c r="AG39" s="46">
        <v>2</v>
      </c>
      <c r="AH39" s="81">
        <v>64</v>
      </c>
      <c r="AI39" s="11">
        <f>VLOOKUP(AH39,المرجع!$B$2:$C$11,2)</f>
        <v>2</v>
      </c>
      <c r="AJ39" s="45" t="str">
        <f>VLOOKUP(AI39,المرجع!$D$2:$E$11,2)</f>
        <v>د</v>
      </c>
      <c r="AK39" s="10">
        <f t="shared" si="6"/>
        <v>4</v>
      </c>
      <c r="AL39" s="46">
        <v>2</v>
      </c>
      <c r="AM39" s="81">
        <v>50</v>
      </c>
      <c r="AN39" s="11">
        <f>VLOOKUP(AM39,المرجع!$B$2:$C$11,2)</f>
        <v>2</v>
      </c>
      <c r="AO39" s="45" t="str">
        <f>VLOOKUP(AN39,المرجع!$D$2:$E$11,2)</f>
        <v>د</v>
      </c>
      <c r="AP39" s="10">
        <f t="shared" si="7"/>
        <v>4</v>
      </c>
      <c r="AQ39" s="46">
        <v>2</v>
      </c>
      <c r="AR39" s="81">
        <v>73</v>
      </c>
      <c r="AS39" s="11">
        <f>VLOOKUP(AR39,المرجع!$B$2:$C$11,2)</f>
        <v>3</v>
      </c>
      <c r="AT39" s="45" t="str">
        <f>VLOOKUP(AS39,المرجع!$D$2:$E$11,2)</f>
        <v>ج</v>
      </c>
      <c r="AU39" s="10">
        <f t="shared" si="8"/>
        <v>6</v>
      </c>
      <c r="AV39" s="46">
        <v>2</v>
      </c>
      <c r="AW39" s="81">
        <v>30</v>
      </c>
      <c r="AX39" s="11">
        <f>VLOOKUP(AW39,المرجع!$B$2:$C$11,2)</f>
        <v>0</v>
      </c>
      <c r="AY39" s="45" t="str">
        <f>VLOOKUP(AX39,المرجع!$D$2:$E$11,2)</f>
        <v>ه</v>
      </c>
      <c r="AZ39" s="10">
        <f t="shared" si="9"/>
        <v>0</v>
      </c>
      <c r="BA39" s="47">
        <f t="shared" si="10"/>
        <v>62.75</v>
      </c>
      <c r="BB39" s="20">
        <f t="shared" si="11"/>
        <v>23</v>
      </c>
      <c r="BC39" s="21">
        <f t="shared" si="12"/>
        <v>2.7282608695652173</v>
      </c>
      <c r="BD39" s="49">
        <f>(BA39+'المستوى الثاني '!BB38+'المستوى الأول '!BL39)/('المستوى الأول '!BM39+'المستوى الثاني '!BC38+'المستوى الثالث '!BB38)</f>
        <v>2.6544117647058822</v>
      </c>
      <c r="BE39" s="48" t="str">
        <f>VLOOKUP(BD39,المرجع!$D$3:$F$11,3,TRUE)</f>
        <v xml:space="preserve">جيد </v>
      </c>
      <c r="BF39" s="82">
        <f t="shared" si="13"/>
        <v>37</v>
      </c>
    </row>
    <row r="40" spans="1:58" ht="28.5">
      <c r="A40" s="36">
        <v>2024300</v>
      </c>
      <c r="B40" s="40" t="s">
        <v>65</v>
      </c>
      <c r="C40" s="43">
        <v>1</v>
      </c>
      <c r="D40" s="36">
        <v>30</v>
      </c>
      <c r="E40" s="11">
        <f>VLOOKUP(D40,المرجع!$B$2:$C$11,2)</f>
        <v>0</v>
      </c>
      <c r="F40" s="45" t="str">
        <f>VLOOKUP(E40,المرجع!$D$2:$E$11,2)</f>
        <v>ه</v>
      </c>
      <c r="G40" s="10">
        <f t="shared" si="0"/>
        <v>0</v>
      </c>
      <c r="H40" s="46">
        <v>3</v>
      </c>
      <c r="I40" s="36">
        <v>86</v>
      </c>
      <c r="J40" s="11">
        <f>VLOOKUP(I40,المرجع!$B$2:$C$11,2)</f>
        <v>4.5</v>
      </c>
      <c r="K40" s="45" t="str">
        <f>VLOOKUP(J40,المرجع!$D$2:$E$11,2)</f>
        <v>ب+</v>
      </c>
      <c r="L40" s="10">
        <f t="shared" si="1"/>
        <v>13.5</v>
      </c>
      <c r="M40" s="46">
        <v>3</v>
      </c>
      <c r="N40" s="36">
        <v>23</v>
      </c>
      <c r="O40" s="11">
        <f>VLOOKUP(N40,المرجع!$B$2:$C$11,2)</f>
        <v>0</v>
      </c>
      <c r="P40" s="45" t="str">
        <f>VLOOKUP(O40,المرجع!$D$2:$E$11,2)</f>
        <v>ه</v>
      </c>
      <c r="Q40" s="10">
        <f t="shared" si="2"/>
        <v>0</v>
      </c>
      <c r="R40" s="46">
        <v>3</v>
      </c>
      <c r="S40" s="36">
        <v>50</v>
      </c>
      <c r="T40" s="11">
        <f>VLOOKUP(S40,المرجع!$B$2:$C$11,2)</f>
        <v>2</v>
      </c>
      <c r="U40" s="45" t="str">
        <f>VLOOKUP(T40,المرجع!$D$2:$E$11,2)</f>
        <v>د</v>
      </c>
      <c r="V40" s="10">
        <f t="shared" si="3"/>
        <v>6</v>
      </c>
      <c r="W40" s="46">
        <v>2</v>
      </c>
      <c r="X40" s="36">
        <v>21</v>
      </c>
      <c r="Y40" s="11">
        <f>VLOOKUP(X40,المرجع!$B$2:$C$11,2)</f>
        <v>0</v>
      </c>
      <c r="Z40" s="45" t="str">
        <f>VLOOKUP(Y40,المرجع!$D$2:$E$11,2)</f>
        <v>ه</v>
      </c>
      <c r="AA40" s="10">
        <f t="shared" si="4"/>
        <v>0</v>
      </c>
      <c r="AB40" s="43">
        <v>3</v>
      </c>
      <c r="AC40" s="36">
        <v>70</v>
      </c>
      <c r="AD40" s="11">
        <f>VLOOKUP(AC40,المرجع!$B$2:$C$11,2)</f>
        <v>3</v>
      </c>
      <c r="AE40" s="45" t="str">
        <f>VLOOKUP(AD40,المرجع!$D$2:$E$11,2)</f>
        <v>ج</v>
      </c>
      <c r="AF40" s="10">
        <f t="shared" si="5"/>
        <v>9</v>
      </c>
      <c r="AG40" s="46">
        <v>2</v>
      </c>
      <c r="AH40" s="36">
        <v>90</v>
      </c>
      <c r="AI40" s="11">
        <f>VLOOKUP(AH40,المرجع!$B$2:$C$11,2)</f>
        <v>4.75</v>
      </c>
      <c r="AJ40" s="45" t="str">
        <f>VLOOKUP(AI40,المرجع!$D$2:$E$11,2)</f>
        <v>أ</v>
      </c>
      <c r="AK40" s="10">
        <f t="shared" si="6"/>
        <v>9.5</v>
      </c>
      <c r="AL40" s="46">
        <v>2</v>
      </c>
      <c r="AM40" s="36">
        <v>25</v>
      </c>
      <c r="AN40" s="11">
        <f>VLOOKUP(AM40,المرجع!$B$2:$C$11,2)</f>
        <v>0</v>
      </c>
      <c r="AO40" s="45" t="str">
        <f>VLOOKUP(AN40,المرجع!$D$2:$E$11,2)</f>
        <v>ه</v>
      </c>
      <c r="AP40" s="10">
        <f t="shared" si="7"/>
        <v>0</v>
      </c>
      <c r="AQ40" s="46">
        <v>2</v>
      </c>
      <c r="AR40" s="36">
        <v>56</v>
      </c>
      <c r="AS40" s="11">
        <f>VLOOKUP(AR40,المرجع!$B$2:$C$11,2)</f>
        <v>2</v>
      </c>
      <c r="AT40" s="45" t="str">
        <f>VLOOKUP(AS40,المرجع!$D$2:$E$11,2)</f>
        <v>د</v>
      </c>
      <c r="AU40" s="10">
        <f t="shared" si="8"/>
        <v>4</v>
      </c>
      <c r="AV40" s="46">
        <v>2</v>
      </c>
      <c r="AW40" s="36">
        <v>34</v>
      </c>
      <c r="AX40" s="11">
        <f>VLOOKUP(AW40,المرجع!$B$2:$C$11,2)</f>
        <v>0</v>
      </c>
      <c r="AY40" s="45" t="str">
        <f>VLOOKUP(AX40,المرجع!$D$2:$E$11,2)</f>
        <v>ه</v>
      </c>
      <c r="AZ40" s="10">
        <f t="shared" si="9"/>
        <v>0</v>
      </c>
      <c r="BA40" s="47">
        <f t="shared" si="10"/>
        <v>42</v>
      </c>
      <c r="BB40" s="20">
        <f t="shared" si="11"/>
        <v>23</v>
      </c>
      <c r="BC40" s="21">
        <f t="shared" si="12"/>
        <v>1.826086956521739</v>
      </c>
      <c r="BD40" s="50">
        <f>(BA40+'المستوى الثاني '!BB41+'المستوى الأول '!BL42)/('المستوى الأول '!BM42+'المستوى الثاني '!BC41+'المستوى الثالث '!BB41)</f>
        <v>2.3382352941176472</v>
      </c>
      <c r="BE40" s="48" t="str">
        <f>VLOOKUP(BD40,المرجع!$D$3:$F$11,3,TRUE)</f>
        <v xml:space="preserve">مقبول مرتفع </v>
      </c>
      <c r="BF40" s="22">
        <f t="shared" si="13"/>
        <v>39</v>
      </c>
    </row>
    <row r="41" spans="1:58" ht="28.5">
      <c r="A41" s="36">
        <v>2024167</v>
      </c>
      <c r="B41" s="40" t="s">
        <v>58</v>
      </c>
      <c r="C41" s="43">
        <v>1</v>
      </c>
      <c r="D41" s="36">
        <v>50</v>
      </c>
      <c r="E41" s="11">
        <f>VLOOKUP(D41,المرجع!$B$2:$C$11,2)</f>
        <v>2</v>
      </c>
      <c r="F41" s="45" t="str">
        <f>VLOOKUP(E41,المرجع!$D$2:$E$11,2)</f>
        <v>د</v>
      </c>
      <c r="G41" s="10">
        <f t="shared" si="0"/>
        <v>2</v>
      </c>
      <c r="H41" s="46">
        <v>3</v>
      </c>
      <c r="I41" s="36">
        <v>84</v>
      </c>
      <c r="J41" s="11">
        <f>VLOOKUP(I41,المرجع!$B$2:$C$11,2)</f>
        <v>4</v>
      </c>
      <c r="K41" s="45" t="str">
        <f>VLOOKUP(J41,المرجع!$D$2:$E$11,2)</f>
        <v>ب</v>
      </c>
      <c r="L41" s="10">
        <f t="shared" si="1"/>
        <v>12</v>
      </c>
      <c r="M41" s="46">
        <v>3</v>
      </c>
      <c r="N41" s="36">
        <v>27</v>
      </c>
      <c r="O41" s="11">
        <f>VLOOKUP(N41,المرجع!$B$2:$C$11,2)</f>
        <v>0</v>
      </c>
      <c r="P41" s="45" t="str">
        <f>VLOOKUP(O41,المرجع!$D$2:$E$11,2)</f>
        <v>ه</v>
      </c>
      <c r="Q41" s="10">
        <f t="shared" si="2"/>
        <v>0</v>
      </c>
      <c r="R41" s="46">
        <v>3</v>
      </c>
      <c r="S41" s="36">
        <v>88</v>
      </c>
      <c r="T41" s="11">
        <f>VLOOKUP(S41,المرجع!$B$2:$C$11,2)</f>
        <v>4.5</v>
      </c>
      <c r="U41" s="45" t="str">
        <f>VLOOKUP(T41,المرجع!$D$2:$E$11,2)</f>
        <v>ب+</v>
      </c>
      <c r="V41" s="10">
        <f t="shared" si="3"/>
        <v>13.5</v>
      </c>
      <c r="W41" s="46">
        <v>2</v>
      </c>
      <c r="X41" s="36">
        <v>24</v>
      </c>
      <c r="Y41" s="11">
        <f>VLOOKUP(X41,المرجع!$B$2:$C$11,2)</f>
        <v>0</v>
      </c>
      <c r="Z41" s="45" t="str">
        <f>VLOOKUP(Y41,المرجع!$D$2:$E$11,2)</f>
        <v>ه</v>
      </c>
      <c r="AA41" s="10">
        <f t="shared" si="4"/>
        <v>0</v>
      </c>
      <c r="AB41" s="43">
        <v>3</v>
      </c>
      <c r="AC41" s="36">
        <v>70</v>
      </c>
      <c r="AD41" s="11">
        <f>VLOOKUP(AC41,المرجع!$B$2:$C$11,2)</f>
        <v>3</v>
      </c>
      <c r="AE41" s="45" t="str">
        <f>VLOOKUP(AD41,المرجع!$D$2:$E$11,2)</f>
        <v>ج</v>
      </c>
      <c r="AF41" s="10">
        <f t="shared" si="5"/>
        <v>9</v>
      </c>
      <c r="AG41" s="46">
        <v>2</v>
      </c>
      <c r="AH41" s="36">
        <v>25</v>
      </c>
      <c r="AI41" s="11">
        <f>VLOOKUP(AH41,المرجع!$B$2:$C$11,2)</f>
        <v>0</v>
      </c>
      <c r="AJ41" s="45" t="str">
        <f>VLOOKUP(AI41,المرجع!$D$2:$E$11,2)</f>
        <v>ه</v>
      </c>
      <c r="AK41" s="10">
        <f t="shared" si="6"/>
        <v>0</v>
      </c>
      <c r="AL41" s="46">
        <v>2</v>
      </c>
      <c r="AM41" s="36">
        <v>25</v>
      </c>
      <c r="AN41" s="11">
        <f>VLOOKUP(AM41,المرجع!$B$2:$C$11,2)</f>
        <v>0</v>
      </c>
      <c r="AO41" s="45" t="str">
        <f>VLOOKUP(AN41,المرجع!$D$2:$E$11,2)</f>
        <v>ه</v>
      </c>
      <c r="AP41" s="10">
        <f t="shared" si="7"/>
        <v>0</v>
      </c>
      <c r="AQ41" s="46">
        <v>2</v>
      </c>
      <c r="AR41" s="36">
        <v>86</v>
      </c>
      <c r="AS41" s="11">
        <f>VLOOKUP(AR41,المرجع!$B$2:$C$11,2)</f>
        <v>4.5</v>
      </c>
      <c r="AT41" s="45" t="str">
        <f>VLOOKUP(AS41,المرجع!$D$2:$E$11,2)</f>
        <v>ب+</v>
      </c>
      <c r="AU41" s="10">
        <f t="shared" si="8"/>
        <v>9</v>
      </c>
      <c r="AV41" s="46">
        <v>2</v>
      </c>
      <c r="AW41" s="36">
        <v>17</v>
      </c>
      <c r="AX41" s="11">
        <f>VLOOKUP(AW41,المرجع!$B$2:$C$11,2)</f>
        <v>0</v>
      </c>
      <c r="AY41" s="45" t="str">
        <f>VLOOKUP(AX41,المرجع!$D$2:$E$11,2)</f>
        <v>ه</v>
      </c>
      <c r="AZ41" s="10">
        <f t="shared" si="9"/>
        <v>0</v>
      </c>
      <c r="BA41" s="47">
        <f t="shared" si="10"/>
        <v>45.5</v>
      </c>
      <c r="BB41" s="20">
        <f t="shared" si="11"/>
        <v>23</v>
      </c>
      <c r="BC41" s="21">
        <f t="shared" si="12"/>
        <v>1.9782608695652173</v>
      </c>
      <c r="BD41" s="50">
        <f>(BA41+'المستوى الثاني '!BB40+'المستوى الأول '!BL41)/('المستوى الأول '!BM41+'المستوى الثاني '!BC40+'المستوى الثالث '!BB40)</f>
        <v>2.2683823529411766</v>
      </c>
      <c r="BE41" s="48" t="str">
        <f>VLOOKUP(BD41,المرجع!$D$3:$F$11,3,TRUE)</f>
        <v xml:space="preserve">مقبول مرتفع </v>
      </c>
      <c r="BF41" s="22">
        <f t="shared" si="13"/>
        <v>40</v>
      </c>
    </row>
  </sheetData>
  <sortState xmlns:xlrd2="http://schemas.microsoft.com/office/spreadsheetml/2017/richdata2" ref="A2:BF41">
    <sortCondition ref="BF2:BF41"/>
  </sortState>
  <conditionalFormatting sqref="BE2:BE41">
    <cfRule type="containsText" dxfId="1" priority="1" operator="containsText" text="ممتاز مرتفع">
      <formula>NOT(ISERROR(SEARCH("ممتاز مرتفع",BE2)))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0694-96C0-455A-94E8-0D20D1F08B8A}">
  <sheetPr codeName="ورقة4">
    <tabColor rgb="FFFF0000"/>
  </sheetPr>
  <dimension ref="B2:F11"/>
  <sheetViews>
    <sheetView rightToLeft="1" workbookViewId="0">
      <selection activeCell="D8" sqref="D8"/>
    </sheetView>
  </sheetViews>
  <sheetFormatPr defaultRowHeight="14.5"/>
  <cols>
    <col min="6" max="6" width="13.54296875" bestFit="1" customWidth="1"/>
  </cols>
  <sheetData>
    <row r="2" spans="2:6" ht="49.5">
      <c r="B2" s="16" t="s">
        <v>85</v>
      </c>
      <c r="C2" s="16" t="s">
        <v>68</v>
      </c>
      <c r="D2" s="16" t="s">
        <v>86</v>
      </c>
      <c r="E2" s="16" t="s">
        <v>87</v>
      </c>
      <c r="F2" s="16" t="s">
        <v>75</v>
      </c>
    </row>
    <row r="3" spans="2:6" ht="29.5">
      <c r="B3" s="32">
        <v>0</v>
      </c>
      <c r="C3" s="32">
        <v>0</v>
      </c>
      <c r="D3" s="32">
        <v>0</v>
      </c>
      <c r="E3" s="33" t="s">
        <v>88</v>
      </c>
      <c r="F3" s="32" t="s">
        <v>89</v>
      </c>
    </row>
    <row r="4" spans="2:6" ht="29.5">
      <c r="B4" s="32">
        <v>50</v>
      </c>
      <c r="C4" s="32">
        <v>2</v>
      </c>
      <c r="D4" s="32">
        <v>2</v>
      </c>
      <c r="E4" s="33" t="s">
        <v>90</v>
      </c>
      <c r="F4" s="32" t="s">
        <v>91</v>
      </c>
    </row>
    <row r="5" spans="2:6" ht="29.5">
      <c r="B5" s="32">
        <v>65</v>
      </c>
      <c r="C5" s="32">
        <v>2.5</v>
      </c>
      <c r="D5" s="32">
        <v>2.1</v>
      </c>
      <c r="E5" s="33" t="s">
        <v>92</v>
      </c>
      <c r="F5" s="32" t="s">
        <v>93</v>
      </c>
    </row>
    <row r="6" spans="2:6" ht="29.5">
      <c r="B6" s="32">
        <v>70</v>
      </c>
      <c r="C6" s="32">
        <v>3</v>
      </c>
      <c r="D6" s="32">
        <v>2.6</v>
      </c>
      <c r="E6" s="33" t="s">
        <v>94</v>
      </c>
      <c r="F6" s="32" t="s">
        <v>95</v>
      </c>
    </row>
    <row r="7" spans="2:6" ht="29.5">
      <c r="B7" s="32">
        <v>75</v>
      </c>
      <c r="C7" s="32">
        <v>3.5</v>
      </c>
      <c r="D7" s="32">
        <v>3.1</v>
      </c>
      <c r="E7" s="33" t="s">
        <v>96</v>
      </c>
      <c r="F7" s="32" t="s">
        <v>97</v>
      </c>
    </row>
    <row r="8" spans="2:6" ht="29.5">
      <c r="B8" s="32">
        <v>80</v>
      </c>
      <c r="C8" s="32">
        <v>4</v>
      </c>
      <c r="D8" s="32">
        <v>3.6</v>
      </c>
      <c r="E8" s="33" t="s">
        <v>98</v>
      </c>
      <c r="F8" s="32" t="s">
        <v>99</v>
      </c>
    </row>
    <row r="9" spans="2:6" ht="29.5">
      <c r="B9" s="32">
        <v>85</v>
      </c>
      <c r="C9" s="32">
        <v>4.5</v>
      </c>
      <c r="D9" s="32">
        <v>4.0999999999999996</v>
      </c>
      <c r="E9" s="33" t="s">
        <v>100</v>
      </c>
      <c r="F9" s="32" t="s">
        <v>101</v>
      </c>
    </row>
    <row r="10" spans="2:6" ht="29.5">
      <c r="B10" s="32">
        <v>90</v>
      </c>
      <c r="C10" s="32">
        <v>4.75</v>
      </c>
      <c r="D10" s="32">
        <v>4.5999999999999996</v>
      </c>
      <c r="E10" s="33" t="s">
        <v>102</v>
      </c>
      <c r="F10" s="32" t="s">
        <v>103</v>
      </c>
    </row>
    <row r="11" spans="2:6" ht="29.5">
      <c r="B11" s="32">
        <v>95</v>
      </c>
      <c r="C11" s="32">
        <v>5</v>
      </c>
      <c r="D11" s="32">
        <v>4.76</v>
      </c>
      <c r="E11" s="33" t="s">
        <v>104</v>
      </c>
      <c r="F11" s="32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FC08-B8AF-49D4-8014-1498AC9B730C}">
  <sheetPr codeName="ورقة5"/>
  <dimension ref="A2:O67"/>
  <sheetViews>
    <sheetView rightToLeft="1" topLeftCell="A42" workbookViewId="0">
      <selection activeCell="D3" sqref="D3:G3"/>
    </sheetView>
  </sheetViews>
  <sheetFormatPr defaultRowHeight="14.5"/>
  <cols>
    <col min="1" max="1" width="3.08984375" bestFit="1" customWidth="1"/>
    <col min="2" max="2" width="26.08984375" customWidth="1"/>
    <col min="3" max="3" width="8.81640625" bestFit="1" customWidth="1"/>
    <col min="4" max="5" width="8.90625" bestFit="1" customWidth="1"/>
    <col min="7" max="7" width="8.7265625" customWidth="1"/>
    <col min="8" max="8" width="5.6328125" customWidth="1"/>
    <col min="10" max="10" width="2.90625" bestFit="1" customWidth="1"/>
    <col min="11" max="11" width="17.453125" bestFit="1" customWidth="1"/>
  </cols>
  <sheetData>
    <row r="2" spans="1:15" ht="15" thickBot="1"/>
    <row r="3" spans="1:15" ht="31.25" customHeight="1" thickBot="1">
      <c r="B3" s="57" t="s">
        <v>115</v>
      </c>
      <c r="C3" s="58"/>
      <c r="D3" s="85" t="s">
        <v>22</v>
      </c>
      <c r="E3" s="85"/>
      <c r="F3" s="85"/>
      <c r="G3" s="86"/>
      <c r="H3" s="52"/>
    </row>
    <row r="4" spans="1:15" ht="15">
      <c r="A4" s="87" t="s">
        <v>131</v>
      </c>
      <c r="B4" s="88"/>
      <c r="C4" s="88"/>
      <c r="D4" s="88"/>
      <c r="E4" s="88"/>
      <c r="F4" s="88"/>
      <c r="G4" s="88"/>
      <c r="H4" s="52"/>
      <c r="J4" s="84" t="s">
        <v>117</v>
      </c>
      <c r="K4" s="84"/>
      <c r="L4" s="84"/>
      <c r="M4" s="84"/>
      <c r="N4" s="84"/>
      <c r="O4" s="84"/>
    </row>
    <row r="5" spans="1:15" ht="26.5">
      <c r="A5" s="54" t="s">
        <v>125</v>
      </c>
      <c r="B5" s="56" t="s">
        <v>116</v>
      </c>
      <c r="C5" s="56" t="s">
        <v>128</v>
      </c>
      <c r="D5" s="56" t="s">
        <v>85</v>
      </c>
      <c r="E5" s="56" t="s">
        <v>68</v>
      </c>
      <c r="F5" s="56" t="s">
        <v>69</v>
      </c>
      <c r="G5" s="56" t="s">
        <v>70</v>
      </c>
      <c r="H5" s="53"/>
      <c r="I5" s="51"/>
      <c r="J5" s="1" t="s">
        <v>125</v>
      </c>
      <c r="K5" s="1" t="s">
        <v>116</v>
      </c>
      <c r="L5" s="1" t="s">
        <v>85</v>
      </c>
      <c r="M5" s="1" t="s">
        <v>68</v>
      </c>
      <c r="N5" s="1" t="s">
        <v>69</v>
      </c>
      <c r="O5" s="1" t="s">
        <v>70</v>
      </c>
    </row>
    <row r="6" spans="1:15" ht="26.5">
      <c r="A6" s="54">
        <v>1</v>
      </c>
      <c r="B6" s="56" t="s">
        <v>118</v>
      </c>
      <c r="C6" s="59">
        <f>VLOOKUP(D3,'المستوى الأول '!C2:BQ55,2,FALSE)</f>
        <v>1</v>
      </c>
      <c r="D6" s="59">
        <f>VLOOKUP(D3,'المستوى الأول '!C2:BQ55,3,FALSE)</f>
        <v>98</v>
      </c>
      <c r="E6" s="59">
        <f>VLOOKUP(D3,'المستوى الأول '!C2:BQ55,4,FALSE)</f>
        <v>5</v>
      </c>
      <c r="F6" s="59" t="str">
        <f>VLOOKUP(D3,'المستوى الأول '!C2:BQ55,5,FALSE)</f>
        <v xml:space="preserve">أ+ </v>
      </c>
      <c r="G6" s="59">
        <f>VLOOKUP(D3,'المستوى الأول '!C2:BQ55,6,FALSE)</f>
        <v>5</v>
      </c>
      <c r="J6" s="1">
        <v>1</v>
      </c>
      <c r="K6" s="1" t="s">
        <v>118</v>
      </c>
      <c r="L6" s="1"/>
      <c r="M6" s="1"/>
      <c r="N6" s="1"/>
      <c r="O6" s="1"/>
    </row>
    <row r="7" spans="1:15" ht="26.5">
      <c r="A7" s="54">
        <v>2</v>
      </c>
      <c r="B7" s="56" t="s">
        <v>120</v>
      </c>
      <c r="C7" s="59">
        <f>VLOOKUP(D3,'المستوى الأول '!C2:BQ55,7,FALSE)</f>
        <v>2</v>
      </c>
      <c r="D7" s="59">
        <f>VLOOKUP(D3,'المستوى الأول '!C2:BQ55,8,FALSE)</f>
        <v>96</v>
      </c>
      <c r="E7" s="59">
        <f>VLOOKUP(D3,'المستوى الأول '!C2:BQ55,9,FALSE)</f>
        <v>5</v>
      </c>
      <c r="F7" s="59" t="str">
        <f>VLOOKUP(D3,'المستوى الأول '!C2:BQ55,10,FALSE)</f>
        <v xml:space="preserve">أ+ </v>
      </c>
      <c r="G7" s="59">
        <f>VLOOKUP(D3,'المستوى الأول '!C2:BQ55,11,FALSE)</f>
        <v>10</v>
      </c>
      <c r="J7" s="1">
        <v>2</v>
      </c>
      <c r="K7" s="1" t="s">
        <v>120</v>
      </c>
      <c r="L7" s="1"/>
      <c r="M7" s="1"/>
      <c r="N7" s="1"/>
      <c r="O7" s="1"/>
    </row>
    <row r="8" spans="1:15" ht="26.5">
      <c r="A8" s="54">
        <v>3</v>
      </c>
      <c r="B8" s="56" t="s">
        <v>119</v>
      </c>
      <c r="C8" s="56"/>
      <c r="D8" s="59">
        <f>VLOOKUP(D3,'المستوى الأول '!C2:BQ55,13,FALSE)</f>
        <v>93</v>
      </c>
      <c r="E8" s="59"/>
      <c r="F8" s="59"/>
      <c r="G8" s="59"/>
      <c r="J8" s="1">
        <v>3</v>
      </c>
      <c r="K8" s="1" t="s">
        <v>119</v>
      </c>
      <c r="L8" s="1"/>
      <c r="M8" s="1"/>
      <c r="N8" s="1"/>
      <c r="O8" s="1"/>
    </row>
    <row r="9" spans="1:15" ht="26.5">
      <c r="A9" s="54">
        <v>4</v>
      </c>
      <c r="B9" s="56" t="s">
        <v>10</v>
      </c>
      <c r="C9" s="56"/>
      <c r="D9" s="59"/>
      <c r="E9" s="59"/>
      <c r="F9" s="59"/>
      <c r="G9" s="59"/>
      <c r="J9" s="1">
        <v>4</v>
      </c>
      <c r="K9" s="1" t="s">
        <v>10</v>
      </c>
      <c r="L9" s="1"/>
      <c r="M9" s="1"/>
      <c r="N9" s="1"/>
      <c r="O9" s="1"/>
    </row>
    <row r="10" spans="1:15" ht="26.5">
      <c r="A10" s="54">
        <v>5</v>
      </c>
      <c r="B10" s="56" t="s">
        <v>7</v>
      </c>
      <c r="C10" s="56"/>
      <c r="D10" s="59"/>
      <c r="E10" s="59"/>
      <c r="F10" s="59"/>
      <c r="G10" s="59"/>
      <c r="J10" s="1">
        <v>5</v>
      </c>
      <c r="K10" s="1" t="s">
        <v>7</v>
      </c>
      <c r="L10" s="1"/>
      <c r="M10" s="1"/>
      <c r="N10" s="1"/>
      <c r="O10" s="1"/>
    </row>
    <row r="11" spans="1:15" ht="26.5">
      <c r="A11" s="54">
        <v>6</v>
      </c>
      <c r="B11" s="56" t="s">
        <v>121</v>
      </c>
      <c r="C11" s="56"/>
      <c r="D11" s="59"/>
      <c r="E11" s="59"/>
      <c r="F11" s="59"/>
      <c r="G11" s="59"/>
      <c r="J11" s="1">
        <v>6</v>
      </c>
      <c r="K11" s="1" t="s">
        <v>121</v>
      </c>
      <c r="L11" s="1"/>
      <c r="M11" s="1"/>
      <c r="N11" s="1"/>
      <c r="O11" s="1"/>
    </row>
    <row r="12" spans="1:15" ht="26.5">
      <c r="A12" s="54">
        <v>7</v>
      </c>
      <c r="B12" s="56" t="s">
        <v>122</v>
      </c>
      <c r="C12" s="56"/>
      <c r="D12" s="59"/>
      <c r="E12" s="59"/>
      <c r="F12" s="59"/>
      <c r="G12" s="59"/>
      <c r="J12" s="1">
        <v>7</v>
      </c>
      <c r="K12" s="1" t="s">
        <v>122</v>
      </c>
      <c r="L12" s="1"/>
      <c r="M12" s="1"/>
      <c r="N12" s="1"/>
      <c r="O12" s="1"/>
    </row>
    <row r="13" spans="1:15" ht="26.5">
      <c r="A13" s="54">
        <v>8</v>
      </c>
      <c r="B13" s="56" t="s">
        <v>123</v>
      </c>
      <c r="C13" s="56"/>
      <c r="D13" s="59"/>
      <c r="E13" s="59"/>
      <c r="F13" s="59"/>
      <c r="G13" s="59"/>
      <c r="J13" s="1">
        <v>8</v>
      </c>
      <c r="K13" s="1" t="s">
        <v>123</v>
      </c>
      <c r="L13" s="1"/>
      <c r="M13" s="1"/>
      <c r="N13" s="1"/>
      <c r="O13" s="1"/>
    </row>
    <row r="14" spans="1:15" ht="26.5">
      <c r="A14" s="54">
        <v>9</v>
      </c>
      <c r="B14" s="56" t="s">
        <v>11</v>
      </c>
      <c r="C14" s="56"/>
      <c r="D14" s="59"/>
      <c r="E14" s="59"/>
      <c r="F14" s="59"/>
      <c r="G14" s="59"/>
      <c r="J14" s="1">
        <v>9</v>
      </c>
      <c r="K14" s="1" t="s">
        <v>11</v>
      </c>
      <c r="L14" s="1"/>
      <c r="M14" s="1"/>
      <c r="N14" s="1"/>
      <c r="O14" s="1"/>
    </row>
    <row r="15" spans="1:15" ht="26.5">
      <c r="A15" s="54">
        <v>10</v>
      </c>
      <c r="B15" s="56" t="s">
        <v>3</v>
      </c>
      <c r="C15" s="56"/>
      <c r="D15" s="59"/>
      <c r="E15" s="59"/>
      <c r="F15" s="59"/>
      <c r="G15" s="59"/>
      <c r="J15" s="1">
        <v>10</v>
      </c>
      <c r="K15" s="1" t="s">
        <v>3</v>
      </c>
      <c r="L15" s="1"/>
      <c r="M15" s="1"/>
      <c r="N15" s="1"/>
      <c r="O15" s="1"/>
    </row>
    <row r="16" spans="1:15" ht="26.5">
      <c r="A16" s="54">
        <v>11</v>
      </c>
      <c r="B16" s="56" t="s">
        <v>124</v>
      </c>
      <c r="C16" s="56"/>
      <c r="D16" s="59"/>
      <c r="E16" s="59"/>
      <c r="F16" s="59"/>
      <c r="G16" s="59"/>
      <c r="J16" s="1">
        <v>11</v>
      </c>
      <c r="K16" s="1" t="s">
        <v>124</v>
      </c>
      <c r="L16" s="1"/>
      <c r="M16" s="1"/>
      <c r="N16" s="1"/>
      <c r="O16" s="1"/>
    </row>
    <row r="17" spans="1:15" ht="26.5">
      <c r="A17" s="54">
        <v>12</v>
      </c>
      <c r="B17" s="56" t="s">
        <v>12</v>
      </c>
      <c r="C17" s="56"/>
      <c r="D17" s="59"/>
      <c r="E17" s="59"/>
      <c r="F17" s="59"/>
      <c r="G17" s="59"/>
      <c r="J17" s="1">
        <v>12</v>
      </c>
      <c r="K17" s="1" t="s">
        <v>12</v>
      </c>
      <c r="L17" s="1"/>
      <c r="M17" s="1"/>
      <c r="N17" s="1"/>
      <c r="O17" s="1"/>
    </row>
    <row r="18" spans="1:15" ht="26.5">
      <c r="A18" s="55"/>
      <c r="B18" s="56" t="s">
        <v>129</v>
      </c>
      <c r="C18" s="56"/>
      <c r="D18" s="59"/>
      <c r="E18" s="59"/>
      <c r="F18" s="59"/>
      <c r="G18" s="59"/>
    </row>
    <row r="19" spans="1:15" ht="26.5">
      <c r="A19" s="55"/>
      <c r="B19" s="56" t="s">
        <v>73</v>
      </c>
      <c r="C19" s="56"/>
      <c r="D19" s="59"/>
      <c r="E19" s="59" t="s">
        <v>75</v>
      </c>
      <c r="F19" s="59"/>
      <c r="G19" s="59"/>
    </row>
    <row r="20" spans="1:15" ht="26.5">
      <c r="A20" s="55"/>
      <c r="B20" s="56" t="s">
        <v>74</v>
      </c>
      <c r="C20" s="56"/>
      <c r="D20" s="59"/>
      <c r="E20" s="59"/>
      <c r="F20" s="59"/>
      <c r="G20" s="59"/>
    </row>
    <row r="22" spans="1:15">
      <c r="A22" s="84" t="s">
        <v>130</v>
      </c>
      <c r="B22" s="84"/>
      <c r="C22" s="84"/>
      <c r="D22" s="84"/>
      <c r="E22" s="84"/>
      <c r="F22" s="84"/>
      <c r="G22" s="84"/>
      <c r="H22" s="52"/>
      <c r="J22" s="84" t="s">
        <v>117</v>
      </c>
      <c r="K22" s="84"/>
      <c r="L22" s="84"/>
      <c r="M22" s="84"/>
      <c r="N22" s="84"/>
      <c r="O22" s="84"/>
    </row>
    <row r="23" spans="1:15">
      <c r="A23" s="1" t="s">
        <v>125</v>
      </c>
      <c r="B23" s="1" t="s">
        <v>116</v>
      </c>
      <c r="C23" s="1"/>
      <c r="D23" s="1" t="s">
        <v>85</v>
      </c>
      <c r="E23" s="1" t="s">
        <v>68</v>
      </c>
      <c r="F23" s="1" t="s">
        <v>69</v>
      </c>
      <c r="G23" s="1" t="s">
        <v>70</v>
      </c>
      <c r="J23" s="1" t="s">
        <v>125</v>
      </c>
      <c r="K23" s="1" t="s">
        <v>116</v>
      </c>
      <c r="L23" s="1" t="s">
        <v>85</v>
      </c>
      <c r="M23" s="1" t="s">
        <v>68</v>
      </c>
      <c r="N23" s="1" t="s">
        <v>69</v>
      </c>
      <c r="O23" s="1" t="s">
        <v>70</v>
      </c>
    </row>
    <row r="24" spans="1:15">
      <c r="A24" s="1">
        <v>1</v>
      </c>
      <c r="B24" s="1" t="s">
        <v>118</v>
      </c>
      <c r="C24" s="1"/>
      <c r="D24" s="1">
        <f>VLOOKUP(D3,'المستوى الثالث '!B1:BG41,3,)</f>
        <v>92</v>
      </c>
      <c r="E24" s="1">
        <f>VLOOKUP(D3,'المستوى الثالث '!B1:BG41,4,)</f>
        <v>4.75</v>
      </c>
      <c r="F24" s="1" t="str">
        <f>VLOOKUP(D3,'المستوى الثالث '!B1:BG41,5,)</f>
        <v>أ</v>
      </c>
      <c r="G24" s="1">
        <f>VLOOKUP(D3,'المستوى الثالث '!B1:BG41,6,)</f>
        <v>4.75</v>
      </c>
      <c r="J24" s="1">
        <v>1</v>
      </c>
      <c r="K24" s="1" t="s">
        <v>118</v>
      </c>
      <c r="L24" s="1"/>
      <c r="M24" s="1"/>
      <c r="N24" s="1"/>
      <c r="O24" s="1"/>
    </row>
    <row r="25" spans="1:15">
      <c r="A25" s="1">
        <v>2</v>
      </c>
      <c r="B25" s="1" t="s">
        <v>120</v>
      </c>
      <c r="C25" s="1"/>
      <c r="D25" s="1">
        <f>VLOOKUP(D3,'المستوى الثالث '!B1:BG41,3,)</f>
        <v>92</v>
      </c>
      <c r="E25" s="1">
        <f>VLOOKUP(D3,'المستوى الثالث '!B1:BG41,3,)</f>
        <v>92</v>
      </c>
      <c r="F25" s="1">
        <f>VLOOKUP(D3,'المستوى الثالث '!B1:BG41,3,)</f>
        <v>92</v>
      </c>
      <c r="G25" s="1">
        <f>VLOOKUP(D3,'المستوى الثالث '!B1:BG41,3,)</f>
        <v>92</v>
      </c>
      <c r="J25" s="1">
        <v>2</v>
      </c>
      <c r="K25" s="1" t="s">
        <v>120</v>
      </c>
      <c r="L25" s="1"/>
      <c r="M25" s="1"/>
      <c r="N25" s="1"/>
      <c r="O25" s="1"/>
    </row>
    <row r="26" spans="1:15">
      <c r="A26" s="1">
        <v>3</v>
      </c>
      <c r="B26" s="1" t="s">
        <v>119</v>
      </c>
      <c r="C26" s="1"/>
      <c r="D26" s="1"/>
      <c r="E26" s="1"/>
      <c r="F26" s="1"/>
      <c r="G26" s="1"/>
      <c r="J26" s="1">
        <v>3</v>
      </c>
      <c r="K26" s="1" t="s">
        <v>119</v>
      </c>
      <c r="L26" s="1"/>
      <c r="M26" s="1"/>
      <c r="N26" s="1"/>
      <c r="O26" s="1"/>
    </row>
    <row r="27" spans="1:15">
      <c r="A27" s="1">
        <v>4</v>
      </c>
      <c r="B27" s="1" t="s">
        <v>10</v>
      </c>
      <c r="C27" s="1"/>
      <c r="D27" s="1"/>
      <c r="E27" s="1"/>
      <c r="F27" s="1"/>
      <c r="G27" s="1"/>
      <c r="J27" s="1">
        <v>4</v>
      </c>
      <c r="K27" s="1" t="s">
        <v>10</v>
      </c>
      <c r="L27" s="1"/>
      <c r="M27" s="1"/>
      <c r="N27" s="1"/>
      <c r="O27" s="1"/>
    </row>
    <row r="28" spans="1:15">
      <c r="A28" s="1">
        <v>5</v>
      </c>
      <c r="B28" s="1" t="s">
        <v>7</v>
      </c>
      <c r="C28" s="1"/>
      <c r="D28" s="1"/>
      <c r="E28" s="1"/>
      <c r="F28" s="1"/>
      <c r="G28" s="1"/>
      <c r="J28" s="1">
        <v>5</v>
      </c>
      <c r="K28" s="1" t="s">
        <v>7</v>
      </c>
      <c r="L28" s="1"/>
      <c r="M28" s="1"/>
      <c r="N28" s="1"/>
      <c r="O28" s="1"/>
    </row>
    <row r="29" spans="1:15">
      <c r="A29" s="1">
        <v>6</v>
      </c>
      <c r="B29" s="1" t="s">
        <v>121</v>
      </c>
      <c r="C29" s="1"/>
      <c r="D29" s="1"/>
      <c r="E29" s="1"/>
      <c r="F29" s="1"/>
      <c r="G29" s="1"/>
      <c r="J29" s="1">
        <v>6</v>
      </c>
      <c r="K29" s="1" t="s">
        <v>121</v>
      </c>
      <c r="L29" s="1"/>
      <c r="M29" s="1"/>
      <c r="N29" s="1"/>
      <c r="O29" s="1"/>
    </row>
    <row r="30" spans="1:15">
      <c r="A30" s="1">
        <v>7</v>
      </c>
      <c r="B30" s="1" t="s">
        <v>122</v>
      </c>
      <c r="C30" s="1"/>
      <c r="D30" s="1"/>
      <c r="E30" s="1"/>
      <c r="F30" s="1"/>
      <c r="G30" s="1"/>
      <c r="J30" s="1">
        <v>7</v>
      </c>
      <c r="K30" s="1" t="s">
        <v>122</v>
      </c>
      <c r="L30" s="1"/>
      <c r="M30" s="1"/>
      <c r="N30" s="1"/>
      <c r="O30" s="1"/>
    </row>
    <row r="31" spans="1:15">
      <c r="A31" s="1">
        <v>8</v>
      </c>
      <c r="B31" s="1" t="s">
        <v>123</v>
      </c>
      <c r="C31" s="1"/>
      <c r="D31" s="1"/>
      <c r="E31" s="1"/>
      <c r="F31" s="1"/>
      <c r="G31" s="1"/>
      <c r="J31" s="1">
        <v>8</v>
      </c>
      <c r="K31" s="1" t="s">
        <v>123</v>
      </c>
      <c r="L31" s="1"/>
      <c r="M31" s="1"/>
      <c r="N31" s="1"/>
      <c r="O31" s="1"/>
    </row>
    <row r="32" spans="1:15">
      <c r="A32" s="1">
        <v>9</v>
      </c>
      <c r="B32" s="1" t="s">
        <v>11</v>
      </c>
      <c r="C32" s="1"/>
      <c r="D32" s="1"/>
      <c r="E32" s="1"/>
      <c r="F32" s="1"/>
      <c r="G32" s="1"/>
      <c r="J32" s="1">
        <v>9</v>
      </c>
      <c r="K32" s="1" t="s">
        <v>11</v>
      </c>
      <c r="L32" s="1"/>
      <c r="M32" s="1"/>
      <c r="N32" s="1"/>
      <c r="O32" s="1"/>
    </row>
    <row r="33" spans="1:15">
      <c r="A33" s="1">
        <v>10</v>
      </c>
      <c r="B33" s="1" t="s">
        <v>3</v>
      </c>
      <c r="C33" s="1"/>
      <c r="D33" s="1"/>
      <c r="E33" s="1"/>
      <c r="F33" s="1"/>
      <c r="G33" s="1"/>
      <c r="J33" s="1">
        <v>10</v>
      </c>
      <c r="K33" s="1" t="s">
        <v>3</v>
      </c>
      <c r="L33" s="1"/>
      <c r="M33" s="1"/>
      <c r="N33" s="1"/>
      <c r="O33" s="1"/>
    </row>
    <row r="34" spans="1:15">
      <c r="A34" s="1">
        <v>11</v>
      </c>
      <c r="B34" s="1" t="s">
        <v>124</v>
      </c>
      <c r="C34" s="1"/>
      <c r="D34" s="1"/>
      <c r="E34" s="1"/>
      <c r="F34" s="1"/>
      <c r="G34" s="1"/>
      <c r="J34" s="1">
        <v>11</v>
      </c>
      <c r="K34" s="1" t="s">
        <v>124</v>
      </c>
      <c r="L34" s="1"/>
      <c r="M34" s="1"/>
      <c r="N34" s="1"/>
      <c r="O34" s="1"/>
    </row>
    <row r="35" spans="1:15">
      <c r="A35" s="1">
        <v>12</v>
      </c>
      <c r="B35" s="1" t="s">
        <v>12</v>
      </c>
      <c r="C35" s="1"/>
      <c r="D35" s="1"/>
      <c r="E35" s="1"/>
      <c r="F35" s="1"/>
      <c r="G35" s="1"/>
      <c r="J35" s="1">
        <v>12</v>
      </c>
      <c r="K35" s="1" t="s">
        <v>12</v>
      </c>
      <c r="L35" s="1"/>
      <c r="M35" s="1"/>
      <c r="N35" s="1"/>
      <c r="O35" s="1"/>
    </row>
    <row r="36" spans="1:15">
      <c r="B36" s="51" t="s">
        <v>126</v>
      </c>
      <c r="D36" t="s">
        <v>74</v>
      </c>
      <c r="G36" t="s">
        <v>127</v>
      </c>
    </row>
    <row r="38" spans="1:15">
      <c r="A38" s="84" t="s">
        <v>117</v>
      </c>
      <c r="B38" s="84"/>
      <c r="C38" s="84"/>
      <c r="D38" s="84"/>
      <c r="E38" s="84"/>
      <c r="F38" s="84"/>
      <c r="G38" s="84"/>
      <c r="H38" s="52"/>
      <c r="J38" s="84" t="s">
        <v>117</v>
      </c>
      <c r="K38" s="84"/>
      <c r="L38" s="84"/>
      <c r="M38" s="84"/>
      <c r="N38" s="84"/>
      <c r="O38" s="84"/>
    </row>
    <row r="39" spans="1:15">
      <c r="A39" s="1" t="s">
        <v>125</v>
      </c>
      <c r="B39" s="1" t="s">
        <v>116</v>
      </c>
      <c r="C39" s="1"/>
      <c r="D39" s="1" t="s">
        <v>85</v>
      </c>
      <c r="E39" s="1" t="s">
        <v>68</v>
      </c>
      <c r="F39" s="1" t="s">
        <v>69</v>
      </c>
      <c r="G39" s="1" t="s">
        <v>70</v>
      </c>
      <c r="J39" s="1" t="s">
        <v>125</v>
      </c>
      <c r="K39" s="1" t="s">
        <v>116</v>
      </c>
      <c r="L39" s="1" t="s">
        <v>85</v>
      </c>
      <c r="M39" s="1" t="s">
        <v>68</v>
      </c>
      <c r="N39" s="1" t="s">
        <v>69</v>
      </c>
      <c r="O39" s="1" t="s">
        <v>70</v>
      </c>
    </row>
    <row r="40" spans="1:15">
      <c r="A40" s="1">
        <v>1</v>
      </c>
      <c r="B40" s="1" t="s">
        <v>118</v>
      </c>
      <c r="C40" s="1"/>
      <c r="D40" s="1"/>
      <c r="E40" s="1"/>
      <c r="F40" s="1"/>
      <c r="G40" s="1"/>
      <c r="J40" s="1">
        <v>1</v>
      </c>
      <c r="K40" s="1" t="s">
        <v>118</v>
      </c>
      <c r="L40" s="1"/>
      <c r="M40" s="1"/>
      <c r="N40" s="1"/>
      <c r="O40" s="1"/>
    </row>
    <row r="41" spans="1:15">
      <c r="A41" s="1">
        <v>2</v>
      </c>
      <c r="B41" s="1" t="s">
        <v>120</v>
      </c>
      <c r="C41" s="1"/>
      <c r="D41" s="1"/>
      <c r="E41" s="1"/>
      <c r="F41" s="1"/>
      <c r="G41" s="1"/>
      <c r="J41" s="1">
        <v>2</v>
      </c>
      <c r="K41" s="1" t="s">
        <v>120</v>
      </c>
      <c r="L41" s="1"/>
      <c r="M41" s="1"/>
      <c r="N41" s="1"/>
      <c r="O41" s="1"/>
    </row>
    <row r="42" spans="1:15">
      <c r="A42" s="1">
        <v>3</v>
      </c>
      <c r="B42" s="1" t="s">
        <v>119</v>
      </c>
      <c r="C42" s="1"/>
      <c r="D42" s="1"/>
      <c r="E42" s="1"/>
      <c r="F42" s="1"/>
      <c r="G42" s="1"/>
      <c r="J42" s="1">
        <v>3</v>
      </c>
      <c r="K42" s="1" t="s">
        <v>119</v>
      </c>
      <c r="L42" s="1"/>
      <c r="M42" s="1"/>
      <c r="N42" s="1"/>
      <c r="O42" s="1"/>
    </row>
    <row r="43" spans="1:15">
      <c r="A43" s="1">
        <v>4</v>
      </c>
      <c r="B43" s="1" t="s">
        <v>10</v>
      </c>
      <c r="C43" s="1"/>
      <c r="D43" s="1"/>
      <c r="E43" s="1"/>
      <c r="F43" s="1"/>
      <c r="G43" s="1"/>
      <c r="J43" s="1">
        <v>4</v>
      </c>
      <c r="K43" s="1" t="s">
        <v>10</v>
      </c>
      <c r="L43" s="1"/>
      <c r="M43" s="1"/>
      <c r="N43" s="1"/>
      <c r="O43" s="1"/>
    </row>
    <row r="44" spans="1:15">
      <c r="A44" s="1">
        <v>5</v>
      </c>
      <c r="B44" s="1" t="s">
        <v>7</v>
      </c>
      <c r="C44" s="1"/>
      <c r="D44" s="1"/>
      <c r="E44" s="1"/>
      <c r="F44" s="1"/>
      <c r="G44" s="1"/>
      <c r="J44" s="1">
        <v>5</v>
      </c>
      <c r="K44" s="1" t="s">
        <v>7</v>
      </c>
      <c r="L44" s="1"/>
      <c r="M44" s="1"/>
      <c r="N44" s="1"/>
      <c r="O44" s="1"/>
    </row>
    <row r="45" spans="1:15">
      <c r="A45" s="1">
        <v>6</v>
      </c>
      <c r="B45" s="1" t="s">
        <v>121</v>
      </c>
      <c r="C45" s="1"/>
      <c r="D45" s="1"/>
      <c r="E45" s="1"/>
      <c r="F45" s="1"/>
      <c r="G45" s="1"/>
      <c r="J45" s="1">
        <v>6</v>
      </c>
      <c r="K45" s="1" t="s">
        <v>121</v>
      </c>
      <c r="L45" s="1"/>
      <c r="M45" s="1"/>
      <c r="N45" s="1"/>
      <c r="O45" s="1"/>
    </row>
    <row r="46" spans="1:15">
      <c r="A46" s="1">
        <v>7</v>
      </c>
      <c r="B46" s="1" t="s">
        <v>122</v>
      </c>
      <c r="C46" s="1"/>
      <c r="D46" s="1"/>
      <c r="E46" s="1"/>
      <c r="F46" s="1"/>
      <c r="G46" s="1"/>
      <c r="J46" s="1">
        <v>7</v>
      </c>
      <c r="K46" s="1" t="s">
        <v>122</v>
      </c>
      <c r="L46" s="1"/>
      <c r="M46" s="1"/>
      <c r="N46" s="1"/>
      <c r="O46" s="1"/>
    </row>
    <row r="47" spans="1:15">
      <c r="A47" s="1">
        <v>8</v>
      </c>
      <c r="B47" s="1" t="s">
        <v>123</v>
      </c>
      <c r="C47" s="1"/>
      <c r="D47" s="1"/>
      <c r="E47" s="1"/>
      <c r="F47" s="1"/>
      <c r="G47" s="1"/>
      <c r="J47" s="1">
        <v>8</v>
      </c>
      <c r="K47" s="1" t="s">
        <v>123</v>
      </c>
      <c r="L47" s="1"/>
      <c r="M47" s="1"/>
      <c r="N47" s="1"/>
      <c r="O47" s="1"/>
    </row>
    <row r="48" spans="1:15">
      <c r="A48" s="1">
        <v>9</v>
      </c>
      <c r="B48" s="1" t="s">
        <v>11</v>
      </c>
      <c r="C48" s="1"/>
      <c r="D48" s="1"/>
      <c r="E48" s="1"/>
      <c r="F48" s="1"/>
      <c r="G48" s="1"/>
      <c r="J48" s="1">
        <v>9</v>
      </c>
      <c r="K48" s="1" t="s">
        <v>11</v>
      </c>
      <c r="L48" s="1"/>
      <c r="M48" s="1"/>
      <c r="N48" s="1"/>
      <c r="O48" s="1"/>
    </row>
    <row r="49" spans="1:15">
      <c r="A49" s="1">
        <v>10</v>
      </c>
      <c r="B49" s="1" t="s">
        <v>3</v>
      </c>
      <c r="C49" s="1"/>
      <c r="D49" s="1"/>
      <c r="E49" s="1"/>
      <c r="F49" s="1"/>
      <c r="G49" s="1"/>
      <c r="J49" s="1">
        <v>10</v>
      </c>
      <c r="K49" s="1" t="s">
        <v>3</v>
      </c>
      <c r="L49" s="1"/>
      <c r="M49" s="1"/>
      <c r="N49" s="1"/>
      <c r="O49" s="1"/>
    </row>
    <row r="50" spans="1:15">
      <c r="A50" s="1">
        <v>11</v>
      </c>
      <c r="B50" s="1" t="s">
        <v>124</v>
      </c>
      <c r="C50" s="1"/>
      <c r="D50" s="1"/>
      <c r="E50" s="1"/>
      <c r="F50" s="1"/>
      <c r="G50" s="1"/>
      <c r="J50" s="1">
        <v>11</v>
      </c>
      <c r="K50" s="1" t="s">
        <v>124</v>
      </c>
      <c r="L50" s="1"/>
      <c r="M50" s="1"/>
      <c r="N50" s="1"/>
      <c r="O50" s="1"/>
    </row>
    <row r="51" spans="1:15">
      <c r="A51" s="1">
        <v>12</v>
      </c>
      <c r="B51" s="1" t="s">
        <v>12</v>
      </c>
      <c r="C51" s="1"/>
      <c r="D51" s="1"/>
      <c r="E51" s="1"/>
      <c r="F51" s="1"/>
      <c r="G51" s="1"/>
      <c r="J51" s="1">
        <v>12</v>
      </c>
      <c r="K51" s="1" t="s">
        <v>12</v>
      </c>
      <c r="L51" s="1"/>
      <c r="M51" s="1"/>
      <c r="N51" s="1"/>
      <c r="O51" s="1"/>
    </row>
    <row r="54" spans="1:15">
      <c r="A54" s="84" t="s">
        <v>117</v>
      </c>
      <c r="B54" s="84"/>
      <c r="C54" s="84"/>
      <c r="D54" s="84"/>
      <c r="E54" s="84"/>
      <c r="F54" s="84"/>
      <c r="G54" s="84"/>
      <c r="H54" s="52"/>
      <c r="J54" s="84" t="s">
        <v>117</v>
      </c>
      <c r="K54" s="84"/>
      <c r="L54" s="84"/>
      <c r="M54" s="84"/>
      <c r="N54" s="84"/>
      <c r="O54" s="84"/>
    </row>
    <row r="55" spans="1:15">
      <c r="A55" s="1" t="s">
        <v>125</v>
      </c>
      <c r="B55" s="1" t="s">
        <v>116</v>
      </c>
      <c r="C55" s="1"/>
      <c r="D55" s="1" t="s">
        <v>85</v>
      </c>
      <c r="E55" s="1" t="s">
        <v>68</v>
      </c>
      <c r="F55" s="1" t="s">
        <v>69</v>
      </c>
      <c r="G55" s="1" t="s">
        <v>70</v>
      </c>
      <c r="J55" s="1" t="s">
        <v>125</v>
      </c>
      <c r="K55" s="1" t="s">
        <v>116</v>
      </c>
      <c r="L55" s="1" t="s">
        <v>85</v>
      </c>
      <c r="M55" s="1" t="s">
        <v>68</v>
      </c>
      <c r="N55" s="1" t="s">
        <v>69</v>
      </c>
      <c r="O55" s="1" t="s">
        <v>70</v>
      </c>
    </row>
    <row r="56" spans="1:15">
      <c r="A56" s="1">
        <v>1</v>
      </c>
      <c r="B56" s="1" t="s">
        <v>118</v>
      </c>
      <c r="C56" s="1"/>
      <c r="D56" s="1"/>
      <c r="E56" s="1"/>
      <c r="F56" s="1"/>
      <c r="G56" s="1"/>
      <c r="J56" s="1">
        <v>1</v>
      </c>
      <c r="K56" s="1" t="s">
        <v>118</v>
      </c>
      <c r="L56" s="1"/>
      <c r="M56" s="1"/>
      <c r="N56" s="1"/>
      <c r="O56" s="1"/>
    </row>
    <row r="57" spans="1:15">
      <c r="A57" s="1">
        <v>2</v>
      </c>
      <c r="B57" s="1" t="s">
        <v>120</v>
      </c>
      <c r="C57" s="1"/>
      <c r="D57" s="1"/>
      <c r="E57" s="1"/>
      <c r="F57" s="1"/>
      <c r="G57" s="1"/>
      <c r="J57" s="1">
        <v>2</v>
      </c>
      <c r="K57" s="1" t="s">
        <v>120</v>
      </c>
      <c r="L57" s="1"/>
      <c r="M57" s="1"/>
      <c r="N57" s="1"/>
      <c r="O57" s="1"/>
    </row>
    <row r="58" spans="1:15">
      <c r="A58" s="1">
        <v>3</v>
      </c>
      <c r="B58" s="1" t="s">
        <v>119</v>
      </c>
      <c r="C58" s="1"/>
      <c r="D58" s="1"/>
      <c r="E58" s="1"/>
      <c r="F58" s="1"/>
      <c r="G58" s="1"/>
      <c r="J58" s="1">
        <v>3</v>
      </c>
      <c r="K58" s="1" t="s">
        <v>119</v>
      </c>
      <c r="L58" s="1"/>
      <c r="M58" s="1"/>
      <c r="N58" s="1"/>
      <c r="O58" s="1"/>
    </row>
    <row r="59" spans="1:15">
      <c r="A59" s="1">
        <v>4</v>
      </c>
      <c r="B59" s="1" t="s">
        <v>10</v>
      </c>
      <c r="C59" s="1"/>
      <c r="D59" s="1"/>
      <c r="E59" s="1"/>
      <c r="F59" s="1"/>
      <c r="G59" s="1"/>
      <c r="J59" s="1">
        <v>4</v>
      </c>
      <c r="K59" s="1" t="s">
        <v>10</v>
      </c>
      <c r="L59" s="1"/>
      <c r="M59" s="1"/>
      <c r="N59" s="1"/>
      <c r="O59" s="1"/>
    </row>
    <row r="60" spans="1:15">
      <c r="A60" s="1">
        <v>5</v>
      </c>
      <c r="B60" s="1" t="s">
        <v>7</v>
      </c>
      <c r="C60" s="1"/>
      <c r="D60" s="1"/>
      <c r="E60" s="1"/>
      <c r="F60" s="1"/>
      <c r="G60" s="1"/>
      <c r="J60" s="1">
        <v>5</v>
      </c>
      <c r="K60" s="1" t="s">
        <v>7</v>
      </c>
      <c r="L60" s="1"/>
      <c r="M60" s="1"/>
      <c r="N60" s="1"/>
      <c r="O60" s="1"/>
    </row>
    <row r="61" spans="1:15">
      <c r="A61" s="1">
        <v>6</v>
      </c>
      <c r="B61" s="1" t="s">
        <v>121</v>
      </c>
      <c r="C61" s="1"/>
      <c r="D61" s="1"/>
      <c r="E61" s="1"/>
      <c r="F61" s="1"/>
      <c r="G61" s="1"/>
      <c r="J61" s="1">
        <v>6</v>
      </c>
      <c r="K61" s="1" t="s">
        <v>121</v>
      </c>
      <c r="L61" s="1"/>
      <c r="M61" s="1"/>
      <c r="N61" s="1"/>
      <c r="O61" s="1"/>
    </row>
    <row r="62" spans="1:15">
      <c r="A62" s="1">
        <v>7</v>
      </c>
      <c r="B62" s="1" t="s">
        <v>122</v>
      </c>
      <c r="C62" s="1"/>
      <c r="D62" s="1"/>
      <c r="E62" s="1"/>
      <c r="F62" s="1"/>
      <c r="G62" s="1"/>
      <c r="J62" s="1">
        <v>7</v>
      </c>
      <c r="K62" s="1" t="s">
        <v>122</v>
      </c>
      <c r="L62" s="1"/>
      <c r="M62" s="1"/>
      <c r="N62" s="1"/>
      <c r="O62" s="1"/>
    </row>
    <row r="63" spans="1:15">
      <c r="A63" s="1">
        <v>8</v>
      </c>
      <c r="B63" s="1" t="s">
        <v>123</v>
      </c>
      <c r="C63" s="1"/>
      <c r="D63" s="1"/>
      <c r="E63" s="1"/>
      <c r="F63" s="1"/>
      <c r="G63" s="1"/>
      <c r="J63" s="1">
        <v>8</v>
      </c>
      <c r="K63" s="1" t="s">
        <v>123</v>
      </c>
      <c r="L63" s="1"/>
      <c r="M63" s="1"/>
      <c r="N63" s="1"/>
      <c r="O63" s="1"/>
    </row>
    <row r="64" spans="1:15">
      <c r="A64" s="1">
        <v>9</v>
      </c>
      <c r="B64" s="1" t="s">
        <v>11</v>
      </c>
      <c r="C64" s="1"/>
      <c r="D64" s="1"/>
      <c r="E64" s="1"/>
      <c r="F64" s="1"/>
      <c r="G64" s="1"/>
      <c r="J64" s="1">
        <v>9</v>
      </c>
      <c r="K64" s="1" t="s">
        <v>11</v>
      </c>
      <c r="L64" s="1"/>
      <c r="M64" s="1"/>
      <c r="N64" s="1"/>
      <c r="O64" s="1"/>
    </row>
    <row r="65" spans="1:15">
      <c r="A65" s="1">
        <v>10</v>
      </c>
      <c r="B65" s="1" t="s">
        <v>3</v>
      </c>
      <c r="C65" s="1"/>
      <c r="D65" s="1"/>
      <c r="E65" s="1"/>
      <c r="F65" s="1"/>
      <c r="G65" s="1"/>
      <c r="J65" s="1">
        <v>10</v>
      </c>
      <c r="K65" s="1" t="s">
        <v>3</v>
      </c>
      <c r="L65" s="1"/>
      <c r="M65" s="1"/>
      <c r="N65" s="1"/>
      <c r="O65" s="1"/>
    </row>
    <row r="66" spans="1:15">
      <c r="A66" s="1">
        <v>11</v>
      </c>
      <c r="B66" s="1" t="s">
        <v>124</v>
      </c>
      <c r="C66" s="1"/>
      <c r="D66" s="1"/>
      <c r="E66" s="1"/>
      <c r="F66" s="1"/>
      <c r="G66" s="1"/>
      <c r="J66" s="1">
        <v>11</v>
      </c>
      <c r="K66" s="1" t="s">
        <v>124</v>
      </c>
      <c r="L66" s="1"/>
      <c r="M66" s="1"/>
      <c r="N66" s="1"/>
      <c r="O66" s="1"/>
    </row>
    <row r="67" spans="1:15">
      <c r="A67" s="1">
        <v>12</v>
      </c>
      <c r="B67" s="1" t="s">
        <v>12</v>
      </c>
      <c r="C67" s="1"/>
      <c r="D67" s="1"/>
      <c r="E67" s="1"/>
      <c r="F67" s="1"/>
      <c r="G67" s="1"/>
      <c r="J67" s="1">
        <v>12</v>
      </c>
      <c r="K67" s="1" t="s">
        <v>12</v>
      </c>
      <c r="L67" s="1"/>
      <c r="M67" s="1"/>
      <c r="N67" s="1"/>
      <c r="O67" s="1"/>
    </row>
  </sheetData>
  <mergeCells count="9">
    <mergeCell ref="A54:G54"/>
    <mergeCell ref="J54:O54"/>
    <mergeCell ref="D3:G3"/>
    <mergeCell ref="A4:G4"/>
    <mergeCell ref="J4:O4"/>
    <mergeCell ref="A22:G22"/>
    <mergeCell ref="J22:O22"/>
    <mergeCell ref="A38:G38"/>
    <mergeCell ref="J38:O3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5C22E6-8B4B-4957-B1F1-6F1399AFE0F0}">
          <x14:formula1>
            <xm:f>'المستوى الأول '!$C$3:$C$55</xm:f>
          </x14:formula1>
          <xm:sqref>D3 H3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EE92-4342-48F7-97CF-73207AE2D588}">
  <sheetPr codeName="ورقة6"/>
  <dimension ref="A5:H27"/>
  <sheetViews>
    <sheetView rightToLeft="1" tabSelected="1" view="pageLayout" topLeftCell="A2" zoomScaleNormal="100" workbookViewId="0">
      <selection activeCell="D5" sqref="D5:H5"/>
    </sheetView>
  </sheetViews>
  <sheetFormatPr defaultRowHeight="14.5"/>
  <cols>
    <col min="1" max="1" width="9.453125" customWidth="1"/>
    <col min="2" max="2" width="17.36328125" customWidth="1"/>
    <col min="3" max="3" width="11" customWidth="1"/>
    <col min="4" max="4" width="7.36328125" customWidth="1"/>
    <col min="5" max="5" width="7.1796875" customWidth="1"/>
    <col min="6" max="6" width="7.6328125" customWidth="1"/>
    <col min="7" max="7" width="5.81640625" customWidth="1"/>
    <col min="8" max="8" width="9.26953125" customWidth="1"/>
  </cols>
  <sheetData>
    <row r="5" spans="1:8" ht="25.75" customHeight="1">
      <c r="A5" s="112" t="s">
        <v>181</v>
      </c>
      <c r="B5" s="112"/>
      <c r="C5" s="112"/>
      <c r="D5" s="100">
        <v>2024187</v>
      </c>
      <c r="E5" s="100"/>
      <c r="F5" s="100"/>
      <c r="G5" s="100"/>
      <c r="H5" s="100"/>
    </row>
    <row r="6" spans="1:8" ht="25.75" customHeight="1">
      <c r="A6" s="112" t="s">
        <v>182</v>
      </c>
      <c r="B6" s="112"/>
      <c r="C6" s="112"/>
      <c r="D6" s="101" t="str">
        <f>_xlfn.XLOOKUP($D$5,'المستوى الثالث '!A2:A41,'المستوى الثالث '!B2:B41)</f>
        <v>أبوبكر شيخ كاناجي</v>
      </c>
      <c r="E6" s="101"/>
      <c r="F6" s="101"/>
      <c r="G6" s="101"/>
      <c r="H6" s="101"/>
    </row>
    <row r="7" spans="1:8" ht="25.75" customHeight="1">
      <c r="A7" s="112" t="s">
        <v>183</v>
      </c>
      <c r="B7" s="112"/>
      <c r="C7" s="112"/>
      <c r="D7" s="102" t="s">
        <v>172</v>
      </c>
      <c r="E7" s="102"/>
      <c r="F7" s="102"/>
      <c r="G7" s="102"/>
      <c r="H7" s="102"/>
    </row>
    <row r="8" spans="1:8" ht="25.75" customHeight="1">
      <c r="A8" s="112" t="s">
        <v>184</v>
      </c>
      <c r="B8" s="112"/>
      <c r="C8" s="112"/>
      <c r="D8" s="106" t="s">
        <v>189</v>
      </c>
      <c r="E8" s="106"/>
      <c r="F8" s="106"/>
      <c r="G8" s="106"/>
      <c r="H8" s="106"/>
    </row>
    <row r="9" spans="1:8" ht="30.65" customHeight="1">
      <c r="A9" s="110" t="s">
        <v>125</v>
      </c>
      <c r="B9" s="107" t="s">
        <v>174</v>
      </c>
      <c r="C9" s="107"/>
      <c r="D9" s="107"/>
      <c r="E9" s="107"/>
      <c r="F9" s="107"/>
      <c r="G9" s="107"/>
      <c r="H9" s="108"/>
    </row>
    <row r="10" spans="1:8" ht="25">
      <c r="A10" s="111"/>
      <c r="B10" s="109" t="s">
        <v>173</v>
      </c>
      <c r="C10" s="109"/>
      <c r="D10" s="109"/>
      <c r="E10" s="103" t="s">
        <v>178</v>
      </c>
      <c r="F10" s="104" t="s">
        <v>75</v>
      </c>
      <c r="G10" s="104"/>
      <c r="H10" s="105" t="s">
        <v>70</v>
      </c>
    </row>
    <row r="11" spans="1:8" ht="26.4" customHeight="1">
      <c r="A11" s="111"/>
      <c r="B11" s="67" t="s">
        <v>175</v>
      </c>
      <c r="C11" s="61" t="s">
        <v>176</v>
      </c>
      <c r="D11" s="61" t="s">
        <v>177</v>
      </c>
      <c r="E11" s="103"/>
      <c r="F11" s="62" t="s">
        <v>179</v>
      </c>
      <c r="G11" s="63" t="s">
        <v>180</v>
      </c>
      <c r="H11" s="105"/>
    </row>
    <row r="12" spans="1:8" ht="27" customHeight="1">
      <c r="A12" s="64" t="str">
        <f>_xlfn.UNICHAR(ROW()-11+9311)</f>
        <v>①</v>
      </c>
      <c r="B12" s="68" t="s">
        <v>2</v>
      </c>
      <c r="C12" s="80" t="s">
        <v>190</v>
      </c>
      <c r="D12" s="70">
        <f>_xlfn.XLOOKUP($D$5,'المستوى الثالث '!A2:A41,'المستوى الثالث '!C2:C41)</f>
        <v>1</v>
      </c>
      <c r="E12" s="75" cm="1">
        <f t="array" ref="E12:H12">_xlfn.XLOOKUP($D$5,'المستوى الثالث '!A2:A41,'المستوى الثالث '!D2:G41)</f>
        <v>86</v>
      </c>
      <c r="F12" s="71">
        <v>4.5</v>
      </c>
      <c r="G12" s="72" t="str">
        <v>ب+</v>
      </c>
      <c r="H12" s="77">
        <v>4.5</v>
      </c>
    </row>
    <row r="13" spans="1:8" ht="27" customHeight="1">
      <c r="A13" s="64" t="str">
        <f t="shared" ref="A13:A21" si="0">_xlfn.UNICHAR(ROW()-11+9311)</f>
        <v>②</v>
      </c>
      <c r="B13" s="68" t="s">
        <v>106</v>
      </c>
      <c r="C13" s="80" t="s">
        <v>191</v>
      </c>
      <c r="D13" s="73">
        <f>_xlfn.XLOOKUP($D$5,'المستوى الثالث '!A2:A41,'المستوى الثالث '!H2:H41)</f>
        <v>3</v>
      </c>
      <c r="E13" s="75" cm="1">
        <f t="array" ref="E13:H13">_xlfn.XLOOKUP($D$5,'المستوى الثالث '!A2:A41,'المستوى الثالث '!I2:L41)</f>
        <v>97</v>
      </c>
      <c r="F13" s="71">
        <v>5</v>
      </c>
      <c r="G13" s="72" t="str">
        <v xml:space="preserve">أ+ </v>
      </c>
      <c r="H13" s="77">
        <v>15</v>
      </c>
    </row>
    <row r="14" spans="1:8" ht="27" customHeight="1">
      <c r="A14" s="64" t="str">
        <f t="shared" si="0"/>
        <v>③</v>
      </c>
      <c r="B14" s="68" t="s">
        <v>107</v>
      </c>
      <c r="C14" s="80" t="s">
        <v>192</v>
      </c>
      <c r="D14" s="70">
        <f>_xlfn.XLOOKUP($D$5,'المستوى الثالث '!A2:A41,'المستوى الثالث '!M2:M41)</f>
        <v>3</v>
      </c>
      <c r="E14" s="75" cm="1">
        <f t="array" ref="E14:H14">_xlfn.XLOOKUP($D$5,'المستوى الثالث '!A2:A41,'المستوى الثالث '!N2:Q41)</f>
        <v>65</v>
      </c>
      <c r="F14" s="71">
        <v>2.5</v>
      </c>
      <c r="G14" s="74" t="str">
        <v>د+</v>
      </c>
      <c r="H14" s="77">
        <v>7.5</v>
      </c>
    </row>
    <row r="15" spans="1:8" ht="27" customHeight="1">
      <c r="A15" s="64" t="str">
        <f t="shared" si="0"/>
        <v>④</v>
      </c>
      <c r="B15" s="68" t="s">
        <v>108</v>
      </c>
      <c r="C15" s="69" t="s">
        <v>193</v>
      </c>
      <c r="D15" s="70">
        <f>_xlfn.XLOOKUP($D$5,'المستوى الثالث '!A2:A41,'المستوى الثالث '!R2:R41)</f>
        <v>3</v>
      </c>
      <c r="E15" s="75" cm="1">
        <f t="array" ref="E15:H15">_xlfn.XLOOKUP($D$5,'المستوى الثالث '!A2:A41,'المستوى الثالث '!S2:V41)</f>
        <v>56</v>
      </c>
      <c r="F15" s="71">
        <v>2</v>
      </c>
      <c r="G15" s="72" t="str">
        <v>د</v>
      </c>
      <c r="H15" s="77">
        <v>6</v>
      </c>
    </row>
    <row r="16" spans="1:8" ht="27" customHeight="1">
      <c r="A16" s="64" t="str">
        <f t="shared" si="0"/>
        <v>⑤</v>
      </c>
      <c r="B16" s="68" t="s">
        <v>109</v>
      </c>
      <c r="C16" s="69" t="s">
        <v>194</v>
      </c>
      <c r="D16" s="70">
        <f>_xlfn.XLOOKUP($D$5,'المستوى الثالث '!A2:A41,'المستوى الثالث '!W2:W41)</f>
        <v>2</v>
      </c>
      <c r="E16" s="75" cm="1">
        <f t="array" ref="E16:H16">_xlfn.XLOOKUP($D$5,'المستوى الثالث '!A2:A41,'المستوى الثالث '!X2:AA41)</f>
        <v>77</v>
      </c>
      <c r="F16" s="71">
        <v>3.5</v>
      </c>
      <c r="G16" s="72" t="str">
        <v>ج+</v>
      </c>
      <c r="H16" s="77">
        <v>7</v>
      </c>
    </row>
    <row r="17" spans="1:8" ht="27" customHeight="1">
      <c r="A17" s="64" t="str">
        <f t="shared" si="0"/>
        <v>⑥</v>
      </c>
      <c r="B17" s="68" t="s">
        <v>110</v>
      </c>
      <c r="C17" s="69" t="s">
        <v>191</v>
      </c>
      <c r="D17" s="70">
        <f>_xlfn.XLOOKUP($D$5,'المستوى الثالث '!A2:A41,'المستوى الثالث '!AB2:AB41)</f>
        <v>3</v>
      </c>
      <c r="E17" s="75" cm="1">
        <f t="array" ref="E17:H17">_xlfn.XLOOKUP($D$5,'المستوى الثالث '!A2:A41,'المستوى الثالث '!AC2:AF41)</f>
        <v>95</v>
      </c>
      <c r="F17" s="71">
        <v>5</v>
      </c>
      <c r="G17" s="72" t="str">
        <v xml:space="preserve">أ+ </v>
      </c>
      <c r="H17" s="77">
        <v>15</v>
      </c>
    </row>
    <row r="18" spans="1:8" ht="27" customHeight="1">
      <c r="A18" s="64" t="str">
        <f t="shared" si="0"/>
        <v>⑦</v>
      </c>
      <c r="B18" s="68" t="s">
        <v>196</v>
      </c>
      <c r="C18" s="69" t="s">
        <v>195</v>
      </c>
      <c r="D18" s="70">
        <f>_xlfn.XLOOKUP($D$5,'المستوى الثالث '!A2:A41,'المستوى الثالث '!AG2:AG41)</f>
        <v>2</v>
      </c>
      <c r="E18" s="75" cm="1">
        <f t="array" ref="E18:H18">_xlfn.XLOOKUP($D$5,'المستوى الثالث '!A2:A41,'المستوى الثالث '!AH2:AK41)</f>
        <v>88</v>
      </c>
      <c r="F18" s="71">
        <v>4.5</v>
      </c>
      <c r="G18" s="72" t="str">
        <v>ب+</v>
      </c>
      <c r="H18" s="77">
        <v>9</v>
      </c>
    </row>
    <row r="19" spans="1:8" ht="27" customHeight="1">
      <c r="A19" s="64" t="str">
        <f t="shared" si="0"/>
        <v>⑧</v>
      </c>
      <c r="B19" s="68" t="s">
        <v>82</v>
      </c>
      <c r="C19" s="69" t="s">
        <v>197</v>
      </c>
      <c r="D19" s="70">
        <f>_xlfn.XLOOKUP($D$5,'المستوى الثالث '!A2:A41,'المستوى الثالث '!AL2:AL41)</f>
        <v>2</v>
      </c>
      <c r="E19" s="75" cm="1">
        <f t="array" ref="E19:H19">_xlfn.XLOOKUP($D$5,'المستوى الثالث '!A2:A41,'المستوى الثالث '!AM2:AP41)</f>
        <v>58</v>
      </c>
      <c r="F19" s="71">
        <v>2</v>
      </c>
      <c r="G19" s="72" t="str">
        <v>د</v>
      </c>
      <c r="H19" s="77">
        <v>4</v>
      </c>
    </row>
    <row r="20" spans="1:8" ht="27" customHeight="1">
      <c r="A20" s="64" t="str">
        <f t="shared" si="0"/>
        <v>⑨</v>
      </c>
      <c r="B20" s="68" t="s">
        <v>112</v>
      </c>
      <c r="C20" s="69" t="s">
        <v>198</v>
      </c>
      <c r="D20" s="70">
        <f>_xlfn.XLOOKUP($D$5,'المستوى الثالث '!A2:A41,'المستوى الثالث '!AQ2:AQ41)</f>
        <v>2</v>
      </c>
      <c r="E20" s="75" cm="1">
        <f t="array" ref="E20:H20">_xlfn.XLOOKUP($D$5,'المستوى الثالث '!A2:A41,'المستوى الثالث '!AR2:AU41)</f>
        <v>91</v>
      </c>
      <c r="F20" s="71">
        <v>4.75</v>
      </c>
      <c r="G20" s="72" t="str">
        <v>أ</v>
      </c>
      <c r="H20" s="77">
        <v>9.5</v>
      </c>
    </row>
    <row r="21" spans="1:8" ht="27" customHeight="1">
      <c r="A21" s="64" t="str">
        <f t="shared" si="0"/>
        <v>⑩</v>
      </c>
      <c r="B21" s="68" t="s">
        <v>113</v>
      </c>
      <c r="C21" s="69" t="s">
        <v>197</v>
      </c>
      <c r="D21" s="70">
        <f>_xlfn.XLOOKUP($D$5,'المستوى الثالث '!A2:A41,'المستوى الثالث '!AV2:AV41)</f>
        <v>2</v>
      </c>
      <c r="E21" s="75" cm="1">
        <f t="array" ref="E21:H21">_xlfn.XLOOKUP($D$5,'المستوى الثالث '!A2:A41,'المستوى الثالث '!AW2:AZ41)</f>
        <v>82</v>
      </c>
      <c r="F21" s="71">
        <v>4</v>
      </c>
      <c r="G21" s="72" t="str">
        <v>ب</v>
      </c>
      <c r="H21" s="78">
        <v>8</v>
      </c>
    </row>
    <row r="22" spans="1:8" ht="28.25" customHeight="1">
      <c r="A22" s="117" t="s">
        <v>185</v>
      </c>
      <c r="B22" s="118"/>
      <c r="C22" s="118"/>
      <c r="D22" s="76">
        <f>SUM(D12:D21)</f>
        <v>23</v>
      </c>
      <c r="E22" s="97"/>
      <c r="F22" s="98"/>
      <c r="G22" s="99"/>
      <c r="H22" s="79">
        <f>SUM(H12:H21)</f>
        <v>85.5</v>
      </c>
    </row>
    <row r="23" spans="1:8" ht="25.25" customHeight="1">
      <c r="A23" s="113" t="s">
        <v>186</v>
      </c>
      <c r="B23" s="114"/>
      <c r="C23" s="65"/>
      <c r="D23" s="89">
        <f>_xlfn.XLOOKUP($D$5,'المستوى الثالث '!A2:A41,'المستوى الثالث '!BC2:BC41)</f>
        <v>3.7173913043478262</v>
      </c>
      <c r="E23" s="89"/>
      <c r="F23" s="89"/>
      <c r="G23" s="89"/>
      <c r="H23" s="90"/>
    </row>
    <row r="24" spans="1:8" ht="25.25" customHeight="1">
      <c r="A24" s="113" t="s">
        <v>74</v>
      </c>
      <c r="B24" s="114"/>
      <c r="C24" s="65"/>
      <c r="D24" s="91">
        <f>_xlfn.XLOOKUP($D$5,'المستوى الثالث '!A2:A41,'المستوى الثالث '!BD2:BD41)</f>
        <v>3.6617647058823528</v>
      </c>
      <c r="E24" s="91"/>
      <c r="F24" s="91"/>
      <c r="G24" s="91"/>
      <c r="H24" s="92"/>
    </row>
    <row r="25" spans="1:8" ht="25.25" customHeight="1">
      <c r="A25" s="113" t="s">
        <v>187</v>
      </c>
      <c r="B25" s="114"/>
      <c r="C25" s="65"/>
      <c r="D25" s="93" t="str">
        <f>_xlfn.XLOOKUP($D$5,'المستوى الثالث '!A2:A41,'المستوى الثالث '!BE2:BE41)</f>
        <v xml:space="preserve">جيد جدا </v>
      </c>
      <c r="E25" s="93"/>
      <c r="F25" s="93"/>
      <c r="G25" s="93"/>
      <c r="H25" s="94"/>
    </row>
    <row r="26" spans="1:8" ht="25.25" customHeight="1" thickBot="1">
      <c r="A26" s="115" t="s">
        <v>188</v>
      </c>
      <c r="B26" s="116"/>
      <c r="C26" s="66"/>
      <c r="D26" s="95">
        <f>_xlfn.XLOOKUP($D$5,'المستوى الثالث '!A2:A41,'المستوى الثالث '!BF2:BF41)</f>
        <v>24</v>
      </c>
      <c r="E26" s="95"/>
      <c r="F26" s="95"/>
      <c r="G26" s="95"/>
      <c r="H26" s="96"/>
    </row>
    <row r="27" spans="1:8" ht="3" customHeight="1"/>
  </sheetData>
  <mergeCells count="24">
    <mergeCell ref="A24:B24"/>
    <mergeCell ref="A25:B25"/>
    <mergeCell ref="A26:B26"/>
    <mergeCell ref="A22:C22"/>
    <mergeCell ref="A23:B23"/>
    <mergeCell ref="A9:A11"/>
    <mergeCell ref="A5:C5"/>
    <mergeCell ref="A6:C6"/>
    <mergeCell ref="A7:C7"/>
    <mergeCell ref="A8:C8"/>
    <mergeCell ref="D5:H5"/>
    <mergeCell ref="D6:H6"/>
    <mergeCell ref="D7:H7"/>
    <mergeCell ref="E10:E11"/>
    <mergeCell ref="F10:G10"/>
    <mergeCell ref="H10:H11"/>
    <mergeCell ref="D8:H8"/>
    <mergeCell ref="B9:H9"/>
    <mergeCell ref="B10:D10"/>
    <mergeCell ref="D23:H23"/>
    <mergeCell ref="D24:H24"/>
    <mergeCell ref="D25:H25"/>
    <mergeCell ref="D26:H26"/>
    <mergeCell ref="E22:G22"/>
  </mergeCells>
  <conditionalFormatting sqref="E12:E21">
    <cfRule type="cellIs" dxfId="0" priority="1" operator="lessThan">
      <formula>50</formula>
    </cfRule>
  </conditionalFormatting>
  <pageMargins left="0.7" right="1.0249999999999999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2F071A-72CD-41F1-BAFF-94D837B16DD6}">
          <x14:formula1>
            <xm:f>'المستوى الثالث '!$A$2:$A$41</xm:f>
          </x14:formula1>
          <xm:sqref>D5:H5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المستوى الأول </vt:lpstr>
      <vt:lpstr>المستوى الثاني </vt:lpstr>
      <vt:lpstr>المستوى الثالث </vt:lpstr>
      <vt:lpstr>المرجع</vt:lpstr>
      <vt:lpstr>ورقة1</vt:lpstr>
      <vt:lpstr>كشف الدجات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Abdouramane Jaibo</cp:lastModifiedBy>
  <cp:lastPrinted>2026-04-12T11:46:17Z</cp:lastPrinted>
  <dcterms:created xsi:type="dcterms:W3CDTF">2015-06-05T18:17:20Z</dcterms:created>
  <dcterms:modified xsi:type="dcterms:W3CDTF">2026-07-23T00:59:58Z</dcterms:modified>
</cp:coreProperties>
</file>