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الملفات المهم\التراكمي\"/>
    </mc:Choice>
  </mc:AlternateContent>
  <xr:revisionPtr revIDLastSave="0" documentId="13_ncr:1_{C6512EA2-1A8C-47AD-9D61-B5944D0814A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ورقة1" sheetId="1" r:id="rId1"/>
    <sheet name="المرجع" sheetId="2" r:id="rId2"/>
    <sheet name="ورقة2" sheetId="3" r:id="rId3"/>
  </sheets>
  <externalReferences>
    <externalReference r:id="rId4"/>
  </externalReferences>
  <definedNames>
    <definedName name="_xlnm._FilterDatabase" localSheetId="0" hidden="1">ورقة1!$A$2:$BO$48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5" i="1" l="1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D6" i="3"/>
  <c r="A20" i="3"/>
  <c r="A21" i="3"/>
  <c r="A22" i="3"/>
  <c r="A23" i="3"/>
  <c r="A19" i="3"/>
  <c r="A18" i="3"/>
  <c r="A17" i="3"/>
  <c r="A16" i="3"/>
  <c r="A15" i="3"/>
  <c r="A14" i="3"/>
  <c r="A13" i="3"/>
  <c r="A12" i="3"/>
  <c r="O26" i="1"/>
  <c r="Q26" i="1" s="1"/>
  <c r="O20" i="1"/>
  <c r="Q20" i="1" s="1"/>
  <c r="O16" i="1"/>
  <c r="Q16" i="1" s="1"/>
  <c r="O12" i="1"/>
  <c r="Q12" i="1" s="1"/>
  <c r="O8" i="1"/>
  <c r="Q8" i="1" s="1"/>
  <c r="O4" i="1"/>
  <c r="Q4" i="1" s="1"/>
  <c r="J45" i="1"/>
  <c r="L45" i="1" s="1"/>
  <c r="J40" i="1"/>
  <c r="K40" i="1" s="1"/>
  <c r="J36" i="1"/>
  <c r="L36" i="1" s="1"/>
  <c r="J28" i="1"/>
  <c r="L28" i="1" s="1"/>
  <c r="J24" i="1"/>
  <c r="L24" i="1" s="1"/>
  <c r="J29" i="1"/>
  <c r="K29" i="1" s="1"/>
  <c r="J26" i="1"/>
  <c r="L26" i="1" s="1"/>
  <c r="J22" i="1"/>
  <c r="L22" i="1" s="1"/>
  <c r="J20" i="1"/>
  <c r="L20" i="1" s="1"/>
  <c r="J18" i="1"/>
  <c r="L18" i="1" s="1"/>
  <c r="J16" i="1"/>
  <c r="L16" i="1" s="1"/>
  <c r="J14" i="1"/>
  <c r="L14" i="1" s="1"/>
  <c r="J12" i="1"/>
  <c r="L12" i="1" s="1"/>
  <c r="J11" i="1"/>
  <c r="K11" i="1" s="1"/>
  <c r="J8" i="1"/>
  <c r="L8" i="1" s="1"/>
  <c r="J5" i="1"/>
  <c r="L5" i="1" s="1"/>
  <c r="J4" i="1"/>
  <c r="L4" i="1" s="1"/>
  <c r="T45" i="1"/>
  <c r="U45" i="1" s="1"/>
  <c r="T41" i="1"/>
  <c r="V41" i="1" s="1"/>
  <c r="T39" i="1"/>
  <c r="V39" i="1" s="1"/>
  <c r="T35" i="1"/>
  <c r="V35" i="1" s="1"/>
  <c r="T32" i="1"/>
  <c r="V32" i="1" s="1"/>
  <c r="T31" i="1"/>
  <c r="V31" i="1" s="1"/>
  <c r="T34" i="1"/>
  <c r="V34" i="1" s="1"/>
  <c r="T25" i="1"/>
  <c r="V25" i="1" s="1"/>
  <c r="T30" i="1"/>
  <c r="V30" i="1" s="1"/>
  <c r="T26" i="1"/>
  <c r="V26" i="1" s="1"/>
  <c r="T23" i="1"/>
  <c r="V23" i="1" s="1"/>
  <c r="T20" i="1"/>
  <c r="V20" i="1" s="1"/>
  <c r="T19" i="1"/>
  <c r="V19" i="1" s="1"/>
  <c r="T16" i="1"/>
  <c r="V16" i="1" s="1"/>
  <c r="T15" i="1"/>
  <c r="V15" i="1" s="1"/>
  <c r="T12" i="1"/>
  <c r="V12" i="1" s="1"/>
  <c r="T13" i="1"/>
  <c r="V13" i="1" s="1"/>
  <c r="T8" i="1"/>
  <c r="V8" i="1" s="1"/>
  <c r="T7" i="1"/>
  <c r="V7" i="1" s="1"/>
  <c r="T4" i="1"/>
  <c r="V4" i="1" s="1"/>
  <c r="T6" i="1"/>
  <c r="V6" i="1" s="1"/>
  <c r="BL4" i="1"/>
  <c r="BL5" i="1"/>
  <c r="BL3" i="1"/>
  <c r="BL7" i="1"/>
  <c r="BL8" i="1"/>
  <c r="BL11" i="1"/>
  <c r="BL9" i="1"/>
  <c r="BL13" i="1"/>
  <c r="BL12" i="1"/>
  <c r="BL14" i="1"/>
  <c r="BL10" i="1"/>
  <c r="BL15" i="1"/>
  <c r="BL16" i="1"/>
  <c r="BL18" i="1"/>
  <c r="BL17" i="1"/>
  <c r="BL19" i="1"/>
  <c r="BL20" i="1"/>
  <c r="BL22" i="1"/>
  <c r="BL27" i="1"/>
  <c r="BL23" i="1"/>
  <c r="BL26" i="1"/>
  <c r="BL29" i="1"/>
  <c r="BL21" i="1"/>
  <c r="BL30" i="1"/>
  <c r="BL25" i="1"/>
  <c r="BL24" i="1"/>
  <c r="BL33" i="1"/>
  <c r="BL34" i="1"/>
  <c r="BL31" i="1"/>
  <c r="BL28" i="1"/>
  <c r="BL38" i="1"/>
  <c r="BL32" i="1"/>
  <c r="BL35" i="1"/>
  <c r="BL36" i="1"/>
  <c r="BL37" i="1"/>
  <c r="BL39" i="1"/>
  <c r="BL41" i="1"/>
  <c r="BL40" i="1"/>
  <c r="BL42" i="1"/>
  <c r="BL43" i="1"/>
  <c r="BL44" i="1"/>
  <c r="BL45" i="1"/>
  <c r="BL47" i="1"/>
  <c r="BL46" i="1"/>
  <c r="BL48" i="1"/>
  <c r="BL6" i="1"/>
  <c r="BH48" i="1"/>
  <c r="BJ48" i="1" s="1"/>
  <c r="BH46" i="1"/>
  <c r="BI46" i="1" s="1"/>
  <c r="BH47" i="1"/>
  <c r="BJ47" i="1" s="1"/>
  <c r="BH45" i="1"/>
  <c r="BJ45" i="1" s="1"/>
  <c r="BH44" i="1"/>
  <c r="BJ44" i="1" s="1"/>
  <c r="BH43" i="1"/>
  <c r="BI43" i="1" s="1"/>
  <c r="BH42" i="1"/>
  <c r="BJ42" i="1" s="1"/>
  <c r="BH40" i="1"/>
  <c r="BJ40" i="1" s="1"/>
  <c r="BH41" i="1"/>
  <c r="BJ41" i="1" s="1"/>
  <c r="BH39" i="1"/>
  <c r="BI39" i="1" s="1"/>
  <c r="BH37" i="1"/>
  <c r="BJ37" i="1" s="1"/>
  <c r="BH36" i="1"/>
  <c r="BJ36" i="1" s="1"/>
  <c r="BH35" i="1"/>
  <c r="BJ35" i="1" s="1"/>
  <c r="BH32" i="1"/>
  <c r="BI32" i="1" s="1"/>
  <c r="BH38" i="1"/>
  <c r="BJ38" i="1" s="1"/>
  <c r="BH28" i="1"/>
  <c r="BJ28" i="1" s="1"/>
  <c r="BH31" i="1"/>
  <c r="BJ31" i="1" s="1"/>
  <c r="BH34" i="1"/>
  <c r="BI34" i="1" s="1"/>
  <c r="BH33" i="1"/>
  <c r="BJ33" i="1" s="1"/>
  <c r="BH24" i="1"/>
  <c r="BJ24" i="1" s="1"/>
  <c r="BH25" i="1"/>
  <c r="BJ25" i="1" s="1"/>
  <c r="BH30" i="1"/>
  <c r="BI30" i="1" s="1"/>
  <c r="BH21" i="1"/>
  <c r="BJ21" i="1" s="1"/>
  <c r="BH29" i="1"/>
  <c r="BJ29" i="1" s="1"/>
  <c r="BH26" i="1"/>
  <c r="BJ26" i="1" s="1"/>
  <c r="BH23" i="1"/>
  <c r="BI23" i="1" s="1"/>
  <c r="BH27" i="1"/>
  <c r="BJ27" i="1" s="1"/>
  <c r="BH22" i="1"/>
  <c r="BJ22" i="1" s="1"/>
  <c r="BH20" i="1"/>
  <c r="BJ20" i="1" s="1"/>
  <c r="BH19" i="1"/>
  <c r="BI19" i="1" s="1"/>
  <c r="BH17" i="1"/>
  <c r="BJ17" i="1" s="1"/>
  <c r="BH18" i="1"/>
  <c r="BJ18" i="1" s="1"/>
  <c r="BH16" i="1"/>
  <c r="BJ16" i="1" s="1"/>
  <c r="BH15" i="1"/>
  <c r="BI15" i="1" s="1"/>
  <c r="BH10" i="1"/>
  <c r="BJ10" i="1" s="1"/>
  <c r="BH14" i="1"/>
  <c r="BJ14" i="1" s="1"/>
  <c r="BH12" i="1"/>
  <c r="BJ12" i="1" s="1"/>
  <c r="BH13" i="1"/>
  <c r="BI13" i="1" s="1"/>
  <c r="BH9" i="1"/>
  <c r="BJ9" i="1" s="1"/>
  <c r="BH11" i="1"/>
  <c r="BJ11" i="1" s="1"/>
  <c r="BH8" i="1"/>
  <c r="BJ8" i="1" s="1"/>
  <c r="BH7" i="1"/>
  <c r="BI7" i="1" s="1"/>
  <c r="BH3" i="1"/>
  <c r="BJ3" i="1" s="1"/>
  <c r="BH5" i="1"/>
  <c r="BJ5" i="1" s="1"/>
  <c r="BH4" i="1"/>
  <c r="BJ4" i="1" s="1"/>
  <c r="BH6" i="1"/>
  <c r="BI6" i="1" s="1"/>
  <c r="BC48" i="1"/>
  <c r="BE48" i="1" s="1"/>
  <c r="BC46" i="1"/>
  <c r="BD46" i="1" s="1"/>
  <c r="BC47" i="1"/>
  <c r="BE47" i="1" s="1"/>
  <c r="BC45" i="1"/>
  <c r="BE45" i="1" s="1"/>
  <c r="BC44" i="1"/>
  <c r="BE44" i="1" s="1"/>
  <c r="BC43" i="1"/>
  <c r="BD43" i="1" s="1"/>
  <c r="BC42" i="1"/>
  <c r="BE42" i="1" s="1"/>
  <c r="BC40" i="1"/>
  <c r="BE40" i="1" s="1"/>
  <c r="BC41" i="1"/>
  <c r="BE41" i="1" s="1"/>
  <c r="BC39" i="1"/>
  <c r="BD39" i="1" s="1"/>
  <c r="BC37" i="1"/>
  <c r="BE37" i="1" s="1"/>
  <c r="BC36" i="1"/>
  <c r="BE36" i="1" s="1"/>
  <c r="BC35" i="1"/>
  <c r="BE35" i="1" s="1"/>
  <c r="BC32" i="1"/>
  <c r="BD32" i="1" s="1"/>
  <c r="BC38" i="1"/>
  <c r="BE38" i="1" s="1"/>
  <c r="BC28" i="1"/>
  <c r="BE28" i="1" s="1"/>
  <c r="BC31" i="1"/>
  <c r="BE31" i="1" s="1"/>
  <c r="BC34" i="1"/>
  <c r="BD34" i="1" s="1"/>
  <c r="BC33" i="1"/>
  <c r="BE33" i="1" s="1"/>
  <c r="BC24" i="1"/>
  <c r="BE24" i="1" s="1"/>
  <c r="BC25" i="1"/>
  <c r="BE25" i="1" s="1"/>
  <c r="BC30" i="1"/>
  <c r="BD30" i="1" s="1"/>
  <c r="BC21" i="1"/>
  <c r="BE21" i="1" s="1"/>
  <c r="BC29" i="1"/>
  <c r="BE29" i="1" s="1"/>
  <c r="BC26" i="1"/>
  <c r="BE26" i="1" s="1"/>
  <c r="BC23" i="1"/>
  <c r="BD23" i="1" s="1"/>
  <c r="BC27" i="1"/>
  <c r="BE27" i="1" s="1"/>
  <c r="BC22" i="1"/>
  <c r="BE22" i="1" s="1"/>
  <c r="BC20" i="1"/>
  <c r="BE20" i="1" s="1"/>
  <c r="BC19" i="1"/>
  <c r="BD19" i="1" s="1"/>
  <c r="BC17" i="1"/>
  <c r="BE17" i="1" s="1"/>
  <c r="BC18" i="1"/>
  <c r="BE18" i="1" s="1"/>
  <c r="BC16" i="1"/>
  <c r="BE16" i="1" s="1"/>
  <c r="BC15" i="1"/>
  <c r="BD15" i="1" s="1"/>
  <c r="BC10" i="1"/>
  <c r="BE10" i="1" s="1"/>
  <c r="BC14" i="1"/>
  <c r="BE14" i="1" s="1"/>
  <c r="BC12" i="1"/>
  <c r="BE12" i="1" s="1"/>
  <c r="BC13" i="1"/>
  <c r="BD13" i="1" s="1"/>
  <c r="BC9" i="1"/>
  <c r="BE9" i="1" s="1"/>
  <c r="BC11" i="1"/>
  <c r="BE11" i="1" s="1"/>
  <c r="BC8" i="1"/>
  <c r="BE8" i="1" s="1"/>
  <c r="BC7" i="1"/>
  <c r="BD7" i="1" s="1"/>
  <c r="BC3" i="1"/>
  <c r="BE3" i="1" s="1"/>
  <c r="BC5" i="1"/>
  <c r="BE5" i="1" s="1"/>
  <c r="BC4" i="1"/>
  <c r="BE4" i="1" s="1"/>
  <c r="BC6" i="1"/>
  <c r="BD6" i="1" s="1"/>
  <c r="AX48" i="1"/>
  <c r="AZ48" i="1" s="1"/>
  <c r="AX46" i="1"/>
  <c r="AY46" i="1" s="1"/>
  <c r="AX47" i="1"/>
  <c r="AY47" i="1" s="1"/>
  <c r="AX45" i="1"/>
  <c r="AZ45" i="1" s="1"/>
  <c r="AX44" i="1"/>
  <c r="AZ44" i="1" s="1"/>
  <c r="AX43" i="1"/>
  <c r="AY43" i="1" s="1"/>
  <c r="AX42" i="1"/>
  <c r="AY42" i="1" s="1"/>
  <c r="AX40" i="1"/>
  <c r="AZ40" i="1" s="1"/>
  <c r="AX41" i="1"/>
  <c r="AZ41" i="1" s="1"/>
  <c r="AX39" i="1"/>
  <c r="AY39" i="1" s="1"/>
  <c r="AX37" i="1"/>
  <c r="AZ37" i="1" s="1"/>
  <c r="AX36" i="1"/>
  <c r="AZ36" i="1" s="1"/>
  <c r="AX35" i="1"/>
  <c r="AZ35" i="1" s="1"/>
  <c r="AX32" i="1"/>
  <c r="AY32" i="1" s="1"/>
  <c r="AX38" i="1"/>
  <c r="AZ38" i="1" s="1"/>
  <c r="AX28" i="1"/>
  <c r="AZ28" i="1" s="1"/>
  <c r="AX31" i="1"/>
  <c r="AZ31" i="1" s="1"/>
  <c r="AX34" i="1"/>
  <c r="AY34" i="1" s="1"/>
  <c r="AX33" i="1"/>
  <c r="AY33" i="1" s="1"/>
  <c r="AX24" i="1"/>
  <c r="AZ24" i="1" s="1"/>
  <c r="AX25" i="1"/>
  <c r="AZ25" i="1" s="1"/>
  <c r="AX30" i="1"/>
  <c r="AY30" i="1" s="1"/>
  <c r="AX21" i="1"/>
  <c r="AZ21" i="1" s="1"/>
  <c r="AX29" i="1"/>
  <c r="AZ29" i="1" s="1"/>
  <c r="AX26" i="1"/>
  <c r="AZ26" i="1" s="1"/>
  <c r="AX23" i="1"/>
  <c r="AY23" i="1" s="1"/>
  <c r="AX27" i="1"/>
  <c r="AZ27" i="1" s="1"/>
  <c r="AX22" i="1"/>
  <c r="AZ22" i="1" s="1"/>
  <c r="AX20" i="1"/>
  <c r="AZ20" i="1" s="1"/>
  <c r="AX19" i="1"/>
  <c r="AY19" i="1" s="1"/>
  <c r="AX17" i="1"/>
  <c r="AZ17" i="1" s="1"/>
  <c r="AX18" i="1"/>
  <c r="AZ18" i="1" s="1"/>
  <c r="AX16" i="1"/>
  <c r="AZ16" i="1" s="1"/>
  <c r="AX15" i="1"/>
  <c r="AY15" i="1" s="1"/>
  <c r="AX10" i="1"/>
  <c r="AZ10" i="1" s="1"/>
  <c r="AX14" i="1"/>
  <c r="AZ14" i="1" s="1"/>
  <c r="AX12" i="1"/>
  <c r="AZ12" i="1" s="1"/>
  <c r="AX13" i="1"/>
  <c r="AZ13" i="1" s="1"/>
  <c r="AX9" i="1"/>
  <c r="AZ9" i="1" s="1"/>
  <c r="AX11" i="1"/>
  <c r="AZ11" i="1" s="1"/>
  <c r="AX8" i="1"/>
  <c r="AY8" i="1" s="1"/>
  <c r="AX7" i="1"/>
  <c r="AZ7" i="1" s="1"/>
  <c r="AX3" i="1"/>
  <c r="AZ3" i="1" s="1"/>
  <c r="AX5" i="1"/>
  <c r="AZ5" i="1" s="1"/>
  <c r="AX4" i="1"/>
  <c r="AY4" i="1" s="1"/>
  <c r="AX6" i="1"/>
  <c r="AZ6" i="1" s="1"/>
  <c r="AS48" i="1"/>
  <c r="AU48" i="1" s="1"/>
  <c r="AS46" i="1"/>
  <c r="AT46" i="1" s="1"/>
  <c r="AS47" i="1"/>
  <c r="AT47" i="1" s="1"/>
  <c r="AS45" i="1"/>
  <c r="AU45" i="1" s="1"/>
  <c r="AS44" i="1"/>
  <c r="AU44" i="1" s="1"/>
  <c r="AS43" i="1"/>
  <c r="AT43" i="1" s="1"/>
  <c r="AS42" i="1"/>
  <c r="AU42" i="1" s="1"/>
  <c r="AS40" i="1"/>
  <c r="AU40" i="1" s="1"/>
  <c r="AS41" i="1"/>
  <c r="AU41" i="1" s="1"/>
  <c r="AS39" i="1"/>
  <c r="AT39" i="1" s="1"/>
  <c r="AS37" i="1"/>
  <c r="AU37" i="1" s="1"/>
  <c r="AS36" i="1"/>
  <c r="AU36" i="1" s="1"/>
  <c r="AS35" i="1"/>
  <c r="AU35" i="1" s="1"/>
  <c r="AS32" i="1"/>
  <c r="AT32" i="1" s="1"/>
  <c r="AS38" i="1"/>
  <c r="AU38" i="1" s="1"/>
  <c r="AS28" i="1"/>
  <c r="AU28" i="1" s="1"/>
  <c r="AS31" i="1"/>
  <c r="AU31" i="1" s="1"/>
  <c r="AS34" i="1"/>
  <c r="AT34" i="1" s="1"/>
  <c r="AS33" i="1"/>
  <c r="AT33" i="1" s="1"/>
  <c r="AS24" i="1"/>
  <c r="AU24" i="1" s="1"/>
  <c r="AS25" i="1"/>
  <c r="AU25" i="1" s="1"/>
  <c r="AS30" i="1"/>
  <c r="AT30" i="1" s="1"/>
  <c r="AS21" i="1"/>
  <c r="AU21" i="1" s="1"/>
  <c r="AS29" i="1"/>
  <c r="AU29" i="1" s="1"/>
  <c r="AS26" i="1"/>
  <c r="AU26" i="1" s="1"/>
  <c r="AS23" i="1"/>
  <c r="AT23" i="1" s="1"/>
  <c r="AS27" i="1"/>
  <c r="AU27" i="1" s="1"/>
  <c r="AS22" i="1"/>
  <c r="AU22" i="1" s="1"/>
  <c r="AS20" i="1"/>
  <c r="AU20" i="1" s="1"/>
  <c r="AS19" i="1"/>
  <c r="AT19" i="1" s="1"/>
  <c r="AS17" i="1"/>
  <c r="AU17" i="1" s="1"/>
  <c r="AS18" i="1"/>
  <c r="AU18" i="1" s="1"/>
  <c r="AS16" i="1"/>
  <c r="AU16" i="1" s="1"/>
  <c r="AS15" i="1"/>
  <c r="AT15" i="1" s="1"/>
  <c r="AS10" i="1"/>
  <c r="AT10" i="1" s="1"/>
  <c r="AS14" i="1"/>
  <c r="AU14" i="1" s="1"/>
  <c r="AS12" i="1"/>
  <c r="AU12" i="1" s="1"/>
  <c r="AS13" i="1"/>
  <c r="AT13" i="1" s="1"/>
  <c r="AS9" i="1"/>
  <c r="AU9" i="1" s="1"/>
  <c r="AS11" i="1"/>
  <c r="AU11" i="1" s="1"/>
  <c r="AS8" i="1"/>
  <c r="AU8" i="1" s="1"/>
  <c r="AS7" i="1"/>
  <c r="AT7" i="1" s="1"/>
  <c r="AS3" i="1"/>
  <c r="AU3" i="1" s="1"/>
  <c r="AS5" i="1"/>
  <c r="AU5" i="1" s="1"/>
  <c r="AS4" i="1"/>
  <c r="AU4" i="1" s="1"/>
  <c r="AS6" i="1"/>
  <c r="AT6" i="1" s="1"/>
  <c r="AN48" i="1"/>
  <c r="AP48" i="1" s="1"/>
  <c r="AN46" i="1"/>
  <c r="AO46" i="1" s="1"/>
  <c r="AN47" i="1"/>
  <c r="AP47" i="1" s="1"/>
  <c r="AN45" i="1"/>
  <c r="AP45" i="1" s="1"/>
  <c r="AN44" i="1"/>
  <c r="AP44" i="1" s="1"/>
  <c r="AN43" i="1"/>
  <c r="AO43" i="1" s="1"/>
  <c r="AN42" i="1"/>
  <c r="AP42" i="1" s="1"/>
  <c r="AN40" i="1"/>
  <c r="AP40" i="1" s="1"/>
  <c r="AN41" i="1"/>
  <c r="AP41" i="1" s="1"/>
  <c r="AN39" i="1"/>
  <c r="AO39" i="1" s="1"/>
  <c r="AN37" i="1"/>
  <c r="AP37" i="1" s="1"/>
  <c r="AN36" i="1"/>
  <c r="AP36" i="1" s="1"/>
  <c r="AN35" i="1"/>
  <c r="AP35" i="1" s="1"/>
  <c r="AN32" i="1"/>
  <c r="AO32" i="1" s="1"/>
  <c r="AN38" i="1"/>
  <c r="AP38" i="1" s="1"/>
  <c r="AN28" i="1"/>
  <c r="AP28" i="1" s="1"/>
  <c r="AN31" i="1"/>
  <c r="AP31" i="1" s="1"/>
  <c r="AN34" i="1"/>
  <c r="AO34" i="1" s="1"/>
  <c r="AN33" i="1"/>
  <c r="AP33" i="1" s="1"/>
  <c r="AN24" i="1"/>
  <c r="AP24" i="1" s="1"/>
  <c r="AN25" i="1"/>
  <c r="AP25" i="1" s="1"/>
  <c r="AN30" i="1"/>
  <c r="AO30" i="1" s="1"/>
  <c r="AN21" i="1"/>
  <c r="AO21" i="1" s="1"/>
  <c r="AN29" i="1"/>
  <c r="AP29" i="1" s="1"/>
  <c r="AN26" i="1"/>
  <c r="AP26" i="1" s="1"/>
  <c r="AN23" i="1"/>
  <c r="AO23" i="1" s="1"/>
  <c r="AN27" i="1"/>
  <c r="AP27" i="1" s="1"/>
  <c r="AN22" i="1"/>
  <c r="AP22" i="1" s="1"/>
  <c r="AN20" i="1"/>
  <c r="AP20" i="1" s="1"/>
  <c r="AN19" i="1"/>
  <c r="AO19" i="1" s="1"/>
  <c r="AN17" i="1"/>
  <c r="AP17" i="1" s="1"/>
  <c r="AN18" i="1"/>
  <c r="AP18" i="1" s="1"/>
  <c r="AN16" i="1"/>
  <c r="AP16" i="1" s="1"/>
  <c r="AN15" i="1"/>
  <c r="AO15" i="1" s="1"/>
  <c r="AN10" i="1"/>
  <c r="AP10" i="1" s="1"/>
  <c r="AN14" i="1"/>
  <c r="AP14" i="1" s="1"/>
  <c r="AN12" i="1"/>
  <c r="AP12" i="1" s="1"/>
  <c r="AN13" i="1"/>
  <c r="AO13" i="1" s="1"/>
  <c r="AN9" i="1"/>
  <c r="AP9" i="1" s="1"/>
  <c r="AN11" i="1"/>
  <c r="AP11" i="1" s="1"/>
  <c r="AN8" i="1"/>
  <c r="AP8" i="1" s="1"/>
  <c r="AN7" i="1"/>
  <c r="AO7" i="1" s="1"/>
  <c r="AN3" i="1"/>
  <c r="AP3" i="1" s="1"/>
  <c r="AN5" i="1"/>
  <c r="AP5" i="1" s="1"/>
  <c r="AN4" i="1"/>
  <c r="AP4" i="1" s="1"/>
  <c r="AN6" i="1"/>
  <c r="AO6" i="1" s="1"/>
  <c r="AI48" i="1"/>
  <c r="AK48" i="1" s="1"/>
  <c r="AI46" i="1"/>
  <c r="AJ46" i="1" s="1"/>
  <c r="AI47" i="1"/>
  <c r="AK47" i="1" s="1"/>
  <c r="AI45" i="1"/>
  <c r="AK45" i="1" s="1"/>
  <c r="AI44" i="1"/>
  <c r="AK44" i="1" s="1"/>
  <c r="AI43" i="1"/>
  <c r="AJ43" i="1" s="1"/>
  <c r="AI42" i="1"/>
  <c r="AK42" i="1" s="1"/>
  <c r="AI40" i="1"/>
  <c r="AK40" i="1" s="1"/>
  <c r="AI41" i="1"/>
  <c r="AK41" i="1" s="1"/>
  <c r="AI39" i="1"/>
  <c r="AJ39" i="1" s="1"/>
  <c r="AI37" i="1"/>
  <c r="AK37" i="1" s="1"/>
  <c r="AI36" i="1"/>
  <c r="AJ36" i="1" s="1"/>
  <c r="AI35" i="1"/>
  <c r="AK35" i="1" s="1"/>
  <c r="AI32" i="1"/>
  <c r="AJ32" i="1" s="1"/>
  <c r="AI38" i="1"/>
  <c r="AK38" i="1" s="1"/>
  <c r="AI28" i="1"/>
  <c r="AK28" i="1" s="1"/>
  <c r="AI31" i="1"/>
  <c r="AK31" i="1" s="1"/>
  <c r="AI34" i="1"/>
  <c r="AJ34" i="1" s="1"/>
  <c r="AI33" i="1"/>
  <c r="AJ33" i="1" s="1"/>
  <c r="AI24" i="1"/>
  <c r="AK24" i="1" s="1"/>
  <c r="AI25" i="1"/>
  <c r="AK25" i="1" s="1"/>
  <c r="AI30" i="1"/>
  <c r="AJ30" i="1" s="1"/>
  <c r="AI21" i="1"/>
  <c r="AK21" i="1" s="1"/>
  <c r="AI29" i="1"/>
  <c r="AJ29" i="1" s="1"/>
  <c r="AI26" i="1"/>
  <c r="AK26" i="1" s="1"/>
  <c r="AI23" i="1"/>
  <c r="AJ23" i="1" s="1"/>
  <c r="AI27" i="1"/>
  <c r="AK27" i="1" s="1"/>
  <c r="AI22" i="1"/>
  <c r="AK22" i="1" s="1"/>
  <c r="AI20" i="1"/>
  <c r="AK20" i="1" s="1"/>
  <c r="AI19" i="1"/>
  <c r="AJ19" i="1" s="1"/>
  <c r="AI17" i="1"/>
  <c r="AK17" i="1" s="1"/>
  <c r="AI18" i="1"/>
  <c r="AJ18" i="1" s="1"/>
  <c r="AI16" i="1"/>
  <c r="AK16" i="1" s="1"/>
  <c r="AI15" i="1"/>
  <c r="AJ15" i="1" s="1"/>
  <c r="AI10" i="1"/>
  <c r="AJ10" i="1" s="1"/>
  <c r="AI14" i="1"/>
  <c r="AK14" i="1" s="1"/>
  <c r="AI12" i="1"/>
  <c r="AK12" i="1" s="1"/>
  <c r="AI13" i="1"/>
  <c r="AJ13" i="1" s="1"/>
  <c r="AI9" i="1"/>
  <c r="AK9" i="1" s="1"/>
  <c r="AI11" i="1"/>
  <c r="AJ11" i="1" s="1"/>
  <c r="AI8" i="1"/>
  <c r="AK8" i="1" s="1"/>
  <c r="AI7" i="1"/>
  <c r="AJ7" i="1" s="1"/>
  <c r="AI3" i="1"/>
  <c r="AK3" i="1" s="1"/>
  <c r="AI5" i="1"/>
  <c r="AK5" i="1" s="1"/>
  <c r="AI4" i="1"/>
  <c r="AK4" i="1" s="1"/>
  <c r="AI6" i="1"/>
  <c r="AJ6" i="1" s="1"/>
  <c r="AD48" i="1"/>
  <c r="AF48" i="1" s="1"/>
  <c r="AD46" i="1"/>
  <c r="AE46" i="1" s="1"/>
  <c r="AD47" i="1"/>
  <c r="AF47" i="1" s="1"/>
  <c r="AD45" i="1"/>
  <c r="AF45" i="1" s="1"/>
  <c r="AD44" i="1"/>
  <c r="AF44" i="1" s="1"/>
  <c r="AD43" i="1"/>
  <c r="AE43" i="1" s="1"/>
  <c r="AD42" i="1"/>
  <c r="AF42" i="1" s="1"/>
  <c r="AD40" i="1"/>
  <c r="AF40" i="1" s="1"/>
  <c r="AD41" i="1"/>
  <c r="AF41" i="1" s="1"/>
  <c r="AD39" i="1"/>
  <c r="AE39" i="1" s="1"/>
  <c r="AD37" i="1"/>
  <c r="AF37" i="1" s="1"/>
  <c r="AD36" i="1"/>
  <c r="AF36" i="1" s="1"/>
  <c r="AD35" i="1"/>
  <c r="AF35" i="1" s="1"/>
  <c r="AD32" i="1"/>
  <c r="AE32" i="1" s="1"/>
  <c r="AD38" i="1"/>
  <c r="AF38" i="1" s="1"/>
  <c r="AD28" i="1"/>
  <c r="AF28" i="1" s="1"/>
  <c r="AD31" i="1"/>
  <c r="AF31" i="1" s="1"/>
  <c r="AD34" i="1"/>
  <c r="AE34" i="1" s="1"/>
  <c r="AD33" i="1"/>
  <c r="AF33" i="1" s="1"/>
  <c r="AD24" i="1"/>
  <c r="AF24" i="1" s="1"/>
  <c r="AD25" i="1"/>
  <c r="AF25" i="1" s="1"/>
  <c r="AD30" i="1"/>
  <c r="AE30" i="1" s="1"/>
  <c r="AD21" i="1"/>
  <c r="AF21" i="1" s="1"/>
  <c r="AD29" i="1"/>
  <c r="AF29" i="1" s="1"/>
  <c r="AD26" i="1"/>
  <c r="AF26" i="1" s="1"/>
  <c r="AD23" i="1"/>
  <c r="AE23" i="1" s="1"/>
  <c r="AD27" i="1"/>
  <c r="AF27" i="1" s="1"/>
  <c r="AD22" i="1"/>
  <c r="AF22" i="1" s="1"/>
  <c r="AD20" i="1"/>
  <c r="AF20" i="1" s="1"/>
  <c r="AD19" i="1"/>
  <c r="AE19" i="1" s="1"/>
  <c r="AD17" i="1"/>
  <c r="AF17" i="1" s="1"/>
  <c r="AD18" i="1"/>
  <c r="AF18" i="1" s="1"/>
  <c r="AD16" i="1"/>
  <c r="AF16" i="1" s="1"/>
  <c r="AD15" i="1"/>
  <c r="AE15" i="1" s="1"/>
  <c r="AD10" i="1"/>
  <c r="AF10" i="1" s="1"/>
  <c r="AD14" i="1"/>
  <c r="AF14" i="1" s="1"/>
  <c r="AD12" i="1"/>
  <c r="AF12" i="1" s="1"/>
  <c r="AD13" i="1"/>
  <c r="AE13" i="1" s="1"/>
  <c r="AD9" i="1"/>
  <c r="AF9" i="1" s="1"/>
  <c r="AD11" i="1"/>
  <c r="AF11" i="1" s="1"/>
  <c r="AD8" i="1"/>
  <c r="AF8" i="1" s="1"/>
  <c r="AD7" i="1"/>
  <c r="AE7" i="1" s="1"/>
  <c r="AD3" i="1"/>
  <c r="AE3" i="1" s="1"/>
  <c r="AD5" i="1"/>
  <c r="AF5" i="1" s="1"/>
  <c r="AD4" i="1"/>
  <c r="AF4" i="1" s="1"/>
  <c r="AD6" i="1"/>
  <c r="AE6" i="1" s="1"/>
  <c r="Y48" i="1"/>
  <c r="AA48" i="1" s="1"/>
  <c r="Y46" i="1"/>
  <c r="Z46" i="1" s="1"/>
  <c r="Y47" i="1"/>
  <c r="AA47" i="1" s="1"/>
  <c r="Y45" i="1"/>
  <c r="AA45" i="1" s="1"/>
  <c r="Y44" i="1"/>
  <c r="AA44" i="1" s="1"/>
  <c r="Y43" i="1"/>
  <c r="Z43" i="1" s="1"/>
  <c r="Y42" i="1"/>
  <c r="AA42" i="1" s="1"/>
  <c r="Y40" i="1"/>
  <c r="AA40" i="1" s="1"/>
  <c r="Y41" i="1"/>
  <c r="AA41" i="1" s="1"/>
  <c r="Y39" i="1"/>
  <c r="Z39" i="1" s="1"/>
  <c r="Y37" i="1"/>
  <c r="AA37" i="1" s="1"/>
  <c r="Y36" i="1"/>
  <c r="AA36" i="1" s="1"/>
  <c r="Y35" i="1"/>
  <c r="AA35" i="1" s="1"/>
  <c r="Y32" i="1"/>
  <c r="Z32" i="1" s="1"/>
  <c r="Y38" i="1"/>
  <c r="Z38" i="1" s="1"/>
  <c r="Y28" i="1"/>
  <c r="AA28" i="1" s="1"/>
  <c r="Y31" i="1"/>
  <c r="AA31" i="1" s="1"/>
  <c r="Y34" i="1"/>
  <c r="Z34" i="1" s="1"/>
  <c r="Y33" i="1"/>
  <c r="Z33" i="1" s="1"/>
  <c r="Y24" i="1"/>
  <c r="AA24" i="1" s="1"/>
  <c r="Y25" i="1"/>
  <c r="AA25" i="1" s="1"/>
  <c r="Y30" i="1"/>
  <c r="Z30" i="1" s="1"/>
  <c r="Y21" i="1"/>
  <c r="AA21" i="1" s="1"/>
  <c r="Y29" i="1"/>
  <c r="AA29" i="1" s="1"/>
  <c r="Y26" i="1"/>
  <c r="AA26" i="1" s="1"/>
  <c r="Y23" i="1"/>
  <c r="Z23" i="1" s="1"/>
  <c r="Y27" i="1"/>
  <c r="AA27" i="1" s="1"/>
  <c r="Y22" i="1"/>
  <c r="AA22" i="1" s="1"/>
  <c r="Y20" i="1"/>
  <c r="AA20" i="1" s="1"/>
  <c r="Y19" i="1"/>
  <c r="Z19" i="1" s="1"/>
  <c r="Y17" i="1"/>
  <c r="AA17" i="1" s="1"/>
  <c r="Y18" i="1"/>
  <c r="AA18" i="1" s="1"/>
  <c r="Y16" i="1"/>
  <c r="AA16" i="1" s="1"/>
  <c r="Y15" i="1"/>
  <c r="Z15" i="1" s="1"/>
  <c r="Y10" i="1"/>
  <c r="AA10" i="1" s="1"/>
  <c r="Y14" i="1"/>
  <c r="AA14" i="1" s="1"/>
  <c r="Y12" i="1"/>
  <c r="AA12" i="1" s="1"/>
  <c r="Y13" i="1"/>
  <c r="Z13" i="1" s="1"/>
  <c r="Y9" i="1"/>
  <c r="AA9" i="1" s="1"/>
  <c r="Y11" i="1"/>
  <c r="AA11" i="1" s="1"/>
  <c r="Y8" i="1"/>
  <c r="AA8" i="1" s="1"/>
  <c r="Y7" i="1"/>
  <c r="Z7" i="1" s="1"/>
  <c r="Y3" i="1"/>
  <c r="AA3" i="1" s="1"/>
  <c r="Y5" i="1"/>
  <c r="AA5" i="1" s="1"/>
  <c r="Y4" i="1"/>
  <c r="AA4" i="1" s="1"/>
  <c r="Y6" i="1"/>
  <c r="Z6" i="1" s="1"/>
  <c r="T48" i="1"/>
  <c r="V48" i="1" s="1"/>
  <c r="T46" i="1"/>
  <c r="U46" i="1" s="1"/>
  <c r="T47" i="1"/>
  <c r="U47" i="1" s="1"/>
  <c r="T44" i="1"/>
  <c r="V44" i="1" s="1"/>
  <c r="T43" i="1"/>
  <c r="V43" i="1" s="1"/>
  <c r="T42" i="1"/>
  <c r="U42" i="1" s="1"/>
  <c r="T40" i="1"/>
  <c r="U40" i="1" s="1"/>
  <c r="T37" i="1"/>
  <c r="U37" i="1" s="1"/>
  <c r="T36" i="1"/>
  <c r="U36" i="1" s="1"/>
  <c r="T38" i="1"/>
  <c r="U38" i="1" s="1"/>
  <c r="T28" i="1"/>
  <c r="V28" i="1" s="1"/>
  <c r="T33" i="1"/>
  <c r="U33" i="1" s="1"/>
  <c r="T24" i="1"/>
  <c r="V24" i="1" s="1"/>
  <c r="T21" i="1"/>
  <c r="U21" i="1" s="1"/>
  <c r="T29" i="1"/>
  <c r="U29" i="1" s="1"/>
  <c r="T27" i="1"/>
  <c r="U27" i="1" s="1"/>
  <c r="T22" i="1"/>
  <c r="U22" i="1" s="1"/>
  <c r="T17" i="1"/>
  <c r="U17" i="1" s="1"/>
  <c r="T18" i="1"/>
  <c r="U18" i="1" s="1"/>
  <c r="T10" i="1"/>
  <c r="U10" i="1" s="1"/>
  <c r="T14" i="1"/>
  <c r="U14" i="1" s="1"/>
  <c r="T9" i="1"/>
  <c r="U9" i="1" s="1"/>
  <c r="T11" i="1"/>
  <c r="U11" i="1" s="1"/>
  <c r="T3" i="1"/>
  <c r="U3" i="1" s="1"/>
  <c r="T5" i="1"/>
  <c r="V5" i="1" s="1"/>
  <c r="O48" i="1"/>
  <c r="Q48" i="1" s="1"/>
  <c r="O46" i="1"/>
  <c r="P46" i="1" s="1"/>
  <c r="O47" i="1"/>
  <c r="Q47" i="1" s="1"/>
  <c r="O45" i="1"/>
  <c r="Q45" i="1" s="1"/>
  <c r="O44" i="1"/>
  <c r="Q44" i="1" s="1"/>
  <c r="O43" i="1"/>
  <c r="P43" i="1" s="1"/>
  <c r="O42" i="1"/>
  <c r="Q42" i="1" s="1"/>
  <c r="O40" i="1"/>
  <c r="Q40" i="1" s="1"/>
  <c r="O41" i="1"/>
  <c r="Q41" i="1" s="1"/>
  <c r="O39" i="1"/>
  <c r="P39" i="1" s="1"/>
  <c r="O37" i="1"/>
  <c r="P37" i="1" s="1"/>
  <c r="O36" i="1"/>
  <c r="Q36" i="1" s="1"/>
  <c r="O35" i="1"/>
  <c r="Q35" i="1" s="1"/>
  <c r="O32" i="1"/>
  <c r="P32" i="1" s="1"/>
  <c r="O38" i="1"/>
  <c r="Q38" i="1" s="1"/>
  <c r="O28" i="1"/>
  <c r="Q28" i="1" s="1"/>
  <c r="O31" i="1"/>
  <c r="Q31" i="1" s="1"/>
  <c r="O34" i="1"/>
  <c r="P34" i="1" s="1"/>
  <c r="O33" i="1"/>
  <c r="Q33" i="1" s="1"/>
  <c r="O24" i="1"/>
  <c r="Q24" i="1" s="1"/>
  <c r="O25" i="1"/>
  <c r="Q25" i="1" s="1"/>
  <c r="O30" i="1"/>
  <c r="P30" i="1" s="1"/>
  <c r="O21" i="1"/>
  <c r="Q21" i="1" s="1"/>
  <c r="O29" i="1"/>
  <c r="Q29" i="1" s="1"/>
  <c r="O23" i="1"/>
  <c r="P23" i="1" s="1"/>
  <c r="O27" i="1"/>
  <c r="P27" i="1" s="1"/>
  <c r="O22" i="1"/>
  <c r="Q22" i="1" s="1"/>
  <c r="O19" i="1"/>
  <c r="P19" i="1" s="1"/>
  <c r="O17" i="1"/>
  <c r="Q17" i="1" s="1"/>
  <c r="O18" i="1"/>
  <c r="Q18" i="1" s="1"/>
  <c r="O15" i="1"/>
  <c r="P15" i="1" s="1"/>
  <c r="O10" i="1"/>
  <c r="P10" i="1" s="1"/>
  <c r="O14" i="1"/>
  <c r="Q14" i="1" s="1"/>
  <c r="O13" i="1"/>
  <c r="P13" i="1" s="1"/>
  <c r="O9" i="1"/>
  <c r="P9" i="1" s="1"/>
  <c r="O11" i="1"/>
  <c r="Q11" i="1" s="1"/>
  <c r="O7" i="1"/>
  <c r="P7" i="1" s="1"/>
  <c r="O3" i="1"/>
  <c r="Q3" i="1" s="1"/>
  <c r="O5" i="1"/>
  <c r="Q5" i="1" s="1"/>
  <c r="O6" i="1"/>
  <c r="P6" i="1" s="1"/>
  <c r="J48" i="1"/>
  <c r="L48" i="1" s="1"/>
  <c r="J46" i="1"/>
  <c r="K46" i="1" s="1"/>
  <c r="J47" i="1"/>
  <c r="K47" i="1" s="1"/>
  <c r="J44" i="1"/>
  <c r="L44" i="1" s="1"/>
  <c r="J43" i="1"/>
  <c r="K43" i="1" s="1"/>
  <c r="J42" i="1"/>
  <c r="K42" i="1" s="1"/>
  <c r="J41" i="1"/>
  <c r="L41" i="1" s="1"/>
  <c r="J39" i="1"/>
  <c r="K39" i="1" s="1"/>
  <c r="J37" i="1"/>
  <c r="K37" i="1" s="1"/>
  <c r="J35" i="1"/>
  <c r="L35" i="1" s="1"/>
  <c r="J32" i="1"/>
  <c r="K32" i="1" s="1"/>
  <c r="J38" i="1"/>
  <c r="K38" i="1" s="1"/>
  <c r="J31" i="1"/>
  <c r="L31" i="1" s="1"/>
  <c r="J34" i="1"/>
  <c r="K34" i="1" s="1"/>
  <c r="J33" i="1"/>
  <c r="K33" i="1" s="1"/>
  <c r="J25" i="1"/>
  <c r="L25" i="1" s="1"/>
  <c r="J30" i="1"/>
  <c r="K30" i="1" s="1"/>
  <c r="J21" i="1"/>
  <c r="K21" i="1" s="1"/>
  <c r="J23" i="1"/>
  <c r="K23" i="1" s="1"/>
  <c r="J27" i="1"/>
  <c r="K27" i="1" s="1"/>
  <c r="J19" i="1"/>
  <c r="K19" i="1" s="1"/>
  <c r="J17" i="1"/>
  <c r="K17" i="1" s="1"/>
  <c r="J15" i="1"/>
  <c r="K15" i="1" s="1"/>
  <c r="J10" i="1"/>
  <c r="K10" i="1" s="1"/>
  <c r="J13" i="1"/>
  <c r="K13" i="1" s="1"/>
  <c r="J9" i="1"/>
  <c r="K9" i="1" s="1"/>
  <c r="J7" i="1"/>
  <c r="K7" i="1" s="1"/>
  <c r="J3" i="1"/>
  <c r="K3" i="1" s="1"/>
  <c r="J6" i="1"/>
  <c r="K6" i="1" s="1"/>
  <c r="E48" i="1"/>
  <c r="G48" i="1" s="1"/>
  <c r="E46" i="1"/>
  <c r="F46" i="1" s="1"/>
  <c r="E47" i="1"/>
  <c r="G47" i="1" s="1"/>
  <c r="E45" i="1"/>
  <c r="G45" i="1" s="1"/>
  <c r="E44" i="1"/>
  <c r="G44" i="1" s="1"/>
  <c r="E43" i="1"/>
  <c r="F43" i="1" s="1"/>
  <c r="E42" i="1"/>
  <c r="G42" i="1" s="1"/>
  <c r="E40" i="1"/>
  <c r="G40" i="1" s="1"/>
  <c r="E41" i="1"/>
  <c r="G41" i="1" s="1"/>
  <c r="E39" i="1"/>
  <c r="F39" i="1" s="1"/>
  <c r="E37" i="1"/>
  <c r="G37" i="1" s="1"/>
  <c r="E36" i="1"/>
  <c r="G36" i="1" s="1"/>
  <c r="E35" i="1"/>
  <c r="G35" i="1" s="1"/>
  <c r="E32" i="1"/>
  <c r="F32" i="1" s="1"/>
  <c r="E38" i="1"/>
  <c r="G38" i="1" s="1"/>
  <c r="E28" i="1"/>
  <c r="G28" i="1" s="1"/>
  <c r="E31" i="1"/>
  <c r="G31" i="1" s="1"/>
  <c r="E34" i="1"/>
  <c r="F34" i="1" s="1"/>
  <c r="E33" i="1"/>
  <c r="G33" i="1" s="1"/>
  <c r="E24" i="1"/>
  <c r="G24" i="1" s="1"/>
  <c r="E25" i="1"/>
  <c r="G25" i="1" s="1"/>
  <c r="E30" i="1"/>
  <c r="F30" i="1" s="1"/>
  <c r="E21" i="1"/>
  <c r="G21" i="1" s="1"/>
  <c r="E29" i="1"/>
  <c r="G29" i="1" s="1"/>
  <c r="E26" i="1"/>
  <c r="G26" i="1" s="1"/>
  <c r="E23" i="1"/>
  <c r="F23" i="1" s="1"/>
  <c r="E27" i="1"/>
  <c r="G27" i="1" s="1"/>
  <c r="E22" i="1"/>
  <c r="G22" i="1" s="1"/>
  <c r="E20" i="1"/>
  <c r="G20" i="1" s="1"/>
  <c r="E19" i="1"/>
  <c r="F19" i="1" s="1"/>
  <c r="E17" i="1"/>
  <c r="G17" i="1" s="1"/>
  <c r="E18" i="1"/>
  <c r="G18" i="1" s="1"/>
  <c r="E16" i="1"/>
  <c r="G16" i="1" s="1"/>
  <c r="E15" i="1"/>
  <c r="F15" i="1" s="1"/>
  <c r="E10" i="1"/>
  <c r="G10" i="1" s="1"/>
  <c r="E14" i="1"/>
  <c r="G14" i="1" s="1"/>
  <c r="E12" i="1"/>
  <c r="G12" i="1" s="1"/>
  <c r="E13" i="1"/>
  <c r="F13" i="1" s="1"/>
  <c r="E9" i="1"/>
  <c r="G9" i="1" s="1"/>
  <c r="E11" i="1"/>
  <c r="G11" i="1" s="1"/>
  <c r="E8" i="1"/>
  <c r="G8" i="1" s="1"/>
  <c r="E7" i="1"/>
  <c r="F7" i="1" s="1"/>
  <c r="E3" i="1"/>
  <c r="G3" i="1" s="1"/>
  <c r="E5" i="1"/>
  <c r="G5" i="1" s="1"/>
  <c r="E4" i="1"/>
  <c r="G4" i="1" s="1"/>
  <c r="E6" i="1"/>
  <c r="F6" i="1" s="1"/>
  <c r="BJ30" i="1" l="1"/>
  <c r="F12" i="3"/>
  <c r="F16" i="3"/>
  <c r="BI16" i="1"/>
  <c r="F13" i="3"/>
  <c r="F17" i="3"/>
  <c r="F21" i="3"/>
  <c r="F14" i="3"/>
  <c r="F18" i="3"/>
  <c r="F22" i="3"/>
  <c r="F15" i="3"/>
  <c r="F19" i="3"/>
  <c r="F20" i="3"/>
  <c r="F23" i="3"/>
  <c r="D24" i="3"/>
  <c r="BJ46" i="1"/>
  <c r="BJ43" i="1"/>
  <c r="BI4" i="1"/>
  <c r="BJ34" i="1"/>
  <c r="BI17" i="1"/>
  <c r="BJ39" i="1"/>
  <c r="BJ7" i="1"/>
  <c r="BE15" i="1"/>
  <c r="BK28" i="1"/>
  <c r="BM28" i="1" s="1"/>
  <c r="BN28" i="1" s="1"/>
  <c r="BK12" i="1"/>
  <c r="BM12" i="1" s="1"/>
  <c r="BN12" i="1" s="1"/>
  <c r="BK20" i="1"/>
  <c r="BM20" i="1" s="1"/>
  <c r="BN20" i="1" s="1"/>
  <c r="BK25" i="1"/>
  <c r="BM25" i="1" s="1"/>
  <c r="BN25" i="1" s="1"/>
  <c r="BK35" i="1"/>
  <c r="BM35" i="1" s="1"/>
  <c r="BN35" i="1" s="1"/>
  <c r="BK5" i="1"/>
  <c r="BM5" i="1" s="1"/>
  <c r="BN5" i="1" s="1"/>
  <c r="BK24" i="1"/>
  <c r="BM24" i="1" s="1"/>
  <c r="BN24" i="1" s="1"/>
  <c r="BK48" i="1"/>
  <c r="BM48" i="1" s="1"/>
  <c r="BN48" i="1" s="1"/>
  <c r="BK16" i="1"/>
  <c r="BM16" i="1" s="1"/>
  <c r="BN16" i="1" s="1"/>
  <c r="BK26" i="1"/>
  <c r="BM26" i="1" s="1"/>
  <c r="BN26" i="1" s="1"/>
  <c r="BK31" i="1"/>
  <c r="BM31" i="1" s="1"/>
  <c r="BN31" i="1" s="1"/>
  <c r="BK41" i="1"/>
  <c r="BM41" i="1" s="1"/>
  <c r="BN41" i="1" s="1"/>
  <c r="BK44" i="1"/>
  <c r="BM44" i="1" s="1"/>
  <c r="BN44" i="1" s="1"/>
  <c r="BD26" i="1"/>
  <c r="BJ13" i="1"/>
  <c r="BI10" i="1"/>
  <c r="BJ32" i="1"/>
  <c r="BD8" i="1"/>
  <c r="BD27" i="1"/>
  <c r="BI20" i="1"/>
  <c r="BJ23" i="1"/>
  <c r="BD3" i="1"/>
  <c r="BJ6" i="1"/>
  <c r="BI9" i="1"/>
  <c r="BI12" i="1"/>
  <c r="BJ19" i="1"/>
  <c r="BI21" i="1"/>
  <c r="BI33" i="1"/>
  <c r="BI38" i="1"/>
  <c r="BI37" i="1"/>
  <c r="BI42" i="1"/>
  <c r="BI47" i="1"/>
  <c r="BI3" i="1"/>
  <c r="BI8" i="1"/>
  <c r="BJ15" i="1"/>
  <c r="BI27" i="1"/>
  <c r="BI26" i="1"/>
  <c r="BI25" i="1"/>
  <c r="BI31" i="1"/>
  <c r="BI35" i="1"/>
  <c r="BI41" i="1"/>
  <c r="BI44" i="1"/>
  <c r="BI5" i="1"/>
  <c r="BI11" i="1"/>
  <c r="BI14" i="1"/>
  <c r="BI18" i="1"/>
  <c r="BI22" i="1"/>
  <c r="BI29" i="1"/>
  <c r="BI24" i="1"/>
  <c r="BI28" i="1"/>
  <c r="BI36" i="1"/>
  <c r="BI40" i="1"/>
  <c r="BI45" i="1"/>
  <c r="BI48" i="1"/>
  <c r="BD4" i="1"/>
  <c r="BE34" i="1"/>
  <c r="BE32" i="1"/>
  <c r="BE39" i="1"/>
  <c r="BE7" i="1"/>
  <c r="BD10" i="1"/>
  <c r="BD16" i="1"/>
  <c r="BE23" i="1"/>
  <c r="BD33" i="1"/>
  <c r="BD38" i="1"/>
  <c r="BD37" i="1"/>
  <c r="BD42" i="1"/>
  <c r="BD47" i="1"/>
  <c r="BE13" i="1"/>
  <c r="BD17" i="1"/>
  <c r="BD20" i="1"/>
  <c r="BE30" i="1"/>
  <c r="BE43" i="1"/>
  <c r="BE46" i="1"/>
  <c r="BE6" i="1"/>
  <c r="BD9" i="1"/>
  <c r="BD12" i="1"/>
  <c r="BE19" i="1"/>
  <c r="BD21" i="1"/>
  <c r="BD25" i="1"/>
  <c r="BD31" i="1"/>
  <c r="BD35" i="1"/>
  <c r="BD41" i="1"/>
  <c r="BD44" i="1"/>
  <c r="BD48" i="1"/>
  <c r="BD5" i="1"/>
  <c r="BD11" i="1"/>
  <c r="BD14" i="1"/>
  <c r="BD18" i="1"/>
  <c r="BD22" i="1"/>
  <c r="BD29" i="1"/>
  <c r="BD24" i="1"/>
  <c r="BD28" i="1"/>
  <c r="BD36" i="1"/>
  <c r="BD40" i="1"/>
  <c r="BD45" i="1"/>
  <c r="AY7" i="1"/>
  <c r="AY9" i="1"/>
  <c r="AZ42" i="1"/>
  <c r="AZ47" i="1"/>
  <c r="AZ34" i="1"/>
  <c r="AY38" i="1"/>
  <c r="AY6" i="1"/>
  <c r="AY3" i="1"/>
  <c r="AY13" i="1"/>
  <c r="AZ33" i="1"/>
  <c r="AZ39" i="1"/>
  <c r="AZ46" i="1"/>
  <c r="AZ4" i="1"/>
  <c r="BK4" i="1" s="1"/>
  <c r="BM4" i="1" s="1"/>
  <c r="BN4" i="1" s="1"/>
  <c r="AZ8" i="1"/>
  <c r="BK8" i="1" s="1"/>
  <c r="BM8" i="1" s="1"/>
  <c r="BN8" i="1" s="1"/>
  <c r="AZ15" i="1"/>
  <c r="AY17" i="1"/>
  <c r="AZ23" i="1"/>
  <c r="AY21" i="1"/>
  <c r="AZ32" i="1"/>
  <c r="AY37" i="1"/>
  <c r="AY10" i="1"/>
  <c r="AZ19" i="1"/>
  <c r="AY27" i="1"/>
  <c r="AZ30" i="1"/>
  <c r="AZ43" i="1"/>
  <c r="AY5" i="1"/>
  <c r="AY11" i="1"/>
  <c r="AY14" i="1"/>
  <c r="AY18" i="1"/>
  <c r="AY22" i="1"/>
  <c r="AY29" i="1"/>
  <c r="AY24" i="1"/>
  <c r="AY28" i="1"/>
  <c r="AY36" i="1"/>
  <c r="AY40" i="1"/>
  <c r="AY45" i="1"/>
  <c r="AY12" i="1"/>
  <c r="AY16" i="1"/>
  <c r="AY20" i="1"/>
  <c r="AY26" i="1"/>
  <c r="AY25" i="1"/>
  <c r="AY31" i="1"/>
  <c r="AY35" i="1"/>
  <c r="AY41" i="1"/>
  <c r="AY44" i="1"/>
  <c r="AY48" i="1"/>
  <c r="AU39" i="1"/>
  <c r="AT42" i="1"/>
  <c r="AU34" i="1"/>
  <c r="AT38" i="1"/>
  <c r="AU47" i="1"/>
  <c r="AU10" i="1"/>
  <c r="AU23" i="1"/>
  <c r="AU7" i="1"/>
  <c r="AT9" i="1"/>
  <c r="AU15" i="1"/>
  <c r="AT17" i="1"/>
  <c r="AU33" i="1"/>
  <c r="AU46" i="1"/>
  <c r="AT21" i="1"/>
  <c r="AP30" i="1"/>
  <c r="AO33" i="1"/>
  <c r="AU6" i="1"/>
  <c r="AT3" i="1"/>
  <c r="AU19" i="1"/>
  <c r="AT27" i="1"/>
  <c r="AU32" i="1"/>
  <c r="AT37" i="1"/>
  <c r="AP21" i="1"/>
  <c r="AU13" i="1"/>
  <c r="AU30" i="1"/>
  <c r="AU43" i="1"/>
  <c r="AT5" i="1"/>
  <c r="AT11" i="1"/>
  <c r="AT14" i="1"/>
  <c r="AT18" i="1"/>
  <c r="AT22" i="1"/>
  <c r="AT29" i="1"/>
  <c r="AT24" i="1"/>
  <c r="AT28" i="1"/>
  <c r="AT36" i="1"/>
  <c r="AT40" i="1"/>
  <c r="AT45" i="1"/>
  <c r="AT4" i="1"/>
  <c r="AT8" i="1"/>
  <c r="AT12" i="1"/>
  <c r="AT16" i="1"/>
  <c r="AT20" i="1"/>
  <c r="AT26" i="1"/>
  <c r="AT25" i="1"/>
  <c r="AT31" i="1"/>
  <c r="AT35" i="1"/>
  <c r="AT41" i="1"/>
  <c r="AT44" i="1"/>
  <c r="AT48" i="1"/>
  <c r="AP43" i="1"/>
  <c r="AO47" i="1"/>
  <c r="AP13" i="1"/>
  <c r="AO10" i="1"/>
  <c r="AP7" i="1"/>
  <c r="AO9" i="1"/>
  <c r="AP39" i="1"/>
  <c r="AO42" i="1"/>
  <c r="AP23" i="1"/>
  <c r="AP6" i="1"/>
  <c r="AO3" i="1"/>
  <c r="AP19" i="1"/>
  <c r="AO27" i="1"/>
  <c r="AP32" i="1"/>
  <c r="AO37" i="1"/>
  <c r="AP15" i="1"/>
  <c r="AO17" i="1"/>
  <c r="AP34" i="1"/>
  <c r="AO38" i="1"/>
  <c r="AP46" i="1"/>
  <c r="AO5" i="1"/>
  <c r="AO11" i="1"/>
  <c r="AO14" i="1"/>
  <c r="AO18" i="1"/>
  <c r="AO22" i="1"/>
  <c r="AO29" i="1"/>
  <c r="AO24" i="1"/>
  <c r="AO28" i="1"/>
  <c r="AO36" i="1"/>
  <c r="AO40" i="1"/>
  <c r="AO45" i="1"/>
  <c r="AO4" i="1"/>
  <c r="AO8" i="1"/>
  <c r="AO12" i="1"/>
  <c r="AO16" i="1"/>
  <c r="AO20" i="1"/>
  <c r="AO26" i="1"/>
  <c r="AO25" i="1"/>
  <c r="AO31" i="1"/>
  <c r="AO35" i="1"/>
  <c r="AO41" i="1"/>
  <c r="AO44" i="1"/>
  <c r="AO48" i="1"/>
  <c r="AK7" i="1"/>
  <c r="AJ9" i="1"/>
  <c r="AK43" i="1"/>
  <c r="AJ47" i="1"/>
  <c r="AK23" i="1"/>
  <c r="AJ21" i="1"/>
  <c r="AK15" i="1"/>
  <c r="AJ17" i="1"/>
  <c r="AK33" i="1"/>
  <c r="AK39" i="1"/>
  <c r="AJ42" i="1"/>
  <c r="AK10" i="1"/>
  <c r="AK34" i="1"/>
  <c r="AJ38" i="1"/>
  <c r="AK6" i="1"/>
  <c r="AJ3" i="1"/>
  <c r="AK19" i="1"/>
  <c r="AJ27" i="1"/>
  <c r="AK32" i="1"/>
  <c r="AJ37" i="1"/>
  <c r="AK46" i="1"/>
  <c r="H18" i="3" s="1"/>
  <c r="AK13" i="1"/>
  <c r="AK30" i="1"/>
  <c r="AJ5" i="1"/>
  <c r="AJ14" i="1"/>
  <c r="AJ22" i="1"/>
  <c r="AJ24" i="1"/>
  <c r="AJ28" i="1"/>
  <c r="AJ40" i="1"/>
  <c r="AJ45" i="1"/>
  <c r="AJ4" i="1"/>
  <c r="AJ8" i="1"/>
  <c r="AK11" i="1"/>
  <c r="AJ12" i="1"/>
  <c r="AJ16" i="1"/>
  <c r="AK18" i="1"/>
  <c r="AJ20" i="1"/>
  <c r="AJ26" i="1"/>
  <c r="AK29" i="1"/>
  <c r="AJ25" i="1"/>
  <c r="AJ31" i="1"/>
  <c r="AJ35" i="1"/>
  <c r="AK36" i="1"/>
  <c r="AJ41" i="1"/>
  <c r="AJ44" i="1"/>
  <c r="AJ48" i="1"/>
  <c r="AE16" i="1"/>
  <c r="AF23" i="1"/>
  <c r="AE33" i="1"/>
  <c r="AF6" i="1"/>
  <c r="AF7" i="1"/>
  <c r="AE10" i="1"/>
  <c r="AE31" i="1"/>
  <c r="AE9" i="1"/>
  <c r="AE12" i="1"/>
  <c r="AF19" i="1"/>
  <c r="AE21" i="1"/>
  <c r="AE25" i="1"/>
  <c r="AF32" i="1"/>
  <c r="AF39" i="1"/>
  <c r="AE4" i="1"/>
  <c r="AF3" i="1"/>
  <c r="AE8" i="1"/>
  <c r="AF15" i="1"/>
  <c r="AE27" i="1"/>
  <c r="AE26" i="1"/>
  <c r="AF34" i="1"/>
  <c r="AE37" i="1"/>
  <c r="AE42" i="1"/>
  <c r="AE47" i="1"/>
  <c r="AF43" i="1"/>
  <c r="AF46" i="1"/>
  <c r="AF13" i="1"/>
  <c r="AE17" i="1"/>
  <c r="AE20" i="1"/>
  <c r="AF30" i="1"/>
  <c r="AE38" i="1"/>
  <c r="AE35" i="1"/>
  <c r="AE41" i="1"/>
  <c r="AE44" i="1"/>
  <c r="AE48" i="1"/>
  <c r="AE5" i="1"/>
  <c r="AE11" i="1"/>
  <c r="AE14" i="1"/>
  <c r="AE18" i="1"/>
  <c r="AE22" i="1"/>
  <c r="AE29" i="1"/>
  <c r="AE24" i="1"/>
  <c r="AE28" i="1"/>
  <c r="AE36" i="1"/>
  <c r="AE40" i="1"/>
  <c r="AE45" i="1"/>
  <c r="AA33" i="1"/>
  <c r="AA23" i="1"/>
  <c r="Z21" i="1"/>
  <c r="Z47" i="1"/>
  <c r="AA38" i="1"/>
  <c r="AA43" i="1"/>
  <c r="AA7" i="1"/>
  <c r="Z9" i="1"/>
  <c r="AA30" i="1"/>
  <c r="AA39" i="1"/>
  <c r="Z42" i="1"/>
  <c r="AA15" i="1"/>
  <c r="Z17" i="1"/>
  <c r="AA6" i="1"/>
  <c r="Z3" i="1"/>
  <c r="AA13" i="1"/>
  <c r="Z10" i="1"/>
  <c r="AA19" i="1"/>
  <c r="Z27" i="1"/>
  <c r="AA32" i="1"/>
  <c r="Z37" i="1"/>
  <c r="AA34" i="1"/>
  <c r="AA46" i="1"/>
  <c r="Z5" i="1"/>
  <c r="Z11" i="1"/>
  <c r="Z14" i="1"/>
  <c r="Z18" i="1"/>
  <c r="Z22" i="1"/>
  <c r="Z29" i="1"/>
  <c r="Z24" i="1"/>
  <c r="Z28" i="1"/>
  <c r="Z36" i="1"/>
  <c r="Z40" i="1"/>
  <c r="Z45" i="1"/>
  <c r="Z4" i="1"/>
  <c r="Z8" i="1"/>
  <c r="Z12" i="1"/>
  <c r="Z16" i="1"/>
  <c r="Z20" i="1"/>
  <c r="Z26" i="1"/>
  <c r="Z25" i="1"/>
  <c r="Z31" i="1"/>
  <c r="Z35" i="1"/>
  <c r="Z41" i="1"/>
  <c r="Z44" i="1"/>
  <c r="Z48" i="1"/>
  <c r="V17" i="1"/>
  <c r="V38" i="1"/>
  <c r="V9" i="1"/>
  <c r="V42" i="1"/>
  <c r="V21" i="1"/>
  <c r="V10" i="1"/>
  <c r="V33" i="1"/>
  <c r="V47" i="1"/>
  <c r="V3" i="1"/>
  <c r="V27" i="1"/>
  <c r="V37" i="1"/>
  <c r="Q10" i="1"/>
  <c r="U6" i="1"/>
  <c r="U7" i="1"/>
  <c r="U13" i="1"/>
  <c r="U15" i="1"/>
  <c r="U19" i="1"/>
  <c r="U23" i="1"/>
  <c r="U30" i="1"/>
  <c r="U34" i="1"/>
  <c r="U32" i="1"/>
  <c r="U39" i="1"/>
  <c r="U43" i="1"/>
  <c r="V46" i="1"/>
  <c r="Q13" i="1"/>
  <c r="U5" i="1"/>
  <c r="U24" i="1"/>
  <c r="U28" i="1"/>
  <c r="U4" i="1"/>
  <c r="U8" i="1"/>
  <c r="V11" i="1"/>
  <c r="U12" i="1"/>
  <c r="V14" i="1"/>
  <c r="BK14" i="1" s="1"/>
  <c r="BM14" i="1" s="1"/>
  <c r="BN14" i="1" s="1"/>
  <c r="U16" i="1"/>
  <c r="V18" i="1"/>
  <c r="U20" i="1"/>
  <c r="V22" i="1"/>
  <c r="BK22" i="1" s="1"/>
  <c r="BM22" i="1" s="1"/>
  <c r="BN22" i="1" s="1"/>
  <c r="U26" i="1"/>
  <c r="V29" i="1"/>
  <c r="U25" i="1"/>
  <c r="U31" i="1"/>
  <c r="U35" i="1"/>
  <c r="V36" i="1"/>
  <c r="U41" i="1"/>
  <c r="V40" i="1"/>
  <c r="U44" i="1"/>
  <c r="V45" i="1"/>
  <c r="BK45" i="1" s="1"/>
  <c r="BM45" i="1" s="1"/>
  <c r="BN45" i="1" s="1"/>
  <c r="U48" i="1"/>
  <c r="Q43" i="1"/>
  <c r="P47" i="1"/>
  <c r="L40" i="1"/>
  <c r="Q23" i="1"/>
  <c r="P21" i="1"/>
  <c r="Q39" i="1"/>
  <c r="P42" i="1"/>
  <c r="Q9" i="1"/>
  <c r="Q30" i="1"/>
  <c r="P33" i="1"/>
  <c r="Q7" i="1"/>
  <c r="P3" i="1"/>
  <c r="Q19" i="1"/>
  <c r="Q32" i="1"/>
  <c r="Q15" i="1"/>
  <c r="P17" i="1"/>
  <c r="Q27" i="1"/>
  <c r="Q34" i="1"/>
  <c r="P38" i="1"/>
  <c r="Q37" i="1"/>
  <c r="Q46" i="1"/>
  <c r="Q6" i="1"/>
  <c r="P5" i="1"/>
  <c r="P11" i="1"/>
  <c r="P14" i="1"/>
  <c r="P18" i="1"/>
  <c r="P22" i="1"/>
  <c r="P29" i="1"/>
  <c r="P24" i="1"/>
  <c r="P28" i="1"/>
  <c r="P36" i="1"/>
  <c r="P40" i="1"/>
  <c r="P45" i="1"/>
  <c r="P4" i="1"/>
  <c r="P8" i="1"/>
  <c r="P12" i="1"/>
  <c r="P16" i="1"/>
  <c r="P20" i="1"/>
  <c r="P26" i="1"/>
  <c r="P25" i="1"/>
  <c r="P31" i="1"/>
  <c r="P35" i="1"/>
  <c r="P41" i="1"/>
  <c r="P44" i="1"/>
  <c r="P48" i="1"/>
  <c r="K5" i="1"/>
  <c r="L11" i="1"/>
  <c r="L29" i="1"/>
  <c r="L17" i="1"/>
  <c r="K22" i="1"/>
  <c r="L38" i="1"/>
  <c r="K36" i="1"/>
  <c r="L3" i="1"/>
  <c r="K18" i="1"/>
  <c r="L33" i="1"/>
  <c r="K28" i="1"/>
  <c r="L47" i="1"/>
  <c r="L10" i="1"/>
  <c r="L9" i="1"/>
  <c r="K14" i="1"/>
  <c r="L21" i="1"/>
  <c r="K24" i="1"/>
  <c r="L42" i="1"/>
  <c r="K45" i="1"/>
  <c r="L27" i="1"/>
  <c r="L37" i="1"/>
  <c r="K25" i="1"/>
  <c r="K35" i="1"/>
  <c r="K41" i="1"/>
  <c r="K48" i="1"/>
  <c r="L6" i="1"/>
  <c r="L7" i="1"/>
  <c r="L13" i="1"/>
  <c r="L15" i="1"/>
  <c r="L19" i="1"/>
  <c r="L23" i="1"/>
  <c r="L30" i="1"/>
  <c r="L34" i="1"/>
  <c r="L32" i="1"/>
  <c r="L39" i="1"/>
  <c r="L43" i="1"/>
  <c r="L46" i="1"/>
  <c r="K4" i="1"/>
  <c r="K8" i="1"/>
  <c r="K12" i="1"/>
  <c r="K16" i="1"/>
  <c r="K20" i="1"/>
  <c r="K26" i="1"/>
  <c r="K31" i="1"/>
  <c r="K44" i="1"/>
  <c r="F42" i="1"/>
  <c r="F25" i="1"/>
  <c r="G32" i="1"/>
  <c r="F12" i="1"/>
  <c r="G6" i="1"/>
  <c r="F9" i="1"/>
  <c r="G19" i="1"/>
  <c r="F21" i="1"/>
  <c r="F44" i="1"/>
  <c r="F3" i="1"/>
  <c r="F8" i="1"/>
  <c r="G46" i="1"/>
  <c r="F4" i="1"/>
  <c r="G13" i="1"/>
  <c r="F17" i="1"/>
  <c r="F20" i="1"/>
  <c r="G30" i="1"/>
  <c r="F38" i="1"/>
  <c r="F35" i="1"/>
  <c r="G43" i="1"/>
  <c r="G15" i="1"/>
  <c r="F27" i="1"/>
  <c r="F26" i="1"/>
  <c r="G34" i="1"/>
  <c r="F37" i="1"/>
  <c r="F41" i="1"/>
  <c r="G7" i="1"/>
  <c r="F10" i="1"/>
  <c r="F16" i="1"/>
  <c r="G23" i="1"/>
  <c r="F33" i="1"/>
  <c r="F31" i="1"/>
  <c r="G39" i="1"/>
  <c r="F47" i="1"/>
  <c r="F48" i="1"/>
  <c r="F5" i="1"/>
  <c r="F11" i="1"/>
  <c r="F14" i="1"/>
  <c r="F18" i="1"/>
  <c r="F22" i="1"/>
  <c r="F29" i="1"/>
  <c r="F24" i="1"/>
  <c r="F28" i="1"/>
  <c r="F36" i="1"/>
  <c r="F40" i="1"/>
  <c r="F45" i="1"/>
  <c r="G13" i="3" l="1"/>
  <c r="H12" i="3"/>
  <c r="H14" i="3"/>
  <c r="H16" i="3"/>
  <c r="H19" i="3"/>
  <c r="G17" i="3"/>
  <c r="G12" i="3"/>
  <c r="G16" i="3"/>
  <c r="G18" i="3"/>
  <c r="G23" i="3"/>
  <c r="G14" i="3"/>
  <c r="G20" i="3"/>
  <c r="G21" i="3"/>
  <c r="G19" i="3"/>
  <c r="G15" i="3"/>
  <c r="G22" i="3"/>
  <c r="H15" i="3"/>
  <c r="H13" i="3"/>
  <c r="H17" i="3"/>
  <c r="H20" i="3"/>
  <c r="H22" i="3"/>
  <c r="H23" i="3"/>
  <c r="H21" i="3"/>
  <c r="BK43" i="1"/>
  <c r="BM43" i="1" s="1"/>
  <c r="BN43" i="1" s="1"/>
  <c r="BK27" i="1"/>
  <c r="BM27" i="1" s="1"/>
  <c r="BN27" i="1" s="1"/>
  <c r="BK36" i="1"/>
  <c r="BM36" i="1" s="1"/>
  <c r="BN36" i="1" s="1"/>
  <c r="BK18" i="1"/>
  <c r="BM18" i="1" s="1"/>
  <c r="BN18" i="1" s="1"/>
  <c r="BK34" i="1"/>
  <c r="BM34" i="1" s="1"/>
  <c r="BN34" i="1" s="1"/>
  <c r="BK23" i="1"/>
  <c r="BM23" i="1" s="1"/>
  <c r="BN23" i="1" s="1"/>
  <c r="BK30" i="1"/>
  <c r="BM30" i="1" s="1"/>
  <c r="BN30" i="1" s="1"/>
  <c r="BK7" i="1"/>
  <c r="BM7" i="1" s="1"/>
  <c r="BN7" i="1" s="1"/>
  <c r="BK32" i="1"/>
  <c r="BM32" i="1" s="1"/>
  <c r="BN32" i="1" s="1"/>
  <c r="BK6" i="1"/>
  <c r="BM6" i="1" s="1"/>
  <c r="BN6" i="1" s="1"/>
  <c r="BK39" i="1"/>
  <c r="BM39" i="1" s="1"/>
  <c r="BN39" i="1" s="1"/>
  <c r="BK29" i="1"/>
  <c r="BM29" i="1" s="1"/>
  <c r="BN29" i="1" s="1"/>
  <c r="BK15" i="1"/>
  <c r="BM15" i="1" s="1"/>
  <c r="BN15" i="1" s="1"/>
  <c r="BK37" i="1"/>
  <c r="BM37" i="1" s="1"/>
  <c r="BN37" i="1" s="1"/>
  <c r="BK11" i="1"/>
  <c r="BM11" i="1" s="1"/>
  <c r="BN11" i="1" s="1"/>
  <c r="BK33" i="1"/>
  <c r="BM33" i="1" s="1"/>
  <c r="BN33" i="1" s="1"/>
  <c r="BK9" i="1"/>
  <c r="BM9" i="1" s="1"/>
  <c r="BN9" i="1" s="1"/>
  <c r="BK10" i="1"/>
  <c r="BM10" i="1" s="1"/>
  <c r="BN10" i="1" s="1"/>
  <c r="BK38" i="1"/>
  <c r="BM38" i="1" s="1"/>
  <c r="BN38" i="1" s="1"/>
  <c r="BK19" i="1"/>
  <c r="BM19" i="1" s="1"/>
  <c r="BN19" i="1" s="1"/>
  <c r="BK40" i="1"/>
  <c r="BM40" i="1" s="1"/>
  <c r="BN40" i="1" s="1"/>
  <c r="BK3" i="1"/>
  <c r="BK21" i="1"/>
  <c r="BM21" i="1" s="1"/>
  <c r="BN21" i="1" s="1"/>
  <c r="BK17" i="1"/>
  <c r="BM17" i="1" s="1"/>
  <c r="BN17" i="1" s="1"/>
  <c r="BK13" i="1"/>
  <c r="BM13" i="1" s="1"/>
  <c r="BN13" i="1" s="1"/>
  <c r="BK47" i="1"/>
  <c r="BM47" i="1" s="1"/>
  <c r="BN47" i="1" s="1"/>
  <c r="BK42" i="1"/>
  <c r="BM42" i="1" s="1"/>
  <c r="BN42" i="1" s="1"/>
  <c r="BK46" i="1"/>
  <c r="BM46" i="1" s="1"/>
  <c r="BM3" i="1" l="1"/>
  <c r="BN3" i="1" s="1"/>
  <c r="H24" i="3"/>
  <c r="BN46" i="1"/>
  <c r="D27" i="3" s="1"/>
  <c r="D26" i="3"/>
  <c r="D25" i="3"/>
  <c r="BO42" i="1"/>
  <c r="BO27" i="1"/>
  <c r="BO36" i="1"/>
  <c r="BO7" i="1"/>
  <c r="BO16" i="1"/>
  <c r="BO4" i="1"/>
  <c r="BO39" i="1"/>
  <c r="BO17" i="1"/>
  <c r="BO18" i="1"/>
  <c r="BO14" i="1"/>
  <c r="BO38" i="1"/>
  <c r="BO22" i="1" l="1"/>
  <c r="BO3" i="1"/>
  <c r="BO23" i="1"/>
  <c r="BO5" i="1"/>
  <c r="BO11" i="1"/>
  <c r="BO20" i="1"/>
  <c r="BO25" i="1"/>
  <c r="BO35" i="1"/>
  <c r="BO37" i="1"/>
  <c r="BO43" i="1"/>
  <c r="BO28" i="1"/>
  <c r="BO40" i="1"/>
  <c r="BO30" i="1"/>
  <c r="BO34" i="1"/>
  <c r="BO29" i="1"/>
  <c r="BO13" i="1"/>
  <c r="BO15" i="1"/>
  <c r="BO44" i="1"/>
  <c r="BO31" i="1"/>
  <c r="BO41" i="1"/>
  <c r="BO47" i="1"/>
  <c r="BO46" i="1"/>
  <c r="BO12" i="1"/>
  <c r="BO32" i="1"/>
  <c r="BO21" i="1"/>
  <c r="BO33" i="1"/>
  <c r="BO19" i="1"/>
  <c r="BO9" i="1"/>
  <c r="BO10" i="1"/>
  <c r="BO48" i="1"/>
  <c r="BO45" i="1"/>
  <c r="BO6" i="1"/>
  <c r="BO26" i="1"/>
  <c r="BO8" i="1"/>
  <c r="BO24" i="1"/>
  <c r="D28" i="3"/>
</calcChain>
</file>

<file path=xl/sharedStrings.xml><?xml version="1.0" encoding="utf-8"?>
<sst xmlns="http://schemas.openxmlformats.org/spreadsheetml/2006/main" count="182" uniqueCount="165">
  <si>
    <t xml:space="preserve">رقم الجامعي </t>
  </si>
  <si>
    <t xml:space="preserve">أسماء الطلبة </t>
  </si>
  <si>
    <t xml:space="preserve">القرآن الكريم </t>
  </si>
  <si>
    <t>التوحيد</t>
  </si>
  <si>
    <t xml:space="preserve">المدخل إلى علوم الحديث     </t>
  </si>
  <si>
    <t>الفقه (1)</t>
  </si>
  <si>
    <t xml:space="preserve">المدخل إلى علوم القرآن </t>
  </si>
  <si>
    <t>التجويد</t>
  </si>
  <si>
    <t>مدخل إلى الحديث التحليلي</t>
  </si>
  <si>
    <t>النحو (1)</t>
  </si>
  <si>
    <t>مناهج البحث</t>
  </si>
  <si>
    <t>التحرير العربي</t>
  </si>
  <si>
    <t>English(2)</t>
  </si>
  <si>
    <t>التقدير</t>
  </si>
  <si>
    <t xml:space="preserve">مالك إبراهيم درامي </t>
  </si>
  <si>
    <t>إسماعيل موسى انجاي</t>
  </si>
  <si>
    <t>فودي قطبو جابي</t>
  </si>
  <si>
    <t>مالا عبدالله سيدي</t>
  </si>
  <si>
    <t>رابية أمر كمار</t>
  </si>
  <si>
    <t>مارية دمبو توري</t>
  </si>
  <si>
    <t>شيخ الحاج سيسي</t>
  </si>
  <si>
    <t>فاطمة باكر جنم</t>
  </si>
  <si>
    <t xml:space="preserve">محمد سليمان توري </t>
  </si>
  <si>
    <t>فاطمة بافودي جاوارا</t>
  </si>
  <si>
    <t>أبوبكر محمد بارو</t>
  </si>
  <si>
    <t>عبدالله  الحاج دابو</t>
  </si>
  <si>
    <t xml:space="preserve">إبراهيم مودي غماني </t>
  </si>
  <si>
    <t>إبراهيم كرمو جابي</t>
  </si>
  <si>
    <t xml:space="preserve">بونا أبوبكر توري </t>
  </si>
  <si>
    <t>أبوبكر عثمان جيبو</t>
  </si>
  <si>
    <t>الحسن بابند توري</t>
  </si>
  <si>
    <t xml:space="preserve">شيخ جامبا دافي </t>
  </si>
  <si>
    <t>محمد موسى  جانمي</t>
  </si>
  <si>
    <t xml:space="preserve">كرا عبد الله مورو سيلا </t>
  </si>
  <si>
    <t xml:space="preserve">الحسن قاسم ساجو </t>
  </si>
  <si>
    <t>ألاج لمين كمارا</t>
  </si>
  <si>
    <t xml:space="preserve">الحاج مودي ساني </t>
  </si>
  <si>
    <t>ممد بن سليمان انجاي</t>
  </si>
  <si>
    <t>أبوبكر سيدُ سنكو</t>
  </si>
  <si>
    <t xml:space="preserve">أحمد سيدي جالو </t>
  </si>
  <si>
    <t xml:space="preserve">حواء  يعقوب دابو </t>
  </si>
  <si>
    <t>مالا الحسن غسم</t>
  </si>
  <si>
    <t xml:space="preserve">عمر بابا سيسي </t>
  </si>
  <si>
    <t xml:space="preserve">شيخ إبراهيم سيلا </t>
  </si>
  <si>
    <t>آمنة عبدالله باه</t>
  </si>
  <si>
    <t>أبوبكر شيخ توري</t>
  </si>
  <si>
    <t>عائشة عثمان  كبا</t>
  </si>
  <si>
    <t>مامسا محمد كمارا</t>
  </si>
  <si>
    <t xml:space="preserve">فاطمة حج سيلا </t>
  </si>
  <si>
    <t>جنة سيديا كمارا</t>
  </si>
  <si>
    <t>شرنو محمد جالو</t>
  </si>
  <si>
    <t>فاطمة باكر درامي</t>
  </si>
  <si>
    <t xml:space="preserve">الحاج عيسى سيدي </t>
  </si>
  <si>
    <t xml:space="preserve">محمود إبراهيم قونتي </t>
  </si>
  <si>
    <t>أمنة باشيخ جكني</t>
  </si>
  <si>
    <t>إسماعيل بلي دافي</t>
  </si>
  <si>
    <t>الأمين عمر دافي</t>
  </si>
  <si>
    <t>سليمان كانتي جالو</t>
  </si>
  <si>
    <t xml:space="preserve">إبراهيم  دمبو كجابي </t>
  </si>
  <si>
    <t>بولي منمد جات</t>
  </si>
  <si>
    <t>الوزن</t>
  </si>
  <si>
    <t>الرمز</t>
  </si>
  <si>
    <t xml:space="preserve">أ+ </t>
  </si>
  <si>
    <t>ب+</t>
  </si>
  <si>
    <t>ب</t>
  </si>
  <si>
    <t>د+</t>
  </si>
  <si>
    <t>ج</t>
  </si>
  <si>
    <t>أ</t>
  </si>
  <si>
    <t>ج+</t>
  </si>
  <si>
    <t>د</t>
  </si>
  <si>
    <t>ه</t>
  </si>
  <si>
    <t>مجموع النقاط</t>
  </si>
  <si>
    <t>مجموع الساعات</t>
  </si>
  <si>
    <t xml:space="preserve">المعدل الفصلي </t>
  </si>
  <si>
    <t>الترتيب</t>
  </si>
  <si>
    <t xml:space="preserve">ممتاز مرتفع </t>
  </si>
  <si>
    <t xml:space="preserve">ممتاز </t>
  </si>
  <si>
    <t>جيد جد مرتفع</t>
  </si>
  <si>
    <t xml:space="preserve">جيد جدا </t>
  </si>
  <si>
    <t xml:space="preserve">جيد مرتفع </t>
  </si>
  <si>
    <t xml:space="preserve">جيد </t>
  </si>
  <si>
    <t xml:space="preserve">مقبول مرتفع </t>
  </si>
  <si>
    <t>راسب</t>
  </si>
  <si>
    <t>الدرجة</t>
  </si>
  <si>
    <t xml:space="preserve">المعدلة </t>
  </si>
  <si>
    <t xml:space="preserve">رمز المعدلة </t>
  </si>
  <si>
    <t>مقبول</t>
  </si>
  <si>
    <t xml:space="preserve">الساعات ( م ق) </t>
  </si>
  <si>
    <t xml:space="preserve">الوزن ( م ق) </t>
  </si>
  <si>
    <t xml:space="preserve">الرمز ( م ق) </t>
  </si>
  <si>
    <t xml:space="preserve">النقاط ( م ق) </t>
  </si>
  <si>
    <t>الساعات  ( م ت)</t>
  </si>
  <si>
    <t>الوزن ( م ت)</t>
  </si>
  <si>
    <t>النقاط ( م ت)</t>
  </si>
  <si>
    <t>الساعات  ( م ع ح)</t>
  </si>
  <si>
    <t>الوزن   ( م ع ح)</t>
  </si>
  <si>
    <t>الرمز   ( م ع ح)</t>
  </si>
  <si>
    <t>النقاط   ( م ع ح)</t>
  </si>
  <si>
    <t>الساعات  ( م ف)</t>
  </si>
  <si>
    <t>الوزن  ( م ف)</t>
  </si>
  <si>
    <t>الرمز ( م ف)</t>
  </si>
  <si>
    <t>النقاط  ( م ف)</t>
  </si>
  <si>
    <t xml:space="preserve">الساعات ( م ع ق) </t>
  </si>
  <si>
    <t xml:space="preserve">الوزن  ( م ع ق) </t>
  </si>
  <si>
    <t xml:space="preserve">الرمز  ( م ع ق) </t>
  </si>
  <si>
    <t xml:space="preserve">النقاط  ( م ع ق) </t>
  </si>
  <si>
    <t>الساعات ( م تج)</t>
  </si>
  <si>
    <t>الوزن( م تج)</t>
  </si>
  <si>
    <t>الرمز ( م تج)</t>
  </si>
  <si>
    <t>النقاط ( م تج)</t>
  </si>
  <si>
    <t xml:space="preserve">الساعات( م ح ت) </t>
  </si>
  <si>
    <t xml:space="preserve">الوزن ( م ح ت) </t>
  </si>
  <si>
    <t xml:space="preserve">الرمز ( م ح ت) </t>
  </si>
  <si>
    <t xml:space="preserve">النقاط ( م ح ت) </t>
  </si>
  <si>
    <t>الساعات ( م ن)</t>
  </si>
  <si>
    <t>الوزن ( م ن)</t>
  </si>
  <si>
    <t>الرمز ( م ن)</t>
  </si>
  <si>
    <t>النقاط ( م ن)</t>
  </si>
  <si>
    <t>الساعات  (م ت س)</t>
  </si>
  <si>
    <t>تاريخ السنة   (م ت س)</t>
  </si>
  <si>
    <t>الوزن   (م ت س)</t>
  </si>
  <si>
    <t>الرمز   (م ت س)</t>
  </si>
  <si>
    <t>النقاط   (م ت س)</t>
  </si>
  <si>
    <t>الساعات  ( م ب)</t>
  </si>
  <si>
    <t>الوزن ( م ب)</t>
  </si>
  <si>
    <t>الرمز ( م ب)</t>
  </si>
  <si>
    <t>النقاط ( م ب)</t>
  </si>
  <si>
    <t xml:space="preserve">الساعات ( م ت) </t>
  </si>
  <si>
    <t xml:space="preserve">الوزن  ( م ت) </t>
  </si>
  <si>
    <t xml:space="preserve">الرمز  ( م ت) </t>
  </si>
  <si>
    <t xml:space="preserve">النقاط  ( م ت) </t>
  </si>
  <si>
    <t xml:space="preserve">الساعات ( م ENG) </t>
  </si>
  <si>
    <t xml:space="preserve">الوزن ( م ENG) </t>
  </si>
  <si>
    <t xml:space="preserve">الرمز ( م ENG) </t>
  </si>
  <si>
    <t xml:space="preserve">النقاط ( م ENG) </t>
  </si>
  <si>
    <t>الرقم الجامعي</t>
  </si>
  <si>
    <t>اسم الطالب/ ة</t>
  </si>
  <si>
    <t xml:space="preserve">الكلية </t>
  </si>
  <si>
    <t>الحـــــديــــث</t>
  </si>
  <si>
    <t xml:space="preserve">المستوى </t>
  </si>
  <si>
    <t>م</t>
  </si>
  <si>
    <t>الفصل الأول/ 2025-2026</t>
  </si>
  <si>
    <t>المقرر</t>
  </si>
  <si>
    <t xml:space="preserve">الدرجة النهائة </t>
  </si>
  <si>
    <t>النقاط</t>
  </si>
  <si>
    <t xml:space="preserve">اسمه </t>
  </si>
  <si>
    <t xml:space="preserve">رمزه </t>
  </si>
  <si>
    <t>ساعته</t>
  </si>
  <si>
    <t>وزنه</t>
  </si>
  <si>
    <t>رمزه</t>
  </si>
  <si>
    <t>المجموع</t>
  </si>
  <si>
    <t>المعدل الفصلي</t>
  </si>
  <si>
    <t xml:space="preserve">المعدل التراكمي </t>
  </si>
  <si>
    <t xml:space="preserve">التقدير </t>
  </si>
  <si>
    <t xml:space="preserve">الترتيب </t>
  </si>
  <si>
    <t>تاريخ السنة</t>
  </si>
  <si>
    <t>الأول</t>
  </si>
  <si>
    <t>قرأ 101</t>
  </si>
  <si>
    <t>عقد 101</t>
  </si>
  <si>
    <t xml:space="preserve">العقيدة </t>
  </si>
  <si>
    <t>سنة 101</t>
  </si>
  <si>
    <t>فقه 101</t>
  </si>
  <si>
    <t>لغة 101</t>
  </si>
  <si>
    <t xml:space="preserve">ترب 101 </t>
  </si>
  <si>
    <t>لغة101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</si>
</sst>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l Qabas Bold"/>
      <charset val="178"/>
    </font>
    <font>
      <b/>
      <sz val="14"/>
      <color theme="1"/>
      <name val="Sakkal Majalla"/>
    </font>
    <font>
      <b/>
      <sz val="14"/>
      <color theme="1"/>
      <name val="Calibri"/>
      <family val="2"/>
      <scheme val="minor"/>
    </font>
    <font>
      <b/>
      <sz val="18"/>
      <color theme="1"/>
      <name val="Traditional Arabic"/>
      <family val="1"/>
    </font>
    <font>
      <b/>
      <sz val="11"/>
      <color theme="1"/>
      <name val="Lemonada SemiBold"/>
    </font>
    <font>
      <b/>
      <sz val="14"/>
      <color rgb="FF0000CC"/>
      <name val="Calibri"/>
      <family val="2"/>
      <scheme val="minor"/>
    </font>
    <font>
      <b/>
      <sz val="14"/>
      <color rgb="FFFF3300"/>
      <name val="Calibri"/>
      <family val="2"/>
      <scheme val="minor"/>
    </font>
    <font>
      <b/>
      <sz val="14"/>
      <color rgb="FF003300"/>
      <name val="Calibri"/>
      <family val="2"/>
      <scheme val="minor"/>
    </font>
    <font>
      <b/>
      <sz val="8"/>
      <name val="Lemonada SemiBold"/>
    </font>
    <font>
      <b/>
      <sz val="11"/>
      <name val="Lemonada SemiBold"/>
    </font>
    <font>
      <b/>
      <sz val="20"/>
      <color theme="1"/>
      <name val="Sakkal Majalla"/>
    </font>
    <font>
      <sz val="18"/>
      <color theme="1"/>
      <name val="Calibri"/>
      <family val="2"/>
      <scheme val="minor"/>
    </font>
    <font>
      <b/>
      <sz val="11"/>
      <color theme="0"/>
      <name val="Lemonada Medium"/>
    </font>
    <font>
      <b/>
      <sz val="22"/>
      <color theme="0"/>
      <name val="Calibri Light"/>
      <family val="1"/>
      <scheme val="major"/>
    </font>
    <font>
      <b/>
      <sz val="16"/>
      <color theme="0"/>
      <name val="Simplified Arabic"/>
      <family val="1"/>
    </font>
    <font>
      <b/>
      <sz val="20"/>
      <color theme="0"/>
      <name val="Aharoni"/>
      <charset val="177"/>
    </font>
    <font>
      <b/>
      <sz val="12"/>
      <color theme="0"/>
      <name val="Lemonada Medium"/>
    </font>
    <font>
      <b/>
      <sz val="18"/>
      <color theme="1"/>
      <name val="Calibri"/>
      <family val="2"/>
      <scheme val="minor"/>
    </font>
    <font>
      <b/>
      <sz val="14"/>
      <name val="Al Qabas Bold"/>
      <charset val="178"/>
    </font>
    <font>
      <b/>
      <sz val="20"/>
      <name val="Al-Mohanad Bold"/>
      <family val="1"/>
    </font>
    <font>
      <b/>
      <sz val="18"/>
      <name val="Al-Mohanad Bold"/>
      <family val="1"/>
    </font>
    <font>
      <b/>
      <sz val="16"/>
      <name val="Al-Mohanad Bold"/>
      <family val="1"/>
    </font>
    <font>
      <b/>
      <sz val="11"/>
      <color theme="1"/>
      <name val="Al Qabas Bold"/>
      <charset val="178"/>
    </font>
    <font>
      <b/>
      <sz val="16"/>
      <color theme="1"/>
      <name val="Calibri"/>
      <family val="2"/>
      <scheme val="minor"/>
    </font>
    <font>
      <b/>
      <sz val="18"/>
      <color rgb="FFC00000"/>
      <name val="Sakkal Majalla"/>
    </font>
    <font>
      <sz val="20"/>
      <name val="Calibri Light"/>
      <family val="1"/>
      <scheme val="major"/>
    </font>
    <font>
      <b/>
      <sz val="20"/>
      <name val="Microsoft Uighur"/>
    </font>
    <font>
      <sz val="16"/>
      <name val="Calibri Light"/>
      <family val="1"/>
      <scheme val="major"/>
    </font>
    <font>
      <b/>
      <sz val="22"/>
      <name val="Microsoft Uighur"/>
    </font>
    <font>
      <b/>
      <sz val="20"/>
      <name val="Calibri Light"/>
      <family val="1"/>
      <scheme val="major"/>
    </font>
    <font>
      <b/>
      <sz val="20"/>
      <color rgb="FFC00000"/>
      <name val="Sakkal Majalla"/>
    </font>
    <font>
      <b/>
      <sz val="16"/>
      <color rgb="FFC00000"/>
      <name val="Sakkal Majalla"/>
    </font>
    <font>
      <b/>
      <sz val="22"/>
      <color rgb="FFC00000"/>
      <name val="Sakkal Majalla"/>
    </font>
    <font>
      <sz val="14"/>
      <name val="Al Qabas Bold"/>
      <charset val="178"/>
    </font>
    <font>
      <b/>
      <sz val="18"/>
      <color rgb="FFC00000"/>
      <name val="Rubik Black"/>
    </font>
    <font>
      <b/>
      <sz val="20"/>
      <color rgb="FF0000CC"/>
      <name val="Rubik Black"/>
    </font>
    <font>
      <b/>
      <sz val="16"/>
      <name val="Al Qabas Bold"/>
      <charset val="178"/>
    </font>
  </fonts>
  <fills count="1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 tint="-0.89999084444715716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CC33"/>
      </left>
      <right/>
      <top style="thin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thin">
        <color rgb="FF33CC33"/>
      </bottom>
      <diagonal/>
    </border>
    <border>
      <left/>
      <right style="thin">
        <color rgb="FF33CC33"/>
      </right>
      <top style="thin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medium">
        <color indexed="64"/>
      </bottom>
      <diagonal/>
    </border>
    <border>
      <left/>
      <right style="thin">
        <color rgb="FF33CC33"/>
      </right>
      <top style="thin">
        <color rgb="FF33CC33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/>
      <diagonal/>
    </border>
    <border>
      <left/>
      <right/>
      <top style="thin">
        <color rgb="FF33CC3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33CC33"/>
      </top>
      <bottom style="thin">
        <color rgb="FF33CC33"/>
      </bottom>
      <diagonal/>
    </border>
    <border>
      <left/>
      <right style="medium">
        <color indexed="64"/>
      </right>
      <top style="thin">
        <color rgb="FF33CC33"/>
      </top>
      <bottom style="thin">
        <color rgb="FF33CC33"/>
      </bottom>
      <diagonal/>
    </border>
    <border>
      <left style="medium">
        <color indexed="64"/>
      </left>
      <right/>
      <top style="thin">
        <color rgb="FF33CC33"/>
      </top>
      <bottom style="medium">
        <color indexed="64"/>
      </bottom>
      <diagonal/>
    </border>
    <border>
      <left/>
      <right style="medium">
        <color indexed="64"/>
      </right>
      <top style="thin">
        <color rgb="FF33CC33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vertical="center" textRotation="90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2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textRotation="90" shrinkToFi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textRotation="90" shrinkToFi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22" fillId="8" borderId="18" xfId="0" applyFont="1" applyFill="1" applyBorder="1" applyAlignment="1">
      <alignment vertical="center"/>
    </xf>
    <xf numFmtId="0" fontId="24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8" fillId="9" borderId="19" xfId="0" applyFont="1" applyFill="1" applyBorder="1" applyAlignment="1">
      <alignment horizontal="center" vertical="center"/>
    </xf>
    <xf numFmtId="0" fontId="28" fillId="8" borderId="19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28" fillId="9" borderId="24" xfId="0" applyFont="1" applyFill="1" applyBorder="1" applyAlignment="1">
      <alignment horizontal="center" vertical="center"/>
    </xf>
    <xf numFmtId="0" fontId="32" fillId="10" borderId="24" xfId="0" applyFont="1" applyFill="1" applyBorder="1" applyAlignment="1">
      <alignment horizontal="center" vertical="center"/>
    </xf>
    <xf numFmtId="0" fontId="28" fillId="8" borderId="24" xfId="0" applyFont="1" applyFill="1" applyBorder="1" applyAlignment="1">
      <alignment horizontal="center" vertical="center"/>
    </xf>
    <xf numFmtId="0" fontId="29" fillId="5" borderId="24" xfId="0" applyFont="1" applyFill="1" applyBorder="1" applyAlignment="1">
      <alignment horizontal="center" vertical="center"/>
    </xf>
    <xf numFmtId="0" fontId="33" fillId="11" borderId="29" xfId="0" applyFont="1" applyFill="1" applyBorder="1" applyAlignment="1">
      <alignment horizontal="center" vertical="top"/>
    </xf>
    <xf numFmtId="0" fontId="27" fillId="11" borderId="27" xfId="0" applyFont="1" applyFill="1" applyBorder="1" applyAlignment="1">
      <alignment vertical="top"/>
    </xf>
    <xf numFmtId="2" fontId="33" fillId="11" borderId="30" xfId="0" applyNumberFormat="1" applyFont="1" applyFill="1" applyBorder="1" applyAlignment="1">
      <alignment horizontal="center" vertical="top"/>
    </xf>
    <xf numFmtId="0" fontId="27" fillId="11" borderId="1" xfId="0" applyFont="1" applyFill="1" applyBorder="1" applyAlignment="1">
      <alignment horizontal="right" vertical="top"/>
    </xf>
    <xf numFmtId="0" fontId="27" fillId="11" borderId="34" xfId="0" applyFont="1" applyFill="1" applyBorder="1" applyAlignment="1">
      <alignment horizontal="right" vertical="top"/>
    </xf>
    <xf numFmtId="0" fontId="34" fillId="0" borderId="22" xfId="0" applyFont="1" applyBorder="1" applyAlignment="1">
      <alignment horizontal="right" vertical="top" shrinkToFit="1"/>
    </xf>
    <xf numFmtId="0" fontId="34" fillId="0" borderId="14" xfId="0" applyFont="1" applyBorder="1" applyAlignment="1">
      <alignment horizontal="right" vertical="top" shrinkToFit="1"/>
    </xf>
    <xf numFmtId="0" fontId="34" fillId="0" borderId="23" xfId="0" applyFont="1" applyBorder="1" applyAlignment="1">
      <alignment horizontal="right" vertical="top" shrinkToFit="1"/>
    </xf>
    <xf numFmtId="0" fontId="0" fillId="0" borderId="26" xfId="0" applyBorder="1"/>
    <xf numFmtId="0" fontId="0" fillId="0" borderId="2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34" fillId="0" borderId="22" xfId="0" applyFont="1" applyBorder="1" applyAlignment="1">
      <alignment horizontal="center" vertical="center" shrinkToFit="1"/>
    </xf>
    <xf numFmtId="0" fontId="32" fillId="10" borderId="19" xfId="0" applyFont="1" applyFill="1" applyBorder="1" applyAlignment="1">
      <alignment horizontal="center" vertical="center"/>
    </xf>
    <xf numFmtId="164" fontId="28" fillId="6" borderId="20" xfId="0" applyNumberFormat="1" applyFont="1" applyFill="1" applyBorder="1" applyAlignment="1">
      <alignment horizontal="center" vertical="center"/>
    </xf>
    <xf numFmtId="164" fontId="28" fillId="6" borderId="25" xfId="0" applyNumberFormat="1" applyFont="1" applyFill="1" applyBorder="1" applyAlignment="1">
      <alignment horizontal="center" vertical="center"/>
    </xf>
    <xf numFmtId="0" fontId="27" fillId="11" borderId="33" xfId="0" applyFont="1" applyFill="1" applyBorder="1" applyAlignment="1">
      <alignment horizontal="center" vertical="top"/>
    </xf>
    <xf numFmtId="0" fontId="27" fillId="11" borderId="34" xfId="0" applyFont="1" applyFill="1" applyBorder="1" applyAlignment="1">
      <alignment horizontal="center" vertical="top"/>
    </xf>
    <xf numFmtId="0" fontId="35" fillId="11" borderId="35" xfId="0" applyFont="1" applyFill="1" applyBorder="1" applyAlignment="1">
      <alignment horizontal="center" vertical="center"/>
    </xf>
    <xf numFmtId="0" fontId="35" fillId="11" borderId="36" xfId="0" applyFont="1" applyFill="1" applyBorder="1" applyAlignment="1">
      <alignment horizontal="center" vertical="center"/>
    </xf>
    <xf numFmtId="0" fontId="35" fillId="11" borderId="37" xfId="0" applyFont="1" applyFill="1" applyBorder="1" applyAlignment="1">
      <alignment horizontal="center" vertical="center"/>
    </xf>
    <xf numFmtId="2" fontId="39" fillId="11" borderId="31" xfId="0" applyNumberFormat="1" applyFont="1" applyFill="1" applyBorder="1" applyAlignment="1">
      <alignment horizontal="center" vertical="center"/>
    </xf>
    <xf numFmtId="2" fontId="39" fillId="11" borderId="13" xfId="0" applyNumberFormat="1" applyFont="1" applyFill="1" applyBorder="1" applyAlignment="1">
      <alignment horizontal="center" vertical="center"/>
    </xf>
    <xf numFmtId="2" fontId="39" fillId="11" borderId="32" xfId="0" applyNumberFormat="1" applyFont="1" applyFill="1" applyBorder="1" applyAlignment="1">
      <alignment horizontal="center" vertical="center"/>
    </xf>
    <xf numFmtId="2" fontId="37" fillId="11" borderId="31" xfId="0" applyNumberFormat="1" applyFont="1" applyFill="1" applyBorder="1" applyAlignment="1">
      <alignment horizontal="center" vertical="center"/>
    </xf>
    <xf numFmtId="2" fontId="37" fillId="11" borderId="13" xfId="0" applyNumberFormat="1" applyFont="1" applyFill="1" applyBorder="1" applyAlignment="1">
      <alignment horizontal="center" vertical="center"/>
    </xf>
    <xf numFmtId="2" fontId="37" fillId="11" borderId="32" xfId="0" applyNumberFormat="1" applyFont="1" applyFill="1" applyBorder="1" applyAlignment="1">
      <alignment horizontal="center" vertical="center"/>
    </xf>
    <xf numFmtId="2" fontId="38" fillId="11" borderId="31" xfId="0" applyNumberFormat="1" applyFont="1" applyFill="1" applyBorder="1" applyAlignment="1">
      <alignment horizontal="center" vertical="center"/>
    </xf>
    <xf numFmtId="2" fontId="38" fillId="11" borderId="13" xfId="0" applyNumberFormat="1" applyFont="1" applyFill="1" applyBorder="1" applyAlignment="1">
      <alignment horizontal="center" vertical="center"/>
    </xf>
    <xf numFmtId="2" fontId="38" fillId="11" borderId="32" xfId="0" applyNumberFormat="1" applyFont="1" applyFill="1" applyBorder="1" applyAlignment="1">
      <alignment horizontal="center" vertical="center"/>
    </xf>
    <xf numFmtId="0" fontId="27" fillId="11" borderId="26" xfId="0" applyFont="1" applyFill="1" applyBorder="1" applyAlignment="1">
      <alignment horizontal="center" vertical="top"/>
    </xf>
    <xf numFmtId="0" fontId="27" fillId="11" borderId="27" xfId="0" applyFont="1" applyFill="1" applyBorder="1" applyAlignment="1">
      <alignment horizontal="center" vertical="top"/>
    </xf>
    <xf numFmtId="0" fontId="27" fillId="11" borderId="28" xfId="0" applyFont="1" applyFill="1" applyBorder="1" applyAlignment="1">
      <alignment horizontal="center" vertical="top"/>
    </xf>
    <xf numFmtId="0" fontId="27" fillId="11" borderId="21" xfId="0" applyFont="1" applyFill="1" applyBorder="1" applyAlignment="1">
      <alignment horizontal="center" vertical="top"/>
    </xf>
    <xf numFmtId="0" fontId="27" fillId="11" borderId="1" xfId="0" applyFont="1" applyFill="1" applyBorder="1" applyAlignment="1">
      <alignment horizontal="center" vertical="top"/>
    </xf>
    <xf numFmtId="0" fontId="15" fillId="12" borderId="43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5" fillId="12" borderId="8" xfId="0" applyFont="1" applyFill="1" applyBorder="1" applyAlignment="1">
      <alignment horizontal="center" vertical="center"/>
    </xf>
    <xf numFmtId="0" fontId="15" fillId="12" borderId="44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36" fillId="8" borderId="15" xfId="0" applyFont="1" applyFill="1" applyBorder="1" applyAlignment="1">
      <alignment horizontal="center" vertical="center" wrapText="1"/>
    </xf>
    <xf numFmtId="0" fontId="36" fillId="8" borderId="19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23" fillId="8" borderId="20" xfId="0" applyFont="1" applyFill="1" applyBorder="1" applyAlignment="1">
      <alignment horizontal="center" vertical="center"/>
    </xf>
    <xf numFmtId="0" fontId="15" fillId="12" borderId="41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2" borderId="4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7" fillId="12" borderId="4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27</xdr:row>
      <xdr:rowOff>381000</xdr:rowOff>
    </xdr:from>
    <xdr:to>
      <xdr:col>7</xdr:col>
      <xdr:colOff>480060</xdr:colOff>
      <xdr:row>30</xdr:row>
      <xdr:rowOff>152400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BC1211D7-6F5B-4A62-AAEE-99171ACDFE6B}"/>
            </a:ext>
          </a:extLst>
        </xdr:cNvPr>
        <xdr:cNvSpPr txBox="1"/>
      </xdr:nvSpPr>
      <xdr:spPr>
        <a:xfrm>
          <a:off x="11230866540" y="8328660"/>
          <a:ext cx="166878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الامتحانات 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7</xdr:col>
      <xdr:colOff>632460</xdr:colOff>
      <xdr:row>4</xdr:row>
      <xdr:rowOff>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F0BC1886-E3DC-4CDC-B9B9-E24BCEAB00BC}"/>
            </a:ext>
          </a:extLst>
        </xdr:cNvPr>
        <xdr:cNvSpPr txBox="1"/>
      </xdr:nvSpPr>
      <xdr:spPr>
        <a:xfrm>
          <a:off x="11230714140" y="7620"/>
          <a:ext cx="6134100" cy="693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400" b="1">
              <a:solidFill>
                <a:schemeClr val="bg1"/>
              </a:solidFill>
            </a:rPr>
            <a:t>                                                      </a:t>
          </a:r>
          <a:endParaRPr lang="ar-SA" sz="2400" b="1">
            <a:solidFill>
              <a:schemeClr val="bg1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29</xdr:row>
      <xdr:rowOff>7620</xdr:rowOff>
    </xdr:from>
    <xdr:to>
      <xdr:col>1</xdr:col>
      <xdr:colOff>1264920</xdr:colOff>
      <xdr:row>31</xdr:row>
      <xdr:rowOff>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A6C6480A-6C72-48AA-96A8-10DCC4137925}"/>
            </a:ext>
          </a:extLst>
        </xdr:cNvPr>
        <xdr:cNvSpPr txBox="1"/>
      </xdr:nvSpPr>
      <xdr:spPr>
        <a:xfrm>
          <a:off x="11235095640" y="8343900"/>
          <a:ext cx="19507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الجامعة  </a:t>
          </a:r>
        </a:p>
      </xdr:txBody>
    </xdr:sp>
    <xdr:clientData/>
  </xdr:twoCellAnchor>
  <xdr:twoCellAnchor>
    <xdr:from>
      <xdr:col>1</xdr:col>
      <xdr:colOff>1531620</xdr:colOff>
      <xdr:row>29</xdr:row>
      <xdr:rowOff>38100</xdr:rowOff>
    </xdr:from>
    <xdr:to>
      <xdr:col>4</xdr:col>
      <xdr:colOff>594360</xdr:colOff>
      <xdr:row>31</xdr:row>
      <xdr:rowOff>38100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69D31BD3-41F7-45F0-9642-DBE33046809C}"/>
            </a:ext>
          </a:extLst>
        </xdr:cNvPr>
        <xdr:cNvSpPr txBox="1"/>
      </xdr:nvSpPr>
      <xdr:spPr>
        <a:xfrm>
          <a:off x="11232809640" y="8374380"/>
          <a:ext cx="201930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الختم</a:t>
          </a:r>
          <a:r>
            <a:rPr lang="ar-SA" sz="1200" b="1" kern="1200" baseline="0"/>
            <a:t> الرسمي </a:t>
          </a:r>
          <a:endParaRPr lang="ar-SA" sz="1200" b="1" kern="1200"/>
        </a:p>
      </xdr:txBody>
    </xdr:sp>
    <xdr:clientData/>
  </xdr:twoCellAnchor>
  <xdr:twoCellAnchor>
    <xdr:from>
      <xdr:col>0</xdr:col>
      <xdr:colOff>365760</xdr:colOff>
      <xdr:row>1</xdr:row>
      <xdr:rowOff>91440</xdr:rowOff>
    </xdr:from>
    <xdr:to>
      <xdr:col>2</xdr:col>
      <xdr:colOff>441960</xdr:colOff>
      <xdr:row>3</xdr:row>
      <xdr:rowOff>76200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F42509F7-7085-58E5-EFD2-25D65967E3CA}"/>
            </a:ext>
          </a:extLst>
        </xdr:cNvPr>
        <xdr:cNvSpPr/>
      </xdr:nvSpPr>
      <xdr:spPr>
        <a:xfrm>
          <a:off x="11234303160" y="26670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 b="1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كلية</a:t>
          </a:r>
          <a:r>
            <a:rPr lang="ar-SA" sz="1600" b="1" baseline="0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 الحديث الشريف  </a:t>
          </a:r>
          <a:endParaRPr lang="ar-SA" sz="1600" b="1">
            <a:solidFill>
              <a:srgbClr val="002060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62b4eddd2095285/Desktop/&#1575;&#1604;&#1578;&#1585;&#1575;&#1603;&#1605;&#1610;/&#1575;&#1604;&#1601;&#1608;&#1580;%20&#1575;&#1604;&#1571;&#1608;&#1604;%20%2020226&#1581;&#1583;&#1610;&#1579;.xlsx" TargetMode="External"/><Relationship Id="rId1" Type="http://schemas.openxmlformats.org/officeDocument/2006/relationships/externalLinkPath" Target="&#1575;&#1604;&#1601;&#1608;&#1580;%20&#1575;&#1604;&#1571;&#1608;&#1604;%20%2020226&#1581;&#1583;&#1610;&#15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ستوى الأول 2022"/>
      <sheetName val="المستوى الثاني 2023"/>
      <sheetName val="المستوى الثالث ح"/>
      <sheetName val="المستوى الرابع"/>
      <sheetName val="المستوى الخامس"/>
      <sheetName val="كسف الطلبة "/>
      <sheetName val="المرجع"/>
      <sheetName val="ورقة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الدرجة</v>
          </cell>
          <cell r="C3" t="str">
            <v>الوزن</v>
          </cell>
          <cell r="D3" t="str">
            <v xml:space="preserve">المعدلة </v>
          </cell>
          <cell r="E3" t="str">
            <v xml:space="preserve">رمز المعدلة </v>
          </cell>
        </row>
        <row r="4">
          <cell r="B4">
            <v>0</v>
          </cell>
          <cell r="C4">
            <v>0</v>
          </cell>
          <cell r="D4">
            <v>0</v>
          </cell>
          <cell r="E4" t="str">
            <v>ه</v>
          </cell>
        </row>
        <row r="5">
          <cell r="B5">
            <v>50</v>
          </cell>
          <cell r="C5">
            <v>2</v>
          </cell>
          <cell r="D5">
            <v>2</v>
          </cell>
          <cell r="E5" t="str">
            <v>د</v>
          </cell>
        </row>
        <row r="6">
          <cell r="B6">
            <v>65</v>
          </cell>
          <cell r="C6">
            <v>2.5</v>
          </cell>
          <cell r="D6">
            <v>2.1</v>
          </cell>
          <cell r="E6" t="str">
            <v>د+</v>
          </cell>
        </row>
        <row r="7">
          <cell r="B7">
            <v>70</v>
          </cell>
          <cell r="C7">
            <v>3</v>
          </cell>
          <cell r="D7">
            <v>2.6</v>
          </cell>
          <cell r="E7" t="str">
            <v>ج</v>
          </cell>
        </row>
        <row r="8">
          <cell r="B8">
            <v>75</v>
          </cell>
          <cell r="C8">
            <v>3.5</v>
          </cell>
          <cell r="D8">
            <v>3.1</v>
          </cell>
          <cell r="E8" t="str">
            <v>ج+</v>
          </cell>
        </row>
        <row r="9">
          <cell r="B9">
            <v>80</v>
          </cell>
          <cell r="C9">
            <v>4</v>
          </cell>
          <cell r="D9">
            <v>3.6</v>
          </cell>
          <cell r="E9" t="str">
            <v>ب</v>
          </cell>
        </row>
        <row r="10">
          <cell r="B10">
            <v>85</v>
          </cell>
          <cell r="C10">
            <v>4.5</v>
          </cell>
          <cell r="D10">
            <v>4.0999999999999996</v>
          </cell>
          <cell r="E10" t="str">
            <v>ب+</v>
          </cell>
        </row>
        <row r="11">
          <cell r="B11">
            <v>90</v>
          </cell>
          <cell r="C11">
            <v>4.75</v>
          </cell>
          <cell r="D11">
            <v>4.5999999999999996</v>
          </cell>
          <cell r="E11" t="str">
            <v>أ</v>
          </cell>
        </row>
        <row r="12">
          <cell r="B12">
            <v>95</v>
          </cell>
          <cell r="C12">
            <v>5</v>
          </cell>
          <cell r="D12">
            <v>4.76</v>
          </cell>
          <cell r="E12" t="str">
            <v xml:space="preserve">أ+ 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BO107"/>
  <sheetViews>
    <sheetView rightToLeft="1" workbookViewId="0">
      <selection activeCell="T56" sqref="T56"/>
    </sheetView>
  </sheetViews>
  <sheetFormatPr defaultRowHeight="18.5"/>
  <cols>
    <col min="2" max="2" width="24" style="1" bestFit="1" customWidth="1"/>
    <col min="3" max="3" width="4.36328125" style="1" customWidth="1"/>
    <col min="4" max="4" width="4.90625" customWidth="1"/>
    <col min="5" max="5" width="5.6328125" bestFit="1" customWidth="1"/>
    <col min="6" max="6" width="4.81640625" bestFit="1" customWidth="1"/>
    <col min="7" max="7" width="6.26953125" bestFit="1" customWidth="1"/>
    <col min="8" max="8" width="3.26953125" bestFit="1" customWidth="1"/>
    <col min="9" max="9" width="4.81640625" customWidth="1"/>
    <col min="10" max="10" width="5.6328125" bestFit="1" customWidth="1"/>
    <col min="11" max="13" width="4.81640625" customWidth="1"/>
    <col min="14" max="14" width="3.90625" bestFit="1" customWidth="1"/>
    <col min="15" max="15" width="5.6328125" bestFit="1" customWidth="1"/>
    <col min="16" max="16" width="4.81640625" bestFit="1" customWidth="1"/>
    <col min="17" max="17" width="6.26953125" bestFit="1" customWidth="1"/>
    <col min="18" max="18" width="3.26953125" bestFit="1" customWidth="1"/>
    <col min="19" max="19" width="3.90625" bestFit="1" customWidth="1"/>
    <col min="20" max="20" width="5.6328125" bestFit="1" customWidth="1"/>
    <col min="21" max="23" width="3.90625" customWidth="1"/>
    <col min="24" max="24" width="4.90625" bestFit="1" customWidth="1"/>
    <col min="25" max="25" width="5.6328125" bestFit="1" customWidth="1"/>
    <col min="26" max="26" width="4.81640625" bestFit="1" customWidth="1"/>
    <col min="27" max="27" width="6.26953125" bestFit="1" customWidth="1"/>
    <col min="28" max="28" width="3.26953125" bestFit="1" customWidth="1"/>
    <col min="29" max="29" width="3.90625" bestFit="1" customWidth="1"/>
    <col min="30" max="30" width="5.6328125" bestFit="1" customWidth="1"/>
    <col min="31" max="31" width="4.81640625" bestFit="1" customWidth="1"/>
    <col min="32" max="32" width="6.26953125" bestFit="1" customWidth="1"/>
    <col min="33" max="33" width="3.26953125" bestFit="1" customWidth="1"/>
    <col min="34" max="34" width="3.90625" bestFit="1" customWidth="1"/>
    <col min="35" max="35" width="5.6328125" bestFit="1" customWidth="1"/>
    <col min="36" max="36" width="4.81640625" bestFit="1" customWidth="1"/>
    <col min="37" max="37" width="6.26953125" bestFit="1" customWidth="1"/>
    <col min="38" max="38" width="3.26953125" bestFit="1" customWidth="1"/>
    <col min="39" max="39" width="3.90625" bestFit="1" customWidth="1"/>
    <col min="40" max="40" width="5.6328125" bestFit="1" customWidth="1"/>
    <col min="41" max="41" width="4.81640625" bestFit="1" customWidth="1"/>
    <col min="42" max="42" width="5" bestFit="1" customWidth="1"/>
    <col min="43" max="43" width="3.26953125" bestFit="1" customWidth="1"/>
    <col min="44" max="44" width="3.90625" bestFit="1" customWidth="1"/>
    <col min="45" max="45" width="5.6328125" customWidth="1"/>
    <col min="46" max="46" width="4.81640625" bestFit="1" customWidth="1"/>
    <col min="47" max="47" width="5" bestFit="1" customWidth="1"/>
    <col min="48" max="48" width="3.26953125" bestFit="1" customWidth="1"/>
    <col min="49" max="49" width="3.90625" bestFit="1" customWidth="1"/>
    <col min="50" max="50" width="5.6328125" bestFit="1" customWidth="1"/>
    <col min="51" max="51" width="4.81640625" bestFit="1" customWidth="1"/>
    <col min="52" max="52" width="5" bestFit="1" customWidth="1"/>
    <col min="53" max="53" width="3.26953125" bestFit="1" customWidth="1"/>
    <col min="54" max="54" width="3.90625" bestFit="1" customWidth="1"/>
    <col min="55" max="55" width="5.6328125" bestFit="1" customWidth="1"/>
    <col min="56" max="56" width="4.81640625" bestFit="1" customWidth="1"/>
    <col min="57" max="57" width="5" bestFit="1" customWidth="1"/>
    <col min="58" max="58" width="3.26953125" bestFit="1" customWidth="1"/>
    <col min="59" max="59" width="3.90625" bestFit="1" customWidth="1"/>
    <col min="60" max="60" width="5.6328125" bestFit="1" customWidth="1"/>
    <col min="61" max="61" width="4.81640625" bestFit="1" customWidth="1"/>
    <col min="62" max="62" width="6.26953125" bestFit="1" customWidth="1"/>
    <col min="66" max="66" width="11.36328125" customWidth="1"/>
  </cols>
  <sheetData>
    <row r="2" spans="1:67" s="4" customFormat="1" ht="138">
      <c r="A2" s="3" t="s">
        <v>0</v>
      </c>
      <c r="B2" s="3" t="s">
        <v>1</v>
      </c>
      <c r="C2" s="6" t="s">
        <v>87</v>
      </c>
      <c r="D2" s="3" t="s">
        <v>2</v>
      </c>
      <c r="E2" s="8" t="s">
        <v>88</v>
      </c>
      <c r="F2" s="9" t="s">
        <v>89</v>
      </c>
      <c r="G2" s="10" t="s">
        <v>90</v>
      </c>
      <c r="H2" s="6" t="s">
        <v>91</v>
      </c>
      <c r="I2" s="3" t="s">
        <v>3</v>
      </c>
      <c r="J2" s="8" t="s">
        <v>92</v>
      </c>
      <c r="K2" s="9" t="s">
        <v>61</v>
      </c>
      <c r="L2" s="10" t="s">
        <v>93</v>
      </c>
      <c r="M2" s="6" t="s">
        <v>94</v>
      </c>
      <c r="N2" s="3" t="s">
        <v>4</v>
      </c>
      <c r="O2" s="8" t="s">
        <v>95</v>
      </c>
      <c r="P2" s="9" t="s">
        <v>96</v>
      </c>
      <c r="Q2" s="10" t="s">
        <v>97</v>
      </c>
      <c r="R2" s="6" t="s">
        <v>98</v>
      </c>
      <c r="S2" s="3" t="s">
        <v>5</v>
      </c>
      <c r="T2" s="8" t="s">
        <v>99</v>
      </c>
      <c r="U2" s="9" t="s">
        <v>100</v>
      </c>
      <c r="V2" s="10" t="s">
        <v>101</v>
      </c>
      <c r="W2" s="6" t="s">
        <v>102</v>
      </c>
      <c r="X2" s="3" t="s">
        <v>6</v>
      </c>
      <c r="Y2" s="8" t="s">
        <v>103</v>
      </c>
      <c r="Z2" s="9" t="s">
        <v>104</v>
      </c>
      <c r="AA2" s="10" t="s">
        <v>105</v>
      </c>
      <c r="AB2" s="6" t="s">
        <v>106</v>
      </c>
      <c r="AC2" s="3" t="s">
        <v>7</v>
      </c>
      <c r="AD2" s="8" t="s">
        <v>107</v>
      </c>
      <c r="AE2" s="9" t="s">
        <v>108</v>
      </c>
      <c r="AF2" s="10" t="s">
        <v>109</v>
      </c>
      <c r="AG2" s="6" t="s">
        <v>110</v>
      </c>
      <c r="AH2" s="3" t="s">
        <v>8</v>
      </c>
      <c r="AI2" s="8" t="s">
        <v>111</v>
      </c>
      <c r="AJ2" s="9" t="s">
        <v>112</v>
      </c>
      <c r="AK2" s="10" t="s">
        <v>113</v>
      </c>
      <c r="AL2" s="6" t="s">
        <v>114</v>
      </c>
      <c r="AM2" s="3" t="s">
        <v>9</v>
      </c>
      <c r="AN2" s="8" t="s">
        <v>115</v>
      </c>
      <c r="AO2" s="9" t="s">
        <v>116</v>
      </c>
      <c r="AP2" s="10" t="s">
        <v>117</v>
      </c>
      <c r="AQ2" s="6" t="s">
        <v>118</v>
      </c>
      <c r="AR2" s="3" t="s">
        <v>119</v>
      </c>
      <c r="AS2" s="8" t="s">
        <v>120</v>
      </c>
      <c r="AT2" s="9" t="s">
        <v>121</v>
      </c>
      <c r="AU2" s="10" t="s">
        <v>122</v>
      </c>
      <c r="AV2" s="6" t="s">
        <v>123</v>
      </c>
      <c r="AW2" s="3" t="s">
        <v>10</v>
      </c>
      <c r="AX2" s="8" t="s">
        <v>124</v>
      </c>
      <c r="AY2" s="9" t="s">
        <v>125</v>
      </c>
      <c r="AZ2" s="10" t="s">
        <v>126</v>
      </c>
      <c r="BA2" s="6" t="s">
        <v>127</v>
      </c>
      <c r="BB2" s="3" t="s">
        <v>11</v>
      </c>
      <c r="BC2" s="8" t="s">
        <v>128</v>
      </c>
      <c r="BD2" s="9" t="s">
        <v>129</v>
      </c>
      <c r="BE2" s="10" t="s">
        <v>130</v>
      </c>
      <c r="BF2" s="6" t="s">
        <v>131</v>
      </c>
      <c r="BG2" s="3" t="s">
        <v>12</v>
      </c>
      <c r="BH2" s="8" t="s">
        <v>132</v>
      </c>
      <c r="BI2" s="9" t="s">
        <v>133</v>
      </c>
      <c r="BJ2" s="10" t="s">
        <v>134</v>
      </c>
      <c r="BK2" s="14" t="s">
        <v>71</v>
      </c>
      <c r="BL2" s="14" t="s">
        <v>72</v>
      </c>
      <c r="BM2" s="14" t="s">
        <v>73</v>
      </c>
      <c r="BN2" s="14" t="s">
        <v>13</v>
      </c>
      <c r="BO2" s="14" t="s">
        <v>74</v>
      </c>
    </row>
    <row r="3" spans="1:67" ht="28.5" hidden="1">
      <c r="A3" s="2">
        <v>2025392</v>
      </c>
      <c r="B3" s="23" t="s">
        <v>17</v>
      </c>
      <c r="C3" s="7">
        <v>1</v>
      </c>
      <c r="D3" s="5">
        <v>98</v>
      </c>
      <c r="E3" s="11">
        <f>VLOOKUP(D3,[1]المرجع!$B$3:$C$12,2)</f>
        <v>5</v>
      </c>
      <c r="F3" s="12" t="str">
        <f>VLOOKUP(E3,[1]المرجع!$D$3:$E$12,2)</f>
        <v xml:space="preserve">أ+ </v>
      </c>
      <c r="G3" s="13">
        <f t="shared" ref="G3:G48" si="0">E3*C3</f>
        <v>5</v>
      </c>
      <c r="H3" s="7">
        <v>2</v>
      </c>
      <c r="I3" s="5">
        <v>100</v>
      </c>
      <c r="J3" s="11">
        <f>VLOOKUP(I3,[1]المرجع!$B$3:$C$12,2)</f>
        <v>5</v>
      </c>
      <c r="K3" s="12" t="str">
        <f>VLOOKUP(J3,[1]المرجع!$D$3:$E$12,2)</f>
        <v xml:space="preserve">أ+ </v>
      </c>
      <c r="L3" s="13">
        <f t="shared" ref="L3:L48" si="1">J3*H3</f>
        <v>10</v>
      </c>
      <c r="M3" s="7">
        <v>2</v>
      </c>
      <c r="N3" s="5">
        <v>100</v>
      </c>
      <c r="O3" s="11">
        <f>VLOOKUP(N3,[1]المرجع!$B$3:$C$12,2)</f>
        <v>5</v>
      </c>
      <c r="P3" s="12" t="str">
        <f>VLOOKUP(O3,[1]المرجع!$D$3:$E$12,2)</f>
        <v xml:space="preserve">أ+ </v>
      </c>
      <c r="Q3" s="13">
        <f t="shared" ref="Q3:Q48" si="2">O3*M3</f>
        <v>10</v>
      </c>
      <c r="R3" s="7">
        <v>2</v>
      </c>
      <c r="S3" s="5">
        <v>100</v>
      </c>
      <c r="T3" s="11">
        <f>VLOOKUP(S3,[1]المرجع!$B$3:$C$12,2)</f>
        <v>5</v>
      </c>
      <c r="U3" s="12" t="str">
        <f>VLOOKUP(T3,[1]المرجع!$D$3:$E$12,2)</f>
        <v xml:space="preserve">أ+ </v>
      </c>
      <c r="V3" s="13">
        <f t="shared" ref="V3:V48" si="3">T3*R3</f>
        <v>10</v>
      </c>
      <c r="W3" s="7">
        <v>2</v>
      </c>
      <c r="X3" s="5">
        <v>99</v>
      </c>
      <c r="Y3" s="11">
        <f>VLOOKUP(X3,[1]المرجع!$B$3:$C$12,2)</f>
        <v>5</v>
      </c>
      <c r="Z3" s="12" t="str">
        <f>VLOOKUP(Y3,[1]المرجع!$D$3:$E$12,2)</f>
        <v xml:space="preserve">أ+ </v>
      </c>
      <c r="AA3" s="13">
        <f t="shared" ref="AA3:AA48" si="4">Y3*W3</f>
        <v>10</v>
      </c>
      <c r="AB3" s="7">
        <v>2</v>
      </c>
      <c r="AC3" s="5">
        <v>87</v>
      </c>
      <c r="AD3" s="11">
        <f>VLOOKUP(AC3,[1]المرجع!$B$3:$C$12,2)</f>
        <v>4.5</v>
      </c>
      <c r="AE3" s="12" t="str">
        <f>VLOOKUP(AD3,[1]المرجع!$D$3:$E$12,2)</f>
        <v>ب+</v>
      </c>
      <c r="AF3" s="13">
        <f t="shared" ref="AF3:AF48" si="5">AD3*AB3</f>
        <v>9</v>
      </c>
      <c r="AG3" s="7">
        <v>2</v>
      </c>
      <c r="AH3" s="5">
        <v>100</v>
      </c>
      <c r="AI3" s="11">
        <f>VLOOKUP(AH3,[1]المرجع!$B$3:$C$12,2)</f>
        <v>5</v>
      </c>
      <c r="AJ3" s="12" t="str">
        <f>VLOOKUP(AI3,[1]المرجع!$D$3:$E$12,2)</f>
        <v xml:space="preserve">أ+ </v>
      </c>
      <c r="AK3" s="13">
        <f t="shared" ref="AK3:AK48" si="6">AI3*AG3</f>
        <v>10</v>
      </c>
      <c r="AL3" s="7">
        <v>2</v>
      </c>
      <c r="AM3" s="5">
        <v>98</v>
      </c>
      <c r="AN3" s="11">
        <f>VLOOKUP(AM3,[1]المرجع!$B$3:$C$12,2)</f>
        <v>5</v>
      </c>
      <c r="AO3" s="12" t="str">
        <f>VLOOKUP(AN3,[1]المرجع!$D$3:$E$12,2)</f>
        <v xml:space="preserve">أ+ </v>
      </c>
      <c r="AP3" s="13">
        <f t="shared" ref="AP3:AP48" si="7">AN3*AL3</f>
        <v>10</v>
      </c>
      <c r="AQ3" s="7">
        <v>2</v>
      </c>
      <c r="AR3" s="5">
        <v>99</v>
      </c>
      <c r="AS3" s="11">
        <f>VLOOKUP(AR3,[1]المرجع!$B$3:$C$12,2)</f>
        <v>5</v>
      </c>
      <c r="AT3" s="12" t="str">
        <f>VLOOKUP(AS3,[1]المرجع!$D$3:$E$12,2)</f>
        <v xml:space="preserve">أ+ </v>
      </c>
      <c r="AU3" s="13">
        <f t="shared" ref="AU3:AU48" si="8">AS3*AQ3</f>
        <v>10</v>
      </c>
      <c r="AV3" s="7">
        <v>2</v>
      </c>
      <c r="AW3" s="5">
        <v>91</v>
      </c>
      <c r="AX3" s="11">
        <f>VLOOKUP(AW3,[1]المرجع!$B$3:$C$12,2)</f>
        <v>4.75</v>
      </c>
      <c r="AY3" s="12" t="str">
        <f>VLOOKUP(AX3,[1]المرجع!$D$3:$E$12,2)</f>
        <v>أ</v>
      </c>
      <c r="AZ3" s="13">
        <f t="shared" ref="AZ3:AZ48" si="9">AX3*AV3</f>
        <v>9.5</v>
      </c>
      <c r="BA3" s="7">
        <v>2</v>
      </c>
      <c r="BB3" s="5">
        <v>100</v>
      </c>
      <c r="BC3" s="11">
        <f>VLOOKUP(BB3,[1]المرجع!$B$3:$C$12,2)</f>
        <v>5</v>
      </c>
      <c r="BD3" s="12" t="str">
        <f>VLOOKUP(BC3,[1]المرجع!$D$3:$E$12,2)</f>
        <v xml:space="preserve">أ+ </v>
      </c>
      <c r="BE3" s="13">
        <f t="shared" ref="BE3:BE48" si="10">BC3*BA3</f>
        <v>10</v>
      </c>
      <c r="BF3" s="7">
        <v>2</v>
      </c>
      <c r="BG3" s="5">
        <v>91</v>
      </c>
      <c r="BH3" s="11">
        <f>VLOOKUP(BG3,[1]المرجع!$B$3:$C$12,2)</f>
        <v>4.75</v>
      </c>
      <c r="BI3" s="12" t="str">
        <f>VLOOKUP(BH3,[1]المرجع!$D$3:$E$12,2)</f>
        <v>أ</v>
      </c>
      <c r="BJ3" s="13">
        <f t="shared" ref="BJ3:BJ48" si="11">BH3*BF3</f>
        <v>9.5</v>
      </c>
      <c r="BK3" s="15">
        <f t="shared" ref="BK3:BK48" si="12">BJ3+BE3+AZ3+AU3+AP3+AK3+AF3+AA3+Q3+V3+L3+G3</f>
        <v>113</v>
      </c>
      <c r="BL3" s="16">
        <f t="shared" ref="BL3:BL48" si="13">BF3+BA3+AV3+AQ3+AL3+AG3+AB3+W3+R3+M3+H3+C3</f>
        <v>23</v>
      </c>
      <c r="BM3" s="17">
        <f>BK3/BL3</f>
        <v>4.9130434782608692</v>
      </c>
      <c r="BN3" s="18" t="str">
        <f>VLOOKUP(BM3,المرجع!$C$1:$E$10,3)</f>
        <v xml:space="preserve">ممتاز مرتفع </v>
      </c>
      <c r="BO3" s="19">
        <f t="shared" ref="BO3:BO48" si="14">RANK(BM3,$BM$3:$BM$48)</f>
        <v>1</v>
      </c>
    </row>
    <row r="4" spans="1:67" ht="28.5" hidden="1">
      <c r="A4" s="2">
        <v>2025359</v>
      </c>
      <c r="B4" s="23" t="s">
        <v>15</v>
      </c>
      <c r="C4" s="7">
        <v>1</v>
      </c>
      <c r="D4" s="5">
        <v>97</v>
      </c>
      <c r="E4" s="11">
        <f>VLOOKUP(D4,[1]المرجع!$B$3:$C$12,2)</f>
        <v>5</v>
      </c>
      <c r="F4" s="12" t="str">
        <f>VLOOKUP(E4,[1]المرجع!$D$3:$E$12,2)</f>
        <v xml:space="preserve">أ+ </v>
      </c>
      <c r="G4" s="13">
        <f t="shared" si="0"/>
        <v>5</v>
      </c>
      <c r="H4" s="7">
        <v>2</v>
      </c>
      <c r="I4" s="5">
        <v>100</v>
      </c>
      <c r="J4" s="11">
        <f>VLOOKUP(I4,[1]المرجع!$B$3:$C$12,2)</f>
        <v>5</v>
      </c>
      <c r="K4" s="12" t="str">
        <f>VLOOKUP(J4,[1]المرجع!$D$3:$E$12,2)</f>
        <v xml:space="preserve">أ+ </v>
      </c>
      <c r="L4" s="13">
        <f t="shared" si="1"/>
        <v>10</v>
      </c>
      <c r="M4" s="7">
        <v>2</v>
      </c>
      <c r="N4" s="5">
        <v>94</v>
      </c>
      <c r="O4" s="11">
        <f>VLOOKUP(N4,[1]المرجع!$B$3:$C$12,2)</f>
        <v>4.75</v>
      </c>
      <c r="P4" s="12" t="str">
        <f>VLOOKUP(O4,[1]المرجع!$D$3:$E$12,2)</f>
        <v>أ</v>
      </c>
      <c r="Q4" s="13">
        <f t="shared" si="2"/>
        <v>9.5</v>
      </c>
      <c r="R4" s="7">
        <v>2</v>
      </c>
      <c r="S4" s="5">
        <v>85</v>
      </c>
      <c r="T4" s="11">
        <f>VLOOKUP(S4,[1]المرجع!$B$3:$C$12,2)</f>
        <v>4.5</v>
      </c>
      <c r="U4" s="12" t="str">
        <f>VLOOKUP(T4,[1]المرجع!$D$3:$E$12,2)</f>
        <v>ب+</v>
      </c>
      <c r="V4" s="13">
        <f t="shared" si="3"/>
        <v>9</v>
      </c>
      <c r="W4" s="7">
        <v>2</v>
      </c>
      <c r="X4" s="5">
        <v>96</v>
      </c>
      <c r="Y4" s="11">
        <f>VLOOKUP(X4,[1]المرجع!$B$3:$C$12,2)</f>
        <v>5</v>
      </c>
      <c r="Z4" s="12" t="str">
        <f>VLOOKUP(Y4,[1]المرجع!$D$3:$E$12,2)</f>
        <v xml:space="preserve">أ+ </v>
      </c>
      <c r="AA4" s="13">
        <f t="shared" si="4"/>
        <v>10</v>
      </c>
      <c r="AB4" s="7">
        <v>2</v>
      </c>
      <c r="AC4" s="5">
        <v>96</v>
      </c>
      <c r="AD4" s="11">
        <f>VLOOKUP(AC4,[1]المرجع!$B$3:$C$12,2)</f>
        <v>5</v>
      </c>
      <c r="AE4" s="12" t="str">
        <f>VLOOKUP(AD4,[1]المرجع!$D$3:$E$12,2)</f>
        <v xml:space="preserve">أ+ </v>
      </c>
      <c r="AF4" s="13">
        <f t="shared" si="5"/>
        <v>10</v>
      </c>
      <c r="AG4" s="7">
        <v>2</v>
      </c>
      <c r="AH4" s="5">
        <v>100</v>
      </c>
      <c r="AI4" s="11">
        <f>VLOOKUP(AH4,[1]المرجع!$B$3:$C$12,2)</f>
        <v>5</v>
      </c>
      <c r="AJ4" s="12" t="str">
        <f>VLOOKUP(AI4,[1]المرجع!$D$3:$E$12,2)</f>
        <v xml:space="preserve">أ+ </v>
      </c>
      <c r="AK4" s="13">
        <f t="shared" si="6"/>
        <v>10</v>
      </c>
      <c r="AL4" s="7">
        <v>2</v>
      </c>
      <c r="AM4" s="5">
        <v>95</v>
      </c>
      <c r="AN4" s="11">
        <f>VLOOKUP(AM4,[1]المرجع!$B$3:$C$12,2)</f>
        <v>5</v>
      </c>
      <c r="AO4" s="12" t="str">
        <f>VLOOKUP(AN4,[1]المرجع!$D$3:$E$12,2)</f>
        <v xml:space="preserve">أ+ </v>
      </c>
      <c r="AP4" s="13">
        <f t="shared" si="7"/>
        <v>10</v>
      </c>
      <c r="AQ4" s="7">
        <v>2</v>
      </c>
      <c r="AR4" s="5">
        <v>99</v>
      </c>
      <c r="AS4" s="11">
        <f>VLOOKUP(AR4,[1]المرجع!$B$3:$C$12,2)</f>
        <v>5</v>
      </c>
      <c r="AT4" s="12" t="str">
        <f>VLOOKUP(AS4,[1]المرجع!$D$3:$E$12,2)</f>
        <v xml:space="preserve">أ+ </v>
      </c>
      <c r="AU4" s="13">
        <f t="shared" si="8"/>
        <v>10</v>
      </c>
      <c r="AV4" s="7">
        <v>2</v>
      </c>
      <c r="AW4" s="5">
        <v>90</v>
      </c>
      <c r="AX4" s="11">
        <f>VLOOKUP(AW4,[1]المرجع!$B$3:$C$12,2)</f>
        <v>4.75</v>
      </c>
      <c r="AY4" s="12" t="str">
        <f>VLOOKUP(AX4,[1]المرجع!$D$3:$E$12,2)</f>
        <v>أ</v>
      </c>
      <c r="AZ4" s="13">
        <f t="shared" si="9"/>
        <v>9.5</v>
      </c>
      <c r="BA4" s="7">
        <v>2</v>
      </c>
      <c r="BB4" s="5">
        <v>100</v>
      </c>
      <c r="BC4" s="11">
        <f>VLOOKUP(BB4,[1]المرجع!$B$3:$C$12,2)</f>
        <v>5</v>
      </c>
      <c r="BD4" s="12" t="str">
        <f>VLOOKUP(BC4,[1]المرجع!$D$3:$E$12,2)</f>
        <v xml:space="preserve">أ+ </v>
      </c>
      <c r="BE4" s="13">
        <f t="shared" si="10"/>
        <v>10</v>
      </c>
      <c r="BF4" s="7">
        <v>2</v>
      </c>
      <c r="BG4" s="5">
        <v>94</v>
      </c>
      <c r="BH4" s="11">
        <f>VLOOKUP(BG4,[1]المرجع!$B$3:$C$12,2)</f>
        <v>4.75</v>
      </c>
      <c r="BI4" s="12" t="str">
        <f>VLOOKUP(BH4,[1]المرجع!$D$3:$E$12,2)</f>
        <v>أ</v>
      </c>
      <c r="BJ4" s="13">
        <f t="shared" si="11"/>
        <v>9.5</v>
      </c>
      <c r="BK4" s="15">
        <f t="shared" si="12"/>
        <v>112.5</v>
      </c>
      <c r="BL4" s="16">
        <f t="shared" si="13"/>
        <v>23</v>
      </c>
      <c r="BM4" s="17">
        <f t="shared" ref="BM4:BM48" si="15">BK4/BL4</f>
        <v>4.8913043478260869</v>
      </c>
      <c r="BN4" s="18" t="str">
        <f>VLOOKUP(BM4,المرجع!$C$1:$E$10,3)</f>
        <v xml:space="preserve">ممتاز مرتفع </v>
      </c>
      <c r="BO4" s="19">
        <f t="shared" si="14"/>
        <v>2</v>
      </c>
    </row>
    <row r="5" spans="1:67" ht="28.5" hidden="1">
      <c r="A5" s="2">
        <v>2025355</v>
      </c>
      <c r="B5" s="23" t="s">
        <v>16</v>
      </c>
      <c r="C5" s="7">
        <v>1</v>
      </c>
      <c r="D5" s="5">
        <v>96</v>
      </c>
      <c r="E5" s="11">
        <f>VLOOKUP(D5,[1]المرجع!$B$3:$C$12,2)</f>
        <v>5</v>
      </c>
      <c r="F5" s="12" t="str">
        <f>VLOOKUP(E5,[1]المرجع!$D$3:$E$12,2)</f>
        <v xml:space="preserve">أ+ </v>
      </c>
      <c r="G5" s="13">
        <f t="shared" si="0"/>
        <v>5</v>
      </c>
      <c r="H5" s="7">
        <v>2</v>
      </c>
      <c r="I5" s="5">
        <v>100</v>
      </c>
      <c r="J5" s="11">
        <f>VLOOKUP(I5,[1]المرجع!$B$3:$C$12,2)</f>
        <v>5</v>
      </c>
      <c r="K5" s="12" t="str">
        <f>VLOOKUP(J5,[1]المرجع!$D$3:$E$12,2)</f>
        <v xml:space="preserve">أ+ </v>
      </c>
      <c r="L5" s="13">
        <f t="shared" si="1"/>
        <v>10</v>
      </c>
      <c r="M5" s="7">
        <v>2</v>
      </c>
      <c r="N5" s="5">
        <v>95</v>
      </c>
      <c r="O5" s="11">
        <f>VLOOKUP(N5,[1]المرجع!$B$3:$C$12,2)</f>
        <v>5</v>
      </c>
      <c r="P5" s="12" t="str">
        <f>VLOOKUP(O5,[1]المرجع!$D$3:$E$12,2)</f>
        <v xml:space="preserve">أ+ </v>
      </c>
      <c r="Q5" s="13">
        <f t="shared" si="2"/>
        <v>10</v>
      </c>
      <c r="R5" s="7">
        <v>2</v>
      </c>
      <c r="S5" s="5">
        <v>95</v>
      </c>
      <c r="T5" s="11">
        <f>VLOOKUP(S5,[1]المرجع!$B$3:$C$12,2)</f>
        <v>5</v>
      </c>
      <c r="U5" s="12" t="str">
        <f>VLOOKUP(T5,[1]المرجع!$D$3:$E$12,2)</f>
        <v xml:space="preserve">أ+ </v>
      </c>
      <c r="V5" s="13">
        <f t="shared" si="3"/>
        <v>10</v>
      </c>
      <c r="W5" s="7">
        <v>2</v>
      </c>
      <c r="X5" s="5">
        <v>98.5</v>
      </c>
      <c r="Y5" s="11">
        <f>VLOOKUP(X5,[1]المرجع!$B$3:$C$12,2)</f>
        <v>5</v>
      </c>
      <c r="Z5" s="12" t="str">
        <f>VLOOKUP(Y5,[1]المرجع!$D$3:$E$12,2)</f>
        <v xml:space="preserve">أ+ </v>
      </c>
      <c r="AA5" s="13">
        <f t="shared" si="4"/>
        <v>10</v>
      </c>
      <c r="AB5" s="7">
        <v>2</v>
      </c>
      <c r="AC5" s="5">
        <v>94</v>
      </c>
      <c r="AD5" s="11">
        <f>VLOOKUP(AC5,[1]المرجع!$B$3:$C$12,2)</f>
        <v>4.75</v>
      </c>
      <c r="AE5" s="12" t="str">
        <f>VLOOKUP(AD5,[1]المرجع!$D$3:$E$12,2)</f>
        <v>أ</v>
      </c>
      <c r="AF5" s="13">
        <f t="shared" si="5"/>
        <v>9.5</v>
      </c>
      <c r="AG5" s="7">
        <v>2</v>
      </c>
      <c r="AH5" s="5">
        <v>99</v>
      </c>
      <c r="AI5" s="11">
        <f>VLOOKUP(AH5,[1]المرجع!$B$3:$C$12,2)</f>
        <v>5</v>
      </c>
      <c r="AJ5" s="12" t="str">
        <f>VLOOKUP(AI5,[1]المرجع!$D$3:$E$12,2)</f>
        <v xml:space="preserve">أ+ </v>
      </c>
      <c r="AK5" s="13">
        <f t="shared" si="6"/>
        <v>10</v>
      </c>
      <c r="AL5" s="7">
        <v>2</v>
      </c>
      <c r="AM5" s="5">
        <v>99</v>
      </c>
      <c r="AN5" s="11">
        <f>VLOOKUP(AM5,[1]المرجع!$B$3:$C$12,2)</f>
        <v>5</v>
      </c>
      <c r="AO5" s="12" t="str">
        <f>VLOOKUP(AN5,[1]المرجع!$D$3:$E$12,2)</f>
        <v xml:space="preserve">أ+ </v>
      </c>
      <c r="AP5" s="13">
        <f t="shared" si="7"/>
        <v>10</v>
      </c>
      <c r="AQ5" s="7">
        <v>2</v>
      </c>
      <c r="AR5" s="5">
        <v>82</v>
      </c>
      <c r="AS5" s="11">
        <f>VLOOKUP(AR5,[1]المرجع!$B$3:$C$12,2)</f>
        <v>4</v>
      </c>
      <c r="AT5" s="12" t="str">
        <f>VLOOKUP(AS5,[1]المرجع!$D$3:$E$12,2)</f>
        <v>ب</v>
      </c>
      <c r="AU5" s="13">
        <f t="shared" si="8"/>
        <v>8</v>
      </c>
      <c r="AV5" s="7">
        <v>2</v>
      </c>
      <c r="AW5" s="5">
        <v>90</v>
      </c>
      <c r="AX5" s="11">
        <f>VLOOKUP(AW5,[1]المرجع!$B$3:$C$12,2)</f>
        <v>4.75</v>
      </c>
      <c r="AY5" s="12" t="str">
        <f>VLOOKUP(AX5,[1]المرجع!$D$3:$E$12,2)</f>
        <v>أ</v>
      </c>
      <c r="AZ5" s="13">
        <f t="shared" si="9"/>
        <v>9.5</v>
      </c>
      <c r="BA5" s="7">
        <v>2</v>
      </c>
      <c r="BB5" s="5">
        <v>100</v>
      </c>
      <c r="BC5" s="11">
        <f>VLOOKUP(BB5,[1]المرجع!$B$3:$C$12,2)</f>
        <v>5</v>
      </c>
      <c r="BD5" s="12" t="str">
        <f>VLOOKUP(BC5,[1]المرجع!$D$3:$E$12,2)</f>
        <v xml:space="preserve">أ+ </v>
      </c>
      <c r="BE5" s="13">
        <f t="shared" si="10"/>
        <v>10</v>
      </c>
      <c r="BF5" s="7">
        <v>2</v>
      </c>
      <c r="BG5" s="5">
        <v>92</v>
      </c>
      <c r="BH5" s="11">
        <f>VLOOKUP(BG5,[1]المرجع!$B$3:$C$12,2)</f>
        <v>4.75</v>
      </c>
      <c r="BI5" s="12" t="str">
        <f>VLOOKUP(BH5,[1]المرجع!$D$3:$E$12,2)</f>
        <v>أ</v>
      </c>
      <c r="BJ5" s="13">
        <f t="shared" si="11"/>
        <v>9.5</v>
      </c>
      <c r="BK5" s="15">
        <f t="shared" si="12"/>
        <v>111.5</v>
      </c>
      <c r="BL5" s="16">
        <f t="shared" si="13"/>
        <v>23</v>
      </c>
      <c r="BM5" s="17">
        <f t="shared" si="15"/>
        <v>4.8478260869565215</v>
      </c>
      <c r="BN5" s="18" t="str">
        <f>VLOOKUP(BM5,المرجع!$C$1:$E$10,3)</f>
        <v xml:space="preserve">ممتاز مرتفع </v>
      </c>
      <c r="BO5" s="19">
        <f t="shared" si="14"/>
        <v>3</v>
      </c>
    </row>
    <row r="6" spans="1:67" ht="28.5" hidden="1">
      <c r="A6" s="2">
        <v>2025373</v>
      </c>
      <c r="B6" s="23" t="s">
        <v>14</v>
      </c>
      <c r="C6" s="7">
        <v>1</v>
      </c>
      <c r="D6" s="5">
        <v>97</v>
      </c>
      <c r="E6" s="11">
        <f>VLOOKUP(D6,[1]المرجع!$B$3:$C$12,2)</f>
        <v>5</v>
      </c>
      <c r="F6" s="12" t="str">
        <f>VLOOKUP(E6,[1]المرجع!$D$3:$E$12,2)</f>
        <v xml:space="preserve">أ+ </v>
      </c>
      <c r="G6" s="13">
        <f t="shared" si="0"/>
        <v>5</v>
      </c>
      <c r="H6" s="7">
        <v>2</v>
      </c>
      <c r="I6" s="5">
        <v>100</v>
      </c>
      <c r="J6" s="11">
        <f>VLOOKUP(I6,[1]المرجع!$B$3:$C$12,2)</f>
        <v>5</v>
      </c>
      <c r="K6" s="12" t="str">
        <f>VLOOKUP(J6,[1]المرجع!$D$3:$E$12,2)</f>
        <v xml:space="preserve">أ+ </v>
      </c>
      <c r="L6" s="13">
        <f t="shared" si="1"/>
        <v>10</v>
      </c>
      <c r="M6" s="7">
        <v>2</v>
      </c>
      <c r="N6" s="5">
        <v>99</v>
      </c>
      <c r="O6" s="11">
        <f>VLOOKUP(N6,[1]المرجع!$B$3:$C$12,2)</f>
        <v>5</v>
      </c>
      <c r="P6" s="12" t="str">
        <f>VLOOKUP(O6,[1]المرجع!$D$3:$E$12,2)</f>
        <v xml:space="preserve">أ+ </v>
      </c>
      <c r="Q6" s="13">
        <f t="shared" si="2"/>
        <v>10</v>
      </c>
      <c r="R6" s="7">
        <v>2</v>
      </c>
      <c r="S6" s="5">
        <v>98</v>
      </c>
      <c r="T6" s="11">
        <f>VLOOKUP(S6,[1]المرجع!$B$3:$C$12,2)</f>
        <v>5</v>
      </c>
      <c r="U6" s="12" t="str">
        <f>VLOOKUP(T6,[1]المرجع!$D$3:$E$12,2)</f>
        <v xml:space="preserve">أ+ </v>
      </c>
      <c r="V6" s="13">
        <f t="shared" si="3"/>
        <v>10</v>
      </c>
      <c r="W6" s="7">
        <v>2</v>
      </c>
      <c r="X6" s="5">
        <v>90</v>
      </c>
      <c r="Y6" s="11">
        <f>VLOOKUP(X6,[1]المرجع!$B$3:$C$12,2)</f>
        <v>4.75</v>
      </c>
      <c r="Z6" s="12" t="str">
        <f>VLOOKUP(Y6,[1]المرجع!$D$3:$E$12,2)</f>
        <v>أ</v>
      </c>
      <c r="AA6" s="13">
        <f t="shared" si="4"/>
        <v>9.5</v>
      </c>
      <c r="AB6" s="7">
        <v>2</v>
      </c>
      <c r="AC6" s="5">
        <v>92</v>
      </c>
      <c r="AD6" s="11">
        <f>VLOOKUP(AC6,[1]المرجع!$B$3:$C$12,2)</f>
        <v>4.75</v>
      </c>
      <c r="AE6" s="12" t="str">
        <f>VLOOKUP(AD6,[1]المرجع!$D$3:$E$12,2)</f>
        <v>أ</v>
      </c>
      <c r="AF6" s="13">
        <f t="shared" si="5"/>
        <v>9.5</v>
      </c>
      <c r="AG6" s="7">
        <v>2</v>
      </c>
      <c r="AH6" s="5">
        <v>100</v>
      </c>
      <c r="AI6" s="11">
        <f>VLOOKUP(AH6,[1]المرجع!$B$3:$C$12,2)</f>
        <v>5</v>
      </c>
      <c r="AJ6" s="12" t="str">
        <f>VLOOKUP(AI6,[1]المرجع!$D$3:$E$12,2)</f>
        <v xml:space="preserve">أ+ </v>
      </c>
      <c r="AK6" s="13">
        <f t="shared" si="6"/>
        <v>10</v>
      </c>
      <c r="AL6" s="7">
        <v>2</v>
      </c>
      <c r="AM6" s="5">
        <v>98</v>
      </c>
      <c r="AN6" s="11">
        <f>VLOOKUP(AM6,[1]المرجع!$B$3:$C$12,2)</f>
        <v>5</v>
      </c>
      <c r="AO6" s="12" t="str">
        <f>VLOOKUP(AN6,[1]المرجع!$D$3:$E$12,2)</f>
        <v xml:space="preserve">أ+ </v>
      </c>
      <c r="AP6" s="13">
        <f t="shared" si="7"/>
        <v>10</v>
      </c>
      <c r="AQ6" s="7">
        <v>2</v>
      </c>
      <c r="AR6" s="5">
        <v>84</v>
      </c>
      <c r="AS6" s="11">
        <f>VLOOKUP(AR6,[1]المرجع!$B$3:$C$12,2)</f>
        <v>4</v>
      </c>
      <c r="AT6" s="12" t="str">
        <f>VLOOKUP(AS6,[1]المرجع!$D$3:$E$12,2)</f>
        <v>ب</v>
      </c>
      <c r="AU6" s="13">
        <f t="shared" si="8"/>
        <v>8</v>
      </c>
      <c r="AV6" s="7">
        <v>2</v>
      </c>
      <c r="AW6" s="5">
        <v>88</v>
      </c>
      <c r="AX6" s="11">
        <f>VLOOKUP(AW6,[1]المرجع!$B$3:$C$12,2)</f>
        <v>4.5</v>
      </c>
      <c r="AY6" s="12" t="str">
        <f>VLOOKUP(AX6,[1]المرجع!$D$3:$E$12,2)</f>
        <v>ب+</v>
      </c>
      <c r="AZ6" s="13">
        <f t="shared" si="9"/>
        <v>9</v>
      </c>
      <c r="BA6" s="7">
        <v>2</v>
      </c>
      <c r="BB6" s="5">
        <v>100</v>
      </c>
      <c r="BC6" s="11">
        <f>VLOOKUP(BB6,[1]المرجع!$B$3:$C$12,2)</f>
        <v>5</v>
      </c>
      <c r="BD6" s="12" t="str">
        <f>VLOOKUP(BC6,[1]المرجع!$D$3:$E$12,2)</f>
        <v xml:space="preserve">أ+ </v>
      </c>
      <c r="BE6" s="13">
        <f t="shared" si="10"/>
        <v>10</v>
      </c>
      <c r="BF6" s="7">
        <v>2</v>
      </c>
      <c r="BG6" s="5">
        <v>100</v>
      </c>
      <c r="BH6" s="11">
        <f>VLOOKUP(BG6,[1]المرجع!$B$3:$C$12,2)</f>
        <v>5</v>
      </c>
      <c r="BI6" s="12" t="str">
        <f>VLOOKUP(BH6,[1]المرجع!$D$3:$E$12,2)</f>
        <v xml:space="preserve">أ+ </v>
      </c>
      <c r="BJ6" s="13">
        <f t="shared" si="11"/>
        <v>10</v>
      </c>
      <c r="BK6" s="15">
        <f t="shared" si="12"/>
        <v>111</v>
      </c>
      <c r="BL6" s="16">
        <f t="shared" si="13"/>
        <v>23</v>
      </c>
      <c r="BM6" s="17">
        <f t="shared" si="15"/>
        <v>4.8260869565217392</v>
      </c>
      <c r="BN6" s="18" t="str">
        <f>VLOOKUP(BM6,المرجع!$C$1:$E$10,3)</f>
        <v xml:space="preserve">ممتاز مرتفع </v>
      </c>
      <c r="BO6" s="19">
        <f t="shared" si="14"/>
        <v>4</v>
      </c>
    </row>
    <row r="7" spans="1:67" ht="28.5" hidden="1">
      <c r="A7" s="2">
        <v>2025320</v>
      </c>
      <c r="B7" s="23" t="s">
        <v>18</v>
      </c>
      <c r="C7" s="7">
        <v>1</v>
      </c>
      <c r="D7" s="5">
        <v>99</v>
      </c>
      <c r="E7" s="11">
        <f>VLOOKUP(D7,[1]المرجع!$B$3:$C$12,2)</f>
        <v>5</v>
      </c>
      <c r="F7" s="12" t="str">
        <f>VLOOKUP(E7,[1]المرجع!$D$3:$E$12,2)</f>
        <v xml:space="preserve">أ+ </v>
      </c>
      <c r="G7" s="13">
        <f t="shared" si="0"/>
        <v>5</v>
      </c>
      <c r="H7" s="7">
        <v>2</v>
      </c>
      <c r="I7" s="5">
        <v>100</v>
      </c>
      <c r="J7" s="11">
        <f>VLOOKUP(I7,[1]المرجع!$B$3:$C$12,2)</f>
        <v>5</v>
      </c>
      <c r="K7" s="12" t="str">
        <f>VLOOKUP(J7,[1]المرجع!$D$3:$E$12,2)</f>
        <v xml:space="preserve">أ+ </v>
      </c>
      <c r="L7" s="13">
        <f t="shared" si="1"/>
        <v>10</v>
      </c>
      <c r="M7" s="7">
        <v>2</v>
      </c>
      <c r="N7" s="5">
        <v>100</v>
      </c>
      <c r="O7" s="11">
        <f>VLOOKUP(N7,[1]المرجع!$B$3:$C$12,2)</f>
        <v>5</v>
      </c>
      <c r="P7" s="12" t="str">
        <f>VLOOKUP(O7,[1]المرجع!$D$3:$E$12,2)</f>
        <v xml:space="preserve">أ+ </v>
      </c>
      <c r="Q7" s="13">
        <f t="shared" si="2"/>
        <v>10</v>
      </c>
      <c r="R7" s="7">
        <v>2</v>
      </c>
      <c r="S7" s="5">
        <v>91</v>
      </c>
      <c r="T7" s="11">
        <f>VLOOKUP(S7,[1]المرجع!$B$3:$C$12,2)</f>
        <v>4.75</v>
      </c>
      <c r="U7" s="12" t="str">
        <f>VLOOKUP(T7,[1]المرجع!$D$3:$E$12,2)</f>
        <v>أ</v>
      </c>
      <c r="V7" s="13">
        <f t="shared" si="3"/>
        <v>9.5</v>
      </c>
      <c r="W7" s="7">
        <v>2</v>
      </c>
      <c r="X7" s="5">
        <v>80</v>
      </c>
      <c r="Y7" s="11">
        <f>VLOOKUP(X7,[1]المرجع!$B$3:$C$12,2)</f>
        <v>4</v>
      </c>
      <c r="Z7" s="12" t="str">
        <f>VLOOKUP(Y7,[1]المرجع!$D$3:$E$12,2)</f>
        <v>ب</v>
      </c>
      <c r="AA7" s="13">
        <f t="shared" si="4"/>
        <v>8</v>
      </c>
      <c r="AB7" s="7">
        <v>2</v>
      </c>
      <c r="AC7" s="5">
        <v>85</v>
      </c>
      <c r="AD7" s="11">
        <f>VLOOKUP(AC7,[1]المرجع!$B$3:$C$12,2)</f>
        <v>4.5</v>
      </c>
      <c r="AE7" s="12" t="str">
        <f>VLOOKUP(AD7,[1]المرجع!$D$3:$E$12,2)</f>
        <v>ب+</v>
      </c>
      <c r="AF7" s="13">
        <f t="shared" si="5"/>
        <v>9</v>
      </c>
      <c r="AG7" s="7">
        <v>2</v>
      </c>
      <c r="AH7" s="5">
        <v>99</v>
      </c>
      <c r="AI7" s="11">
        <f>VLOOKUP(AH7,[1]المرجع!$B$3:$C$12,2)</f>
        <v>5</v>
      </c>
      <c r="AJ7" s="12" t="str">
        <f>VLOOKUP(AI7,[1]المرجع!$D$3:$E$12,2)</f>
        <v xml:space="preserve">أ+ </v>
      </c>
      <c r="AK7" s="13">
        <f t="shared" si="6"/>
        <v>10</v>
      </c>
      <c r="AL7" s="7">
        <v>2</v>
      </c>
      <c r="AM7" s="5">
        <v>97</v>
      </c>
      <c r="AN7" s="11">
        <f>VLOOKUP(AM7,[1]المرجع!$B$3:$C$12,2)</f>
        <v>5</v>
      </c>
      <c r="AO7" s="12" t="str">
        <f>VLOOKUP(AN7,[1]المرجع!$D$3:$E$12,2)</f>
        <v xml:space="preserve">أ+ </v>
      </c>
      <c r="AP7" s="13">
        <f t="shared" si="7"/>
        <v>10</v>
      </c>
      <c r="AQ7" s="7">
        <v>2</v>
      </c>
      <c r="AR7" s="5">
        <v>90</v>
      </c>
      <c r="AS7" s="11">
        <f>VLOOKUP(AR7,[1]المرجع!$B$3:$C$12,2)</f>
        <v>4.75</v>
      </c>
      <c r="AT7" s="12" t="str">
        <f>VLOOKUP(AS7,[1]المرجع!$D$3:$E$12,2)</f>
        <v>أ</v>
      </c>
      <c r="AU7" s="13">
        <f t="shared" si="8"/>
        <v>9.5</v>
      </c>
      <c r="AV7" s="7">
        <v>2</v>
      </c>
      <c r="AW7" s="5">
        <v>81</v>
      </c>
      <c r="AX7" s="11">
        <f>VLOOKUP(AW7,[1]المرجع!$B$3:$C$12,2)</f>
        <v>4</v>
      </c>
      <c r="AY7" s="12" t="str">
        <f>VLOOKUP(AX7,[1]المرجع!$D$3:$E$12,2)</f>
        <v>ب</v>
      </c>
      <c r="AZ7" s="13">
        <f t="shared" si="9"/>
        <v>8</v>
      </c>
      <c r="BA7" s="7">
        <v>2</v>
      </c>
      <c r="BB7" s="5">
        <v>99</v>
      </c>
      <c r="BC7" s="11">
        <f>VLOOKUP(BB7,[1]المرجع!$B$3:$C$12,2)</f>
        <v>5</v>
      </c>
      <c r="BD7" s="12" t="str">
        <f>VLOOKUP(BC7,[1]المرجع!$D$3:$E$12,2)</f>
        <v xml:space="preserve">أ+ </v>
      </c>
      <c r="BE7" s="13">
        <f t="shared" si="10"/>
        <v>10</v>
      </c>
      <c r="BF7" s="7">
        <v>2</v>
      </c>
      <c r="BG7" s="5">
        <v>100</v>
      </c>
      <c r="BH7" s="11">
        <f>VLOOKUP(BG7,[1]المرجع!$B$3:$C$12,2)</f>
        <v>5</v>
      </c>
      <c r="BI7" s="12" t="str">
        <f>VLOOKUP(BH7,[1]المرجع!$D$3:$E$12,2)</f>
        <v xml:space="preserve">أ+ </v>
      </c>
      <c r="BJ7" s="13">
        <f t="shared" si="11"/>
        <v>10</v>
      </c>
      <c r="BK7" s="15">
        <f t="shared" si="12"/>
        <v>109</v>
      </c>
      <c r="BL7" s="16">
        <f t="shared" si="13"/>
        <v>23</v>
      </c>
      <c r="BM7" s="17">
        <f t="shared" si="15"/>
        <v>4.7391304347826084</v>
      </c>
      <c r="BN7" s="18" t="str">
        <f>VLOOKUP(BM7,المرجع!$C$1:$E$10,3)</f>
        <v xml:space="preserve">ممتاز </v>
      </c>
      <c r="BO7" s="19">
        <f t="shared" si="14"/>
        <v>5</v>
      </c>
    </row>
    <row r="8" spans="1:67" ht="28.5" hidden="1">
      <c r="A8" s="2">
        <v>2025308</v>
      </c>
      <c r="B8" s="23" t="s">
        <v>19</v>
      </c>
      <c r="C8" s="7">
        <v>1</v>
      </c>
      <c r="D8" s="5">
        <v>98</v>
      </c>
      <c r="E8" s="11">
        <f>VLOOKUP(D8,[1]المرجع!$B$3:$C$12,2)</f>
        <v>5</v>
      </c>
      <c r="F8" s="12" t="str">
        <f>VLOOKUP(E8,[1]المرجع!$D$3:$E$12,2)</f>
        <v xml:space="preserve">أ+ </v>
      </c>
      <c r="G8" s="13">
        <f t="shared" si="0"/>
        <v>5</v>
      </c>
      <c r="H8" s="7">
        <v>2</v>
      </c>
      <c r="I8" s="5">
        <v>93</v>
      </c>
      <c r="J8" s="11">
        <f>VLOOKUP(I8,[1]المرجع!$B$3:$C$12,2)</f>
        <v>4.75</v>
      </c>
      <c r="K8" s="12" t="str">
        <f>VLOOKUP(J8,[1]المرجع!$D$3:$E$12,2)</f>
        <v>أ</v>
      </c>
      <c r="L8" s="13">
        <f t="shared" si="1"/>
        <v>9.5</v>
      </c>
      <c r="M8" s="7">
        <v>2</v>
      </c>
      <c r="N8" s="5">
        <v>100</v>
      </c>
      <c r="O8" s="11">
        <f>VLOOKUP(N8,[1]المرجع!$B$3:$C$12,2)</f>
        <v>5</v>
      </c>
      <c r="P8" s="12" t="str">
        <f>VLOOKUP(O8,[1]المرجع!$D$3:$E$12,2)</f>
        <v xml:space="preserve">أ+ </v>
      </c>
      <c r="Q8" s="13">
        <f t="shared" si="2"/>
        <v>10</v>
      </c>
      <c r="R8" s="7">
        <v>2</v>
      </c>
      <c r="S8" s="5">
        <v>98</v>
      </c>
      <c r="T8" s="11">
        <f>VLOOKUP(S8,[1]المرجع!$B$3:$C$12,2)</f>
        <v>5</v>
      </c>
      <c r="U8" s="12" t="str">
        <f>VLOOKUP(T8,[1]المرجع!$D$3:$E$12,2)</f>
        <v xml:space="preserve">أ+ </v>
      </c>
      <c r="V8" s="13">
        <f t="shared" si="3"/>
        <v>10</v>
      </c>
      <c r="W8" s="7">
        <v>2</v>
      </c>
      <c r="X8" s="5">
        <v>100</v>
      </c>
      <c r="Y8" s="11">
        <f>VLOOKUP(X8,[1]المرجع!$B$3:$C$12,2)</f>
        <v>5</v>
      </c>
      <c r="Z8" s="12" t="str">
        <f>VLOOKUP(Y8,[1]المرجع!$D$3:$E$12,2)</f>
        <v xml:space="preserve">أ+ </v>
      </c>
      <c r="AA8" s="13">
        <f t="shared" si="4"/>
        <v>10</v>
      </c>
      <c r="AB8" s="7">
        <v>2</v>
      </c>
      <c r="AC8" s="5">
        <v>60</v>
      </c>
      <c r="AD8" s="11">
        <f>VLOOKUP(AC8,[1]المرجع!$B$3:$C$12,2)</f>
        <v>2</v>
      </c>
      <c r="AE8" s="12" t="str">
        <f>VLOOKUP(AD8,[1]المرجع!$D$3:$E$12,2)</f>
        <v>د</v>
      </c>
      <c r="AF8" s="13">
        <f t="shared" si="5"/>
        <v>4</v>
      </c>
      <c r="AG8" s="7">
        <v>2</v>
      </c>
      <c r="AH8" s="5">
        <v>99</v>
      </c>
      <c r="AI8" s="11">
        <f>VLOOKUP(AH8,[1]المرجع!$B$3:$C$12,2)</f>
        <v>5</v>
      </c>
      <c r="AJ8" s="12" t="str">
        <f>VLOOKUP(AI8,[1]المرجع!$D$3:$E$12,2)</f>
        <v xml:space="preserve">أ+ </v>
      </c>
      <c r="AK8" s="13">
        <f t="shared" si="6"/>
        <v>10</v>
      </c>
      <c r="AL8" s="7">
        <v>2</v>
      </c>
      <c r="AM8" s="5">
        <v>98</v>
      </c>
      <c r="AN8" s="11">
        <f>VLOOKUP(AM8,[1]المرجع!$B$3:$C$12,2)</f>
        <v>5</v>
      </c>
      <c r="AO8" s="12" t="str">
        <f>VLOOKUP(AN8,[1]المرجع!$D$3:$E$12,2)</f>
        <v xml:space="preserve">أ+ </v>
      </c>
      <c r="AP8" s="13">
        <f t="shared" si="7"/>
        <v>10</v>
      </c>
      <c r="AQ8" s="7">
        <v>2</v>
      </c>
      <c r="AR8" s="5">
        <v>94</v>
      </c>
      <c r="AS8" s="11">
        <f>VLOOKUP(AR8,[1]المرجع!$B$3:$C$12,2)</f>
        <v>4.75</v>
      </c>
      <c r="AT8" s="12" t="str">
        <f>VLOOKUP(AS8,[1]المرجع!$D$3:$E$12,2)</f>
        <v>أ</v>
      </c>
      <c r="AU8" s="13">
        <f t="shared" si="8"/>
        <v>9.5</v>
      </c>
      <c r="AV8" s="7">
        <v>2</v>
      </c>
      <c r="AW8" s="5">
        <v>76</v>
      </c>
      <c r="AX8" s="11">
        <f>VLOOKUP(AW8,[1]المرجع!$B$3:$C$12,2)</f>
        <v>3.5</v>
      </c>
      <c r="AY8" s="12" t="str">
        <f>VLOOKUP(AX8,[1]المرجع!$D$3:$E$12,2)</f>
        <v>ج+</v>
      </c>
      <c r="AZ8" s="13">
        <f t="shared" si="9"/>
        <v>7</v>
      </c>
      <c r="BA8" s="7">
        <v>2</v>
      </c>
      <c r="BB8" s="5">
        <v>97</v>
      </c>
      <c r="BC8" s="11">
        <f>VLOOKUP(BB8,[1]المرجع!$B$3:$C$12,2)</f>
        <v>5</v>
      </c>
      <c r="BD8" s="12" t="str">
        <f>VLOOKUP(BC8,[1]المرجع!$D$3:$E$12,2)</f>
        <v xml:space="preserve">أ+ </v>
      </c>
      <c r="BE8" s="13">
        <f t="shared" si="10"/>
        <v>10</v>
      </c>
      <c r="BF8" s="7">
        <v>2</v>
      </c>
      <c r="BG8" s="5">
        <v>100</v>
      </c>
      <c r="BH8" s="11">
        <f>VLOOKUP(BG8,[1]المرجع!$B$3:$C$12,2)</f>
        <v>5</v>
      </c>
      <c r="BI8" s="12" t="str">
        <f>VLOOKUP(BH8,[1]المرجع!$D$3:$E$12,2)</f>
        <v xml:space="preserve">أ+ </v>
      </c>
      <c r="BJ8" s="13">
        <f t="shared" si="11"/>
        <v>10</v>
      </c>
      <c r="BK8" s="15">
        <f t="shared" si="12"/>
        <v>105</v>
      </c>
      <c r="BL8" s="16">
        <f t="shared" si="13"/>
        <v>23</v>
      </c>
      <c r="BM8" s="17">
        <f t="shared" si="15"/>
        <v>4.5652173913043477</v>
      </c>
      <c r="BN8" s="18" t="str">
        <f>VLOOKUP(BM8,المرجع!$C$1:$E$10,3)</f>
        <v>جيد جد مرتفع</v>
      </c>
      <c r="BO8" s="19">
        <f t="shared" si="14"/>
        <v>6</v>
      </c>
    </row>
    <row r="9" spans="1:67" ht="28.5" hidden="1">
      <c r="A9" s="2">
        <v>2025352</v>
      </c>
      <c r="B9" s="23" t="s">
        <v>21</v>
      </c>
      <c r="C9" s="7">
        <v>1</v>
      </c>
      <c r="D9" s="5">
        <v>65</v>
      </c>
      <c r="E9" s="11">
        <f>VLOOKUP(D9,[1]المرجع!$B$3:$C$12,2)</f>
        <v>2.5</v>
      </c>
      <c r="F9" s="12" t="str">
        <f>VLOOKUP(E9,[1]المرجع!$D$3:$E$12,2)</f>
        <v>د+</v>
      </c>
      <c r="G9" s="13">
        <f t="shared" si="0"/>
        <v>2.5</v>
      </c>
      <c r="H9" s="7">
        <v>2</v>
      </c>
      <c r="I9" s="5">
        <v>94</v>
      </c>
      <c r="J9" s="11">
        <f>VLOOKUP(I9,[1]المرجع!$B$3:$C$12,2)</f>
        <v>4.75</v>
      </c>
      <c r="K9" s="12" t="str">
        <f>VLOOKUP(J9,[1]المرجع!$D$3:$E$12,2)</f>
        <v>أ</v>
      </c>
      <c r="L9" s="13">
        <f t="shared" si="1"/>
        <v>9.5</v>
      </c>
      <c r="M9" s="7">
        <v>2</v>
      </c>
      <c r="N9" s="5">
        <v>99</v>
      </c>
      <c r="O9" s="11">
        <f>VLOOKUP(N9,[1]المرجع!$B$3:$C$12,2)</f>
        <v>5</v>
      </c>
      <c r="P9" s="12" t="str">
        <f>VLOOKUP(O9,[1]المرجع!$D$3:$E$12,2)</f>
        <v xml:space="preserve">أ+ </v>
      </c>
      <c r="Q9" s="13">
        <f t="shared" si="2"/>
        <v>10</v>
      </c>
      <c r="R9" s="7">
        <v>2</v>
      </c>
      <c r="S9" s="5">
        <v>90</v>
      </c>
      <c r="T9" s="11">
        <f>VLOOKUP(S9,[1]المرجع!$B$3:$C$12,2)</f>
        <v>4.75</v>
      </c>
      <c r="U9" s="12" t="str">
        <f>VLOOKUP(T9,[1]المرجع!$D$3:$E$12,2)</f>
        <v>أ</v>
      </c>
      <c r="V9" s="13">
        <f t="shared" si="3"/>
        <v>9.5</v>
      </c>
      <c r="W9" s="7">
        <v>2</v>
      </c>
      <c r="X9" s="5">
        <v>100</v>
      </c>
      <c r="Y9" s="11">
        <f>VLOOKUP(X9,[1]المرجع!$B$3:$C$12,2)</f>
        <v>5</v>
      </c>
      <c r="Z9" s="12" t="str">
        <f>VLOOKUP(Y9,[1]المرجع!$D$3:$E$12,2)</f>
        <v xml:space="preserve">أ+ </v>
      </c>
      <c r="AA9" s="13">
        <f t="shared" si="4"/>
        <v>10</v>
      </c>
      <c r="AB9" s="7">
        <v>2</v>
      </c>
      <c r="AC9" s="5">
        <v>75</v>
      </c>
      <c r="AD9" s="11">
        <f>VLOOKUP(AC9,[1]المرجع!$B$3:$C$12,2)</f>
        <v>3.5</v>
      </c>
      <c r="AE9" s="12" t="str">
        <f>VLOOKUP(AD9,[1]المرجع!$D$3:$E$12,2)</f>
        <v>ج+</v>
      </c>
      <c r="AF9" s="13">
        <f t="shared" si="5"/>
        <v>7</v>
      </c>
      <c r="AG9" s="7">
        <v>2</v>
      </c>
      <c r="AH9" s="5">
        <v>100</v>
      </c>
      <c r="AI9" s="11">
        <f>VLOOKUP(AH9,[1]المرجع!$B$3:$C$12,2)</f>
        <v>5</v>
      </c>
      <c r="AJ9" s="12" t="str">
        <f>VLOOKUP(AI9,[1]المرجع!$D$3:$E$12,2)</f>
        <v xml:space="preserve">أ+ </v>
      </c>
      <c r="AK9" s="13">
        <f t="shared" si="6"/>
        <v>10</v>
      </c>
      <c r="AL9" s="7">
        <v>2</v>
      </c>
      <c r="AM9" s="5">
        <v>60</v>
      </c>
      <c r="AN9" s="11">
        <f>VLOOKUP(AM9,[1]المرجع!$B$3:$C$12,2)</f>
        <v>2</v>
      </c>
      <c r="AO9" s="12" t="str">
        <f>VLOOKUP(AN9,[1]المرجع!$D$3:$E$12,2)</f>
        <v>د</v>
      </c>
      <c r="AP9" s="13">
        <f t="shared" si="7"/>
        <v>4</v>
      </c>
      <c r="AQ9" s="7">
        <v>2</v>
      </c>
      <c r="AR9" s="5">
        <v>96</v>
      </c>
      <c r="AS9" s="11">
        <f>VLOOKUP(AR9,[1]المرجع!$B$3:$C$12,2)</f>
        <v>5</v>
      </c>
      <c r="AT9" s="12" t="str">
        <f>VLOOKUP(AS9,[1]المرجع!$D$3:$E$12,2)</f>
        <v xml:space="preserve">أ+ </v>
      </c>
      <c r="AU9" s="13">
        <f t="shared" si="8"/>
        <v>10</v>
      </c>
      <c r="AV9" s="7">
        <v>2</v>
      </c>
      <c r="AW9" s="5">
        <v>81</v>
      </c>
      <c r="AX9" s="11">
        <f>VLOOKUP(AW9,[1]المرجع!$B$3:$C$12,2)</f>
        <v>4</v>
      </c>
      <c r="AY9" s="12" t="str">
        <f>VLOOKUP(AX9,[1]المرجع!$D$3:$E$12,2)</f>
        <v>ب</v>
      </c>
      <c r="AZ9" s="13">
        <f t="shared" si="9"/>
        <v>8</v>
      </c>
      <c r="BA9" s="7">
        <v>2</v>
      </c>
      <c r="BB9" s="5">
        <v>99</v>
      </c>
      <c r="BC9" s="11">
        <f>VLOOKUP(BB9,[1]المرجع!$B$3:$C$12,2)</f>
        <v>5</v>
      </c>
      <c r="BD9" s="12" t="str">
        <f>VLOOKUP(BC9,[1]المرجع!$D$3:$E$12,2)</f>
        <v xml:space="preserve">أ+ </v>
      </c>
      <c r="BE9" s="13">
        <f t="shared" si="10"/>
        <v>10</v>
      </c>
      <c r="BF9" s="7">
        <v>2</v>
      </c>
      <c r="BG9" s="5">
        <v>93</v>
      </c>
      <c r="BH9" s="11">
        <f>VLOOKUP(BG9,[1]المرجع!$B$3:$C$12,2)</f>
        <v>4.75</v>
      </c>
      <c r="BI9" s="12" t="str">
        <f>VLOOKUP(BH9,[1]المرجع!$D$3:$E$12,2)</f>
        <v>أ</v>
      </c>
      <c r="BJ9" s="13">
        <f t="shared" si="11"/>
        <v>9.5</v>
      </c>
      <c r="BK9" s="15">
        <f t="shared" si="12"/>
        <v>100</v>
      </c>
      <c r="BL9" s="16">
        <f t="shared" si="13"/>
        <v>23</v>
      </c>
      <c r="BM9" s="17">
        <f t="shared" si="15"/>
        <v>4.3478260869565215</v>
      </c>
      <c r="BN9" s="18" t="str">
        <f>VLOOKUP(BM9,المرجع!$C$1:$E$10,3)</f>
        <v>جيد جد مرتفع</v>
      </c>
      <c r="BO9" s="19">
        <f t="shared" si="14"/>
        <v>7</v>
      </c>
    </row>
    <row r="10" spans="1:67" ht="28.5" hidden="1">
      <c r="A10" s="2">
        <v>2025312</v>
      </c>
      <c r="B10" s="23" t="s">
        <v>25</v>
      </c>
      <c r="C10" s="7">
        <v>1</v>
      </c>
      <c r="D10" s="5">
        <v>95</v>
      </c>
      <c r="E10" s="11">
        <f>VLOOKUP(D10,[1]المرجع!$B$3:$C$12,2)</f>
        <v>5</v>
      </c>
      <c r="F10" s="12" t="str">
        <f>VLOOKUP(E10,[1]المرجع!$D$3:$E$12,2)</f>
        <v xml:space="preserve">أ+ </v>
      </c>
      <c r="G10" s="13">
        <f t="shared" si="0"/>
        <v>5</v>
      </c>
      <c r="H10" s="7">
        <v>2</v>
      </c>
      <c r="I10" s="5">
        <v>91</v>
      </c>
      <c r="J10" s="11">
        <f>VLOOKUP(I10,[1]المرجع!$B$3:$C$12,2)</f>
        <v>4.75</v>
      </c>
      <c r="K10" s="12" t="str">
        <f>VLOOKUP(J10,[1]المرجع!$D$3:$E$12,2)</f>
        <v>أ</v>
      </c>
      <c r="L10" s="13">
        <f t="shared" si="1"/>
        <v>9.5</v>
      </c>
      <c r="M10" s="7">
        <v>2</v>
      </c>
      <c r="N10" s="5">
        <v>94</v>
      </c>
      <c r="O10" s="11">
        <f>VLOOKUP(N10,[1]المرجع!$B$3:$C$12,2)</f>
        <v>4.75</v>
      </c>
      <c r="P10" s="12" t="str">
        <f>VLOOKUP(O10,[1]المرجع!$D$3:$E$12,2)</f>
        <v>أ</v>
      </c>
      <c r="Q10" s="13">
        <f t="shared" si="2"/>
        <v>9.5</v>
      </c>
      <c r="R10" s="7">
        <v>2</v>
      </c>
      <c r="S10" s="5">
        <v>85</v>
      </c>
      <c r="T10" s="11">
        <f>VLOOKUP(S10,[1]المرجع!$B$3:$C$12,2)</f>
        <v>4.5</v>
      </c>
      <c r="U10" s="12" t="str">
        <f>VLOOKUP(T10,[1]المرجع!$D$3:$E$12,2)</f>
        <v>ب+</v>
      </c>
      <c r="V10" s="13">
        <f t="shared" si="3"/>
        <v>9</v>
      </c>
      <c r="W10" s="7">
        <v>2</v>
      </c>
      <c r="X10" s="5">
        <v>91</v>
      </c>
      <c r="Y10" s="11">
        <f>VLOOKUP(X10,[1]المرجع!$B$3:$C$12,2)</f>
        <v>4.75</v>
      </c>
      <c r="Z10" s="12" t="str">
        <f>VLOOKUP(Y10,[1]المرجع!$D$3:$E$12,2)</f>
        <v>أ</v>
      </c>
      <c r="AA10" s="13">
        <f t="shared" si="4"/>
        <v>9.5</v>
      </c>
      <c r="AB10" s="7">
        <v>2</v>
      </c>
      <c r="AC10" s="5">
        <v>77</v>
      </c>
      <c r="AD10" s="11">
        <f>VLOOKUP(AC10,[1]المرجع!$B$3:$C$12,2)</f>
        <v>3.5</v>
      </c>
      <c r="AE10" s="12" t="str">
        <f>VLOOKUP(AD10,[1]المرجع!$D$3:$E$12,2)</f>
        <v>ج+</v>
      </c>
      <c r="AF10" s="13">
        <f t="shared" si="5"/>
        <v>7</v>
      </c>
      <c r="AG10" s="7">
        <v>2</v>
      </c>
      <c r="AH10" s="5">
        <v>97</v>
      </c>
      <c r="AI10" s="11">
        <f>VLOOKUP(AH10,[1]المرجع!$B$3:$C$12,2)</f>
        <v>5</v>
      </c>
      <c r="AJ10" s="12" t="str">
        <f>VLOOKUP(AI10,[1]المرجع!$D$3:$E$12,2)</f>
        <v xml:space="preserve">أ+ </v>
      </c>
      <c r="AK10" s="13">
        <f t="shared" si="6"/>
        <v>10</v>
      </c>
      <c r="AL10" s="7">
        <v>2</v>
      </c>
      <c r="AM10" s="5">
        <v>87</v>
      </c>
      <c r="AN10" s="11">
        <f>VLOOKUP(AM10,[1]المرجع!$B$3:$C$12,2)</f>
        <v>4.5</v>
      </c>
      <c r="AO10" s="12" t="str">
        <f>VLOOKUP(AN10,[1]المرجع!$D$3:$E$12,2)</f>
        <v>ب+</v>
      </c>
      <c r="AP10" s="13">
        <f t="shared" si="7"/>
        <v>9</v>
      </c>
      <c r="AQ10" s="7">
        <v>2</v>
      </c>
      <c r="AR10" s="5">
        <v>74</v>
      </c>
      <c r="AS10" s="11">
        <f>VLOOKUP(AR10,[1]المرجع!$B$3:$C$12,2)</f>
        <v>3</v>
      </c>
      <c r="AT10" s="12" t="str">
        <f>VLOOKUP(AS10,[1]المرجع!$D$3:$E$12,2)</f>
        <v>ج</v>
      </c>
      <c r="AU10" s="13">
        <f t="shared" si="8"/>
        <v>6</v>
      </c>
      <c r="AV10" s="7">
        <v>2</v>
      </c>
      <c r="AW10" s="5">
        <v>70</v>
      </c>
      <c r="AX10" s="11">
        <f>VLOOKUP(AW10,[1]المرجع!$B$3:$C$12,2)</f>
        <v>3</v>
      </c>
      <c r="AY10" s="12" t="str">
        <f>VLOOKUP(AX10,[1]المرجع!$D$3:$E$12,2)</f>
        <v>ج</v>
      </c>
      <c r="AZ10" s="13">
        <f t="shared" si="9"/>
        <v>6</v>
      </c>
      <c r="BA10" s="7">
        <v>2</v>
      </c>
      <c r="BB10" s="5">
        <v>84</v>
      </c>
      <c r="BC10" s="11">
        <f>VLOOKUP(BB10,[1]المرجع!$B$3:$C$12,2)</f>
        <v>4</v>
      </c>
      <c r="BD10" s="12" t="str">
        <f>VLOOKUP(BC10,[1]المرجع!$D$3:$E$12,2)</f>
        <v>ب</v>
      </c>
      <c r="BE10" s="13">
        <f t="shared" si="10"/>
        <v>8</v>
      </c>
      <c r="BF10" s="7">
        <v>2</v>
      </c>
      <c r="BG10" s="5">
        <v>89</v>
      </c>
      <c r="BH10" s="11">
        <f>VLOOKUP(BG10,[1]المرجع!$B$3:$C$12,2)</f>
        <v>4.5</v>
      </c>
      <c r="BI10" s="12" t="str">
        <f>VLOOKUP(BH10,[1]المرجع!$D$3:$E$12,2)</f>
        <v>ب+</v>
      </c>
      <c r="BJ10" s="13">
        <f t="shared" si="11"/>
        <v>9</v>
      </c>
      <c r="BK10" s="15">
        <f t="shared" si="12"/>
        <v>97.5</v>
      </c>
      <c r="BL10" s="16">
        <f t="shared" si="13"/>
        <v>23</v>
      </c>
      <c r="BM10" s="17">
        <f t="shared" si="15"/>
        <v>4.2391304347826084</v>
      </c>
      <c r="BN10" s="18" t="str">
        <f>VLOOKUP(BM10,المرجع!$C$1:$E$10,3)</f>
        <v>جيد جد مرتفع</v>
      </c>
      <c r="BO10" s="19">
        <f t="shared" si="14"/>
        <v>8</v>
      </c>
    </row>
    <row r="11" spans="1:67" ht="28.5" hidden="1">
      <c r="A11" s="2">
        <v>2025319</v>
      </c>
      <c r="B11" s="23" t="s">
        <v>20</v>
      </c>
      <c r="C11" s="7">
        <v>1</v>
      </c>
      <c r="D11" s="5">
        <v>97</v>
      </c>
      <c r="E11" s="11">
        <f>VLOOKUP(D11,[1]المرجع!$B$3:$C$12,2)</f>
        <v>5</v>
      </c>
      <c r="F11" s="12" t="str">
        <f>VLOOKUP(E11,[1]المرجع!$D$3:$E$12,2)</f>
        <v xml:space="preserve">أ+ </v>
      </c>
      <c r="G11" s="13">
        <f t="shared" si="0"/>
        <v>5</v>
      </c>
      <c r="H11" s="7">
        <v>2</v>
      </c>
      <c r="I11" s="5">
        <v>100</v>
      </c>
      <c r="J11" s="11">
        <f>VLOOKUP(I11,[1]المرجع!$B$3:$C$12,2)</f>
        <v>5</v>
      </c>
      <c r="K11" s="12" t="str">
        <f>VLOOKUP(J11,[1]المرجع!$D$3:$E$12,2)</f>
        <v xml:space="preserve">أ+ </v>
      </c>
      <c r="L11" s="13">
        <f t="shared" si="1"/>
        <v>10</v>
      </c>
      <c r="M11" s="7">
        <v>2</v>
      </c>
      <c r="N11" s="5">
        <v>97</v>
      </c>
      <c r="O11" s="11">
        <f>VLOOKUP(N11,[1]المرجع!$B$3:$C$12,2)</f>
        <v>5</v>
      </c>
      <c r="P11" s="12" t="str">
        <f>VLOOKUP(O11,[1]المرجع!$D$3:$E$12,2)</f>
        <v xml:space="preserve">أ+ </v>
      </c>
      <c r="Q11" s="13">
        <f t="shared" si="2"/>
        <v>10</v>
      </c>
      <c r="R11" s="7">
        <v>2</v>
      </c>
      <c r="S11" s="5">
        <v>96</v>
      </c>
      <c r="T11" s="11">
        <f>VLOOKUP(S11,[1]المرجع!$B$3:$C$12,2)</f>
        <v>5</v>
      </c>
      <c r="U11" s="12" t="str">
        <f>VLOOKUP(T11,[1]المرجع!$D$3:$E$12,2)</f>
        <v xml:space="preserve">أ+ </v>
      </c>
      <c r="V11" s="13">
        <f t="shared" si="3"/>
        <v>10</v>
      </c>
      <c r="W11" s="7">
        <v>2</v>
      </c>
      <c r="X11" s="5">
        <v>94</v>
      </c>
      <c r="Y11" s="11">
        <f>VLOOKUP(X11,[1]المرجع!$B$3:$C$12,2)</f>
        <v>4.75</v>
      </c>
      <c r="Z11" s="12" t="str">
        <f>VLOOKUP(Y11,[1]المرجع!$D$3:$E$12,2)</f>
        <v>أ</v>
      </c>
      <c r="AA11" s="13">
        <f t="shared" si="4"/>
        <v>9.5</v>
      </c>
      <c r="AB11" s="7">
        <v>2</v>
      </c>
      <c r="AC11" s="5">
        <v>91</v>
      </c>
      <c r="AD11" s="11">
        <f>VLOOKUP(AC11,[1]المرجع!$B$3:$C$12,2)</f>
        <v>4.75</v>
      </c>
      <c r="AE11" s="12" t="str">
        <f>VLOOKUP(AD11,[1]المرجع!$D$3:$E$12,2)</f>
        <v>أ</v>
      </c>
      <c r="AF11" s="13">
        <f t="shared" si="5"/>
        <v>9.5</v>
      </c>
      <c r="AG11" s="7">
        <v>2</v>
      </c>
      <c r="AH11" s="5">
        <v>100</v>
      </c>
      <c r="AI11" s="11">
        <f>VLOOKUP(AH11,[1]المرجع!$B$3:$C$12,2)</f>
        <v>5</v>
      </c>
      <c r="AJ11" s="12" t="str">
        <f>VLOOKUP(AI11,[1]المرجع!$D$3:$E$12,2)</f>
        <v xml:space="preserve">أ+ </v>
      </c>
      <c r="AK11" s="13">
        <f t="shared" si="6"/>
        <v>10</v>
      </c>
      <c r="AL11" s="7">
        <v>2</v>
      </c>
      <c r="AM11" s="5">
        <v>60</v>
      </c>
      <c r="AN11" s="11">
        <f>VLOOKUP(AM11,[1]المرجع!$B$3:$C$12,2)</f>
        <v>2</v>
      </c>
      <c r="AO11" s="12" t="str">
        <f>VLOOKUP(AN11,[1]المرجع!$D$3:$E$12,2)</f>
        <v>د</v>
      </c>
      <c r="AP11" s="13">
        <f t="shared" si="7"/>
        <v>4</v>
      </c>
      <c r="AQ11" s="7">
        <v>2</v>
      </c>
      <c r="AR11" s="5">
        <v>95</v>
      </c>
      <c r="AS11" s="11">
        <f>VLOOKUP(AR11,[1]المرجع!$B$3:$C$12,2)</f>
        <v>5</v>
      </c>
      <c r="AT11" s="12" t="str">
        <f>VLOOKUP(AS11,[1]المرجع!$D$3:$E$12,2)</f>
        <v xml:space="preserve">أ+ </v>
      </c>
      <c r="AU11" s="13">
        <f t="shared" si="8"/>
        <v>10</v>
      </c>
      <c r="AV11" s="7">
        <v>2</v>
      </c>
      <c r="AW11" s="5">
        <v>66</v>
      </c>
      <c r="AX11" s="11">
        <f>VLOOKUP(AW11,[1]المرجع!$B$3:$C$12,2)</f>
        <v>2.5</v>
      </c>
      <c r="AY11" s="12" t="str">
        <f>VLOOKUP(AX11,[1]المرجع!$D$3:$E$12,2)</f>
        <v>د+</v>
      </c>
      <c r="AZ11" s="13">
        <f t="shared" si="9"/>
        <v>5</v>
      </c>
      <c r="BA11" s="7">
        <v>2</v>
      </c>
      <c r="BB11" s="5">
        <v>95</v>
      </c>
      <c r="BC11" s="11">
        <f>VLOOKUP(BB11,[1]المرجع!$B$3:$C$12,2)</f>
        <v>5</v>
      </c>
      <c r="BD11" s="12" t="str">
        <f>VLOOKUP(BC11,[1]المرجع!$D$3:$E$12,2)</f>
        <v xml:space="preserve">أ+ </v>
      </c>
      <c r="BE11" s="13">
        <f t="shared" si="10"/>
        <v>10</v>
      </c>
      <c r="BF11" s="7">
        <v>2</v>
      </c>
      <c r="BG11" s="5">
        <v>50</v>
      </c>
      <c r="BH11" s="11">
        <f>VLOOKUP(BG11,[1]المرجع!$B$3:$C$12,2)</f>
        <v>2</v>
      </c>
      <c r="BI11" s="12" t="str">
        <f>VLOOKUP(BH11,[1]المرجع!$D$3:$E$12,2)</f>
        <v>د</v>
      </c>
      <c r="BJ11" s="13">
        <f t="shared" si="11"/>
        <v>4</v>
      </c>
      <c r="BK11" s="15">
        <f t="shared" si="12"/>
        <v>97</v>
      </c>
      <c r="BL11" s="16">
        <f t="shared" si="13"/>
        <v>23</v>
      </c>
      <c r="BM11" s="17">
        <f t="shared" si="15"/>
        <v>4.2173913043478262</v>
      </c>
      <c r="BN11" s="18" t="str">
        <f>VLOOKUP(BM11,المرجع!$C$1:$E$10,3)</f>
        <v>جيد جد مرتفع</v>
      </c>
      <c r="BO11" s="19">
        <f t="shared" si="14"/>
        <v>10</v>
      </c>
    </row>
    <row r="12" spans="1:67" ht="28.5" hidden="1">
      <c r="A12" s="2">
        <v>2025344</v>
      </c>
      <c r="B12" s="23" t="s">
        <v>23</v>
      </c>
      <c r="C12" s="7">
        <v>1</v>
      </c>
      <c r="D12" s="5">
        <v>86</v>
      </c>
      <c r="E12" s="11">
        <f>VLOOKUP(D12,[1]المرجع!$B$3:$C$12,2)</f>
        <v>4.5</v>
      </c>
      <c r="F12" s="12" t="str">
        <f>VLOOKUP(E12,[1]المرجع!$D$3:$E$12,2)</f>
        <v>ب+</v>
      </c>
      <c r="G12" s="13">
        <f t="shared" si="0"/>
        <v>4.5</v>
      </c>
      <c r="H12" s="7">
        <v>2</v>
      </c>
      <c r="I12" s="5">
        <v>98</v>
      </c>
      <c r="J12" s="11">
        <f>VLOOKUP(I12,[1]المرجع!$B$3:$C$12,2)</f>
        <v>5</v>
      </c>
      <c r="K12" s="12" t="str">
        <f>VLOOKUP(J12,[1]المرجع!$D$3:$E$12,2)</f>
        <v xml:space="preserve">أ+ </v>
      </c>
      <c r="L12" s="13">
        <f t="shared" si="1"/>
        <v>10</v>
      </c>
      <c r="M12" s="7">
        <v>2</v>
      </c>
      <c r="N12" s="5">
        <v>93</v>
      </c>
      <c r="O12" s="11">
        <f>VLOOKUP(N12,[1]المرجع!$B$3:$C$12,2)</f>
        <v>4.75</v>
      </c>
      <c r="P12" s="12" t="str">
        <f>VLOOKUP(O12,[1]المرجع!$D$3:$E$12,2)</f>
        <v>أ</v>
      </c>
      <c r="Q12" s="13">
        <f t="shared" si="2"/>
        <v>9.5</v>
      </c>
      <c r="R12" s="7">
        <v>2</v>
      </c>
      <c r="S12" s="5">
        <v>86</v>
      </c>
      <c r="T12" s="11">
        <f>VLOOKUP(S12,[1]المرجع!$B$3:$C$12,2)</f>
        <v>4.5</v>
      </c>
      <c r="U12" s="12" t="str">
        <f>VLOOKUP(T12,[1]المرجع!$D$3:$E$12,2)</f>
        <v>ب+</v>
      </c>
      <c r="V12" s="13">
        <f t="shared" si="3"/>
        <v>9</v>
      </c>
      <c r="W12" s="7">
        <v>2</v>
      </c>
      <c r="X12" s="5">
        <v>80</v>
      </c>
      <c r="Y12" s="11">
        <f>VLOOKUP(X12,[1]المرجع!$B$3:$C$12,2)</f>
        <v>4</v>
      </c>
      <c r="Z12" s="12" t="str">
        <f>VLOOKUP(Y12,[1]المرجع!$D$3:$E$12,2)</f>
        <v>ب</v>
      </c>
      <c r="AA12" s="13">
        <f t="shared" si="4"/>
        <v>8</v>
      </c>
      <c r="AB12" s="7">
        <v>2</v>
      </c>
      <c r="AC12" s="5">
        <v>82</v>
      </c>
      <c r="AD12" s="11">
        <f>VLOOKUP(AC12,[1]المرجع!$B$3:$C$12,2)</f>
        <v>4</v>
      </c>
      <c r="AE12" s="12" t="str">
        <f>VLOOKUP(AD12,[1]المرجع!$D$3:$E$12,2)</f>
        <v>ب</v>
      </c>
      <c r="AF12" s="13">
        <f t="shared" si="5"/>
        <v>8</v>
      </c>
      <c r="AG12" s="7">
        <v>2</v>
      </c>
      <c r="AH12" s="5">
        <v>100</v>
      </c>
      <c r="AI12" s="11">
        <f>VLOOKUP(AH12,[1]المرجع!$B$3:$C$12,2)</f>
        <v>5</v>
      </c>
      <c r="AJ12" s="12" t="str">
        <f>VLOOKUP(AI12,[1]المرجع!$D$3:$E$12,2)</f>
        <v xml:space="preserve">أ+ </v>
      </c>
      <c r="AK12" s="13">
        <f t="shared" si="6"/>
        <v>10</v>
      </c>
      <c r="AL12" s="7">
        <v>2</v>
      </c>
      <c r="AM12" s="5">
        <v>79</v>
      </c>
      <c r="AN12" s="11">
        <f>VLOOKUP(AM12,[1]المرجع!$B$3:$C$12,2)</f>
        <v>3.5</v>
      </c>
      <c r="AO12" s="12" t="str">
        <f>VLOOKUP(AN12,[1]المرجع!$D$3:$E$12,2)</f>
        <v>ج+</v>
      </c>
      <c r="AP12" s="13">
        <f t="shared" si="7"/>
        <v>7</v>
      </c>
      <c r="AQ12" s="7">
        <v>2</v>
      </c>
      <c r="AR12" s="5">
        <v>85</v>
      </c>
      <c r="AS12" s="11">
        <f>VLOOKUP(AR12,[1]المرجع!$B$3:$C$12,2)</f>
        <v>4.5</v>
      </c>
      <c r="AT12" s="12" t="str">
        <f>VLOOKUP(AS12,[1]المرجع!$D$3:$E$12,2)</f>
        <v>ب+</v>
      </c>
      <c r="AU12" s="13">
        <f t="shared" si="8"/>
        <v>9</v>
      </c>
      <c r="AV12" s="7">
        <v>2</v>
      </c>
      <c r="AW12" s="5">
        <v>66</v>
      </c>
      <c r="AX12" s="11">
        <f>VLOOKUP(AW12,[1]المرجع!$B$3:$C$12,2)</f>
        <v>2.5</v>
      </c>
      <c r="AY12" s="12" t="str">
        <f>VLOOKUP(AX12,[1]المرجع!$D$3:$E$12,2)</f>
        <v>د+</v>
      </c>
      <c r="AZ12" s="13">
        <f t="shared" si="9"/>
        <v>5</v>
      </c>
      <c r="BA12" s="7">
        <v>2</v>
      </c>
      <c r="BB12" s="5">
        <v>83</v>
      </c>
      <c r="BC12" s="11">
        <f>VLOOKUP(BB12,[1]المرجع!$B$3:$C$12,2)</f>
        <v>4</v>
      </c>
      <c r="BD12" s="12" t="str">
        <f>VLOOKUP(BC12,[1]المرجع!$D$3:$E$12,2)</f>
        <v>ب</v>
      </c>
      <c r="BE12" s="13">
        <f t="shared" si="10"/>
        <v>8</v>
      </c>
      <c r="BF12" s="7">
        <v>2</v>
      </c>
      <c r="BG12" s="5">
        <v>84</v>
      </c>
      <c r="BH12" s="11">
        <f>VLOOKUP(BG12,[1]المرجع!$B$3:$C$12,2)</f>
        <v>4</v>
      </c>
      <c r="BI12" s="12" t="str">
        <f>VLOOKUP(BH12,[1]المرجع!$D$3:$E$12,2)</f>
        <v>ب</v>
      </c>
      <c r="BJ12" s="13">
        <f t="shared" si="11"/>
        <v>8</v>
      </c>
      <c r="BK12" s="15">
        <f t="shared" si="12"/>
        <v>96</v>
      </c>
      <c r="BL12" s="16">
        <f t="shared" si="13"/>
        <v>23</v>
      </c>
      <c r="BM12" s="17">
        <f t="shared" si="15"/>
        <v>4.1739130434782608</v>
      </c>
      <c r="BN12" s="18" t="str">
        <f>VLOOKUP(BM12,المرجع!$C$1:$E$10,3)</f>
        <v>جيد جد مرتفع</v>
      </c>
      <c r="BO12" s="19">
        <f t="shared" si="14"/>
        <v>11</v>
      </c>
    </row>
    <row r="13" spans="1:67" ht="28.5" hidden="1">
      <c r="A13" s="2">
        <v>2025304</v>
      </c>
      <c r="B13" s="23" t="s">
        <v>22</v>
      </c>
      <c r="C13" s="7">
        <v>1</v>
      </c>
      <c r="D13" s="5">
        <v>99</v>
      </c>
      <c r="E13" s="11">
        <f>VLOOKUP(D13,[1]المرجع!$B$3:$C$12,2)</f>
        <v>5</v>
      </c>
      <c r="F13" s="12" t="str">
        <f>VLOOKUP(E13,[1]المرجع!$D$3:$E$12,2)</f>
        <v xml:space="preserve">أ+ </v>
      </c>
      <c r="G13" s="13">
        <f t="shared" si="0"/>
        <v>5</v>
      </c>
      <c r="H13" s="7">
        <v>2</v>
      </c>
      <c r="I13" s="5">
        <v>70</v>
      </c>
      <c r="J13" s="11">
        <f>VLOOKUP(I13,[1]المرجع!$B$3:$C$12,2)</f>
        <v>3</v>
      </c>
      <c r="K13" s="12" t="str">
        <f>VLOOKUP(J13,[1]المرجع!$D$3:$E$12,2)</f>
        <v>ج</v>
      </c>
      <c r="L13" s="13">
        <f t="shared" si="1"/>
        <v>6</v>
      </c>
      <c r="M13" s="7">
        <v>2</v>
      </c>
      <c r="N13" s="5">
        <v>90</v>
      </c>
      <c r="O13" s="11">
        <f>VLOOKUP(N13,[1]المرجع!$B$3:$C$12,2)</f>
        <v>4.75</v>
      </c>
      <c r="P13" s="12" t="str">
        <f>VLOOKUP(O13,[1]المرجع!$D$3:$E$12,2)</f>
        <v>أ</v>
      </c>
      <c r="Q13" s="13">
        <f t="shared" si="2"/>
        <v>9.5</v>
      </c>
      <c r="R13" s="7">
        <v>2</v>
      </c>
      <c r="S13" s="5">
        <v>90</v>
      </c>
      <c r="T13" s="11">
        <f>VLOOKUP(S13,[1]المرجع!$B$3:$C$12,2)</f>
        <v>4.75</v>
      </c>
      <c r="U13" s="12" t="str">
        <f>VLOOKUP(T13,[1]المرجع!$D$3:$E$12,2)</f>
        <v>أ</v>
      </c>
      <c r="V13" s="13">
        <f t="shared" si="3"/>
        <v>9.5</v>
      </c>
      <c r="W13" s="7">
        <v>2</v>
      </c>
      <c r="X13" s="5">
        <v>87</v>
      </c>
      <c r="Y13" s="11">
        <f>VLOOKUP(X13,[1]المرجع!$B$3:$C$12,2)</f>
        <v>4.5</v>
      </c>
      <c r="Z13" s="12" t="str">
        <f>VLOOKUP(Y13,[1]المرجع!$D$3:$E$12,2)</f>
        <v>ب+</v>
      </c>
      <c r="AA13" s="13">
        <f t="shared" si="4"/>
        <v>9</v>
      </c>
      <c r="AB13" s="7">
        <v>2</v>
      </c>
      <c r="AC13" s="5">
        <v>85</v>
      </c>
      <c r="AD13" s="11">
        <f>VLOOKUP(AC13,[1]المرجع!$B$3:$C$12,2)</f>
        <v>4.5</v>
      </c>
      <c r="AE13" s="12" t="str">
        <f>VLOOKUP(AD13,[1]المرجع!$D$3:$E$12,2)</f>
        <v>ب+</v>
      </c>
      <c r="AF13" s="13">
        <f t="shared" si="5"/>
        <v>9</v>
      </c>
      <c r="AG13" s="7">
        <v>2</v>
      </c>
      <c r="AH13" s="5">
        <v>99</v>
      </c>
      <c r="AI13" s="11">
        <f>VLOOKUP(AH13,[1]المرجع!$B$3:$C$12,2)</f>
        <v>5</v>
      </c>
      <c r="AJ13" s="12" t="str">
        <f>VLOOKUP(AI13,[1]المرجع!$D$3:$E$12,2)</f>
        <v xml:space="preserve">أ+ </v>
      </c>
      <c r="AK13" s="13">
        <f t="shared" si="6"/>
        <v>10</v>
      </c>
      <c r="AL13" s="7">
        <v>2</v>
      </c>
      <c r="AM13" s="5">
        <v>85</v>
      </c>
      <c r="AN13" s="11">
        <f>VLOOKUP(AM13,[1]المرجع!$B$3:$C$12,2)</f>
        <v>4.5</v>
      </c>
      <c r="AO13" s="12" t="str">
        <f>VLOOKUP(AN13,[1]المرجع!$D$3:$E$12,2)</f>
        <v>ب+</v>
      </c>
      <c r="AP13" s="13">
        <f t="shared" si="7"/>
        <v>9</v>
      </c>
      <c r="AQ13" s="7">
        <v>2</v>
      </c>
      <c r="AR13" s="5">
        <v>76</v>
      </c>
      <c r="AS13" s="11">
        <f>VLOOKUP(AR13,[1]المرجع!$B$3:$C$12,2)</f>
        <v>3.5</v>
      </c>
      <c r="AT13" s="12" t="str">
        <f>VLOOKUP(AS13,[1]المرجع!$D$3:$E$12,2)</f>
        <v>ج+</v>
      </c>
      <c r="AU13" s="13">
        <f t="shared" si="8"/>
        <v>7</v>
      </c>
      <c r="AV13" s="7">
        <v>2</v>
      </c>
      <c r="AW13" s="5">
        <v>65</v>
      </c>
      <c r="AX13" s="11">
        <f>VLOOKUP(AW13,[1]المرجع!$B$3:$C$12,2)</f>
        <v>2.5</v>
      </c>
      <c r="AY13" s="12" t="str">
        <f>VLOOKUP(AX13,[1]المرجع!$D$3:$E$12,2)</f>
        <v>د+</v>
      </c>
      <c r="AZ13" s="13">
        <f t="shared" si="9"/>
        <v>5</v>
      </c>
      <c r="BA13" s="7">
        <v>2</v>
      </c>
      <c r="BB13" s="5">
        <v>89</v>
      </c>
      <c r="BC13" s="11">
        <f>VLOOKUP(BB13,[1]المرجع!$B$3:$C$12,2)</f>
        <v>4.5</v>
      </c>
      <c r="BD13" s="12" t="str">
        <f>VLOOKUP(BC13,[1]المرجع!$D$3:$E$12,2)</f>
        <v>ب+</v>
      </c>
      <c r="BE13" s="13">
        <f t="shared" si="10"/>
        <v>9</v>
      </c>
      <c r="BF13" s="7">
        <v>2</v>
      </c>
      <c r="BG13" s="5">
        <v>69</v>
      </c>
      <c r="BH13" s="11">
        <f>VLOOKUP(BG13,[1]المرجع!$B$3:$C$12,2)</f>
        <v>2.5</v>
      </c>
      <c r="BI13" s="12" t="str">
        <f>VLOOKUP(BH13,[1]المرجع!$D$3:$E$12,2)</f>
        <v>د+</v>
      </c>
      <c r="BJ13" s="13">
        <f t="shared" si="11"/>
        <v>5</v>
      </c>
      <c r="BK13" s="15">
        <f t="shared" si="12"/>
        <v>93</v>
      </c>
      <c r="BL13" s="16">
        <f t="shared" si="13"/>
        <v>23</v>
      </c>
      <c r="BM13" s="17">
        <f t="shared" si="15"/>
        <v>4.0434782608695654</v>
      </c>
      <c r="BN13" s="18" t="str">
        <f>VLOOKUP(BM13,المرجع!$C$1:$E$10,3)</f>
        <v xml:space="preserve">جيد جدا </v>
      </c>
      <c r="BO13" s="19">
        <f t="shared" si="14"/>
        <v>12</v>
      </c>
    </row>
    <row r="14" spans="1:67" ht="28.5" hidden="1">
      <c r="A14" s="2">
        <v>2025332</v>
      </c>
      <c r="B14" s="23" t="s">
        <v>24</v>
      </c>
      <c r="C14" s="7">
        <v>1</v>
      </c>
      <c r="D14" s="5">
        <v>99</v>
      </c>
      <c r="E14" s="11">
        <f>VLOOKUP(D14,[1]المرجع!$B$3:$C$12,2)</f>
        <v>5</v>
      </c>
      <c r="F14" s="12" t="str">
        <f>VLOOKUP(E14,[1]المرجع!$D$3:$E$12,2)</f>
        <v xml:space="preserve">أ+ </v>
      </c>
      <c r="G14" s="13">
        <f t="shared" si="0"/>
        <v>5</v>
      </c>
      <c r="H14" s="7">
        <v>2</v>
      </c>
      <c r="I14" s="5">
        <v>91</v>
      </c>
      <c r="J14" s="11">
        <f>VLOOKUP(I14,[1]المرجع!$B$3:$C$12,2)</f>
        <v>4.75</v>
      </c>
      <c r="K14" s="12" t="str">
        <f>VLOOKUP(J14,[1]المرجع!$D$3:$E$12,2)</f>
        <v>أ</v>
      </c>
      <c r="L14" s="13">
        <f t="shared" si="1"/>
        <v>9.5</v>
      </c>
      <c r="M14" s="7">
        <v>2</v>
      </c>
      <c r="N14" s="5">
        <v>95</v>
      </c>
      <c r="O14" s="11">
        <f>VLOOKUP(N14,[1]المرجع!$B$3:$C$12,2)</f>
        <v>5</v>
      </c>
      <c r="P14" s="12" t="str">
        <f>VLOOKUP(O14,[1]المرجع!$D$3:$E$12,2)</f>
        <v xml:space="preserve">أ+ </v>
      </c>
      <c r="Q14" s="13">
        <f t="shared" si="2"/>
        <v>10</v>
      </c>
      <c r="R14" s="7">
        <v>2</v>
      </c>
      <c r="S14" s="5">
        <v>96</v>
      </c>
      <c r="T14" s="11">
        <f>VLOOKUP(S14,[1]المرجع!$B$3:$C$12,2)</f>
        <v>5</v>
      </c>
      <c r="U14" s="12" t="str">
        <f>VLOOKUP(T14,[1]المرجع!$D$3:$E$12,2)</f>
        <v xml:space="preserve">أ+ </v>
      </c>
      <c r="V14" s="13">
        <f t="shared" si="3"/>
        <v>10</v>
      </c>
      <c r="W14" s="7">
        <v>2</v>
      </c>
      <c r="X14" s="5">
        <v>90</v>
      </c>
      <c r="Y14" s="11">
        <f>VLOOKUP(X14,[1]المرجع!$B$3:$C$12,2)</f>
        <v>4.75</v>
      </c>
      <c r="Z14" s="12" t="str">
        <f>VLOOKUP(Y14,[1]المرجع!$D$3:$E$12,2)</f>
        <v>أ</v>
      </c>
      <c r="AA14" s="13">
        <f t="shared" si="4"/>
        <v>9.5</v>
      </c>
      <c r="AB14" s="7">
        <v>2</v>
      </c>
      <c r="AC14" s="5">
        <v>72</v>
      </c>
      <c r="AD14" s="11">
        <f>VLOOKUP(AC14,[1]المرجع!$B$3:$C$12,2)</f>
        <v>3</v>
      </c>
      <c r="AE14" s="12" t="str">
        <f>VLOOKUP(AD14,[1]المرجع!$D$3:$E$12,2)</f>
        <v>ج</v>
      </c>
      <c r="AF14" s="13">
        <f t="shared" si="5"/>
        <v>6</v>
      </c>
      <c r="AG14" s="7">
        <v>2</v>
      </c>
      <c r="AH14" s="5">
        <v>97</v>
      </c>
      <c r="AI14" s="11">
        <f>VLOOKUP(AH14,[1]المرجع!$B$3:$C$12,2)</f>
        <v>5</v>
      </c>
      <c r="AJ14" s="12" t="str">
        <f>VLOOKUP(AI14,[1]المرجع!$D$3:$E$12,2)</f>
        <v xml:space="preserve">أ+ </v>
      </c>
      <c r="AK14" s="13">
        <f t="shared" si="6"/>
        <v>10</v>
      </c>
      <c r="AL14" s="7">
        <v>2</v>
      </c>
      <c r="AM14" s="5">
        <v>55</v>
      </c>
      <c r="AN14" s="11">
        <f>VLOOKUP(AM14,[1]المرجع!$B$3:$C$12,2)</f>
        <v>2</v>
      </c>
      <c r="AO14" s="12" t="str">
        <f>VLOOKUP(AN14,[1]المرجع!$D$3:$E$12,2)</f>
        <v>د</v>
      </c>
      <c r="AP14" s="13">
        <f t="shared" si="7"/>
        <v>4</v>
      </c>
      <c r="AQ14" s="7">
        <v>2</v>
      </c>
      <c r="AR14" s="5">
        <v>84</v>
      </c>
      <c r="AS14" s="11">
        <f>VLOOKUP(AR14,[1]المرجع!$B$3:$C$12,2)</f>
        <v>4</v>
      </c>
      <c r="AT14" s="12" t="str">
        <f>VLOOKUP(AS14,[1]المرجع!$D$3:$E$12,2)</f>
        <v>ب</v>
      </c>
      <c r="AU14" s="13">
        <f t="shared" si="8"/>
        <v>8</v>
      </c>
      <c r="AV14" s="7">
        <v>2</v>
      </c>
      <c r="AW14" s="5">
        <v>69</v>
      </c>
      <c r="AX14" s="11">
        <f>VLOOKUP(AW14,[1]المرجع!$B$3:$C$12,2)</f>
        <v>2.5</v>
      </c>
      <c r="AY14" s="12" t="str">
        <f>VLOOKUP(AX14,[1]المرجع!$D$3:$E$12,2)</f>
        <v>د+</v>
      </c>
      <c r="AZ14" s="13">
        <f t="shared" si="9"/>
        <v>5</v>
      </c>
      <c r="BA14" s="7">
        <v>2</v>
      </c>
      <c r="BB14" s="5">
        <v>66</v>
      </c>
      <c r="BC14" s="11">
        <f>VLOOKUP(BB14,[1]المرجع!$B$3:$C$12,2)</f>
        <v>2.5</v>
      </c>
      <c r="BD14" s="12" t="str">
        <f>VLOOKUP(BC14,[1]المرجع!$D$3:$E$12,2)</f>
        <v>د+</v>
      </c>
      <c r="BE14" s="13">
        <f t="shared" si="10"/>
        <v>5</v>
      </c>
      <c r="BF14" s="7">
        <v>2</v>
      </c>
      <c r="BG14" s="5">
        <v>76</v>
      </c>
      <c r="BH14" s="11">
        <f>VLOOKUP(BG14,[1]المرجع!$B$3:$C$12,2)</f>
        <v>3.5</v>
      </c>
      <c r="BI14" s="12" t="str">
        <f>VLOOKUP(BH14,[1]المرجع!$D$3:$E$12,2)</f>
        <v>ج+</v>
      </c>
      <c r="BJ14" s="13">
        <f t="shared" si="11"/>
        <v>7</v>
      </c>
      <c r="BK14" s="15">
        <f t="shared" si="12"/>
        <v>89</v>
      </c>
      <c r="BL14" s="16">
        <f t="shared" si="13"/>
        <v>23</v>
      </c>
      <c r="BM14" s="17">
        <f t="shared" si="15"/>
        <v>3.8695652173913042</v>
      </c>
      <c r="BN14" s="18" t="str">
        <f>VLOOKUP(BM14,المرجع!$C$1:$E$10,3)</f>
        <v xml:space="preserve">جيد جدا </v>
      </c>
      <c r="BO14" s="19">
        <f t="shared" si="14"/>
        <v>13</v>
      </c>
    </row>
    <row r="15" spans="1:67" ht="28.5">
      <c r="A15" s="2">
        <v>2025420</v>
      </c>
      <c r="B15" s="23" t="s">
        <v>26</v>
      </c>
      <c r="C15" s="7">
        <v>1</v>
      </c>
      <c r="D15" s="5">
        <v>99</v>
      </c>
      <c r="E15" s="11">
        <f>VLOOKUP(D15,[1]المرجع!$B$3:$C$12,2)</f>
        <v>5</v>
      </c>
      <c r="F15" s="12" t="str">
        <f>VLOOKUP(E15,[1]المرجع!$D$3:$E$12,2)</f>
        <v xml:space="preserve">أ+ </v>
      </c>
      <c r="G15" s="13">
        <f t="shared" si="0"/>
        <v>5</v>
      </c>
      <c r="H15" s="7">
        <v>2</v>
      </c>
      <c r="I15" s="5">
        <v>100</v>
      </c>
      <c r="J15" s="11">
        <f>VLOOKUP(I15,[1]المرجع!$B$3:$C$12,2)</f>
        <v>5</v>
      </c>
      <c r="K15" s="12" t="str">
        <f>VLOOKUP(J15,[1]المرجع!$D$3:$E$12,2)</f>
        <v xml:space="preserve">أ+ </v>
      </c>
      <c r="L15" s="13">
        <f t="shared" si="1"/>
        <v>10</v>
      </c>
      <c r="M15" s="7">
        <v>2</v>
      </c>
      <c r="N15" s="5">
        <v>98</v>
      </c>
      <c r="O15" s="11">
        <f>VLOOKUP(N15,[1]المرجع!$B$3:$C$12,2)</f>
        <v>5</v>
      </c>
      <c r="P15" s="12" t="str">
        <f>VLOOKUP(O15,[1]المرجع!$D$3:$E$12,2)</f>
        <v xml:space="preserve">أ+ </v>
      </c>
      <c r="Q15" s="13">
        <f t="shared" si="2"/>
        <v>10</v>
      </c>
      <c r="R15" s="7">
        <v>2</v>
      </c>
      <c r="S15" s="5">
        <v>96</v>
      </c>
      <c r="T15" s="11">
        <f>VLOOKUP(S15,[1]المرجع!$B$3:$C$12,2)</f>
        <v>5</v>
      </c>
      <c r="U15" s="12" t="str">
        <f>VLOOKUP(T15,[1]المرجع!$D$3:$E$12,2)</f>
        <v xml:space="preserve">أ+ </v>
      </c>
      <c r="V15" s="13">
        <f t="shared" si="3"/>
        <v>10</v>
      </c>
      <c r="W15" s="7">
        <v>2</v>
      </c>
      <c r="X15" s="5">
        <v>95</v>
      </c>
      <c r="Y15" s="11">
        <f>VLOOKUP(X15,[1]المرجع!$B$3:$C$12,2)</f>
        <v>5</v>
      </c>
      <c r="Z15" s="12" t="str">
        <f>VLOOKUP(Y15,[1]المرجع!$D$3:$E$12,2)</f>
        <v xml:space="preserve">أ+ </v>
      </c>
      <c r="AA15" s="13">
        <f t="shared" si="4"/>
        <v>10</v>
      </c>
      <c r="AB15" s="7">
        <v>2</v>
      </c>
      <c r="AC15" s="5">
        <v>83</v>
      </c>
      <c r="AD15" s="11">
        <f>VLOOKUP(AC15,[1]المرجع!$B$3:$C$12,2)</f>
        <v>4</v>
      </c>
      <c r="AE15" s="12" t="str">
        <f>VLOOKUP(AD15,[1]المرجع!$D$3:$E$12,2)</f>
        <v>ب</v>
      </c>
      <c r="AF15" s="13">
        <f t="shared" si="5"/>
        <v>8</v>
      </c>
      <c r="AG15" s="7">
        <v>2</v>
      </c>
      <c r="AH15" s="5">
        <v>99</v>
      </c>
      <c r="AI15" s="11">
        <f>VLOOKUP(AH15,[1]المرجع!$B$3:$C$12,2)</f>
        <v>5</v>
      </c>
      <c r="AJ15" s="12" t="str">
        <f>VLOOKUP(AI15,[1]المرجع!$D$3:$E$12,2)</f>
        <v xml:space="preserve">أ+ </v>
      </c>
      <c r="AK15" s="13">
        <f t="shared" si="6"/>
        <v>10</v>
      </c>
      <c r="AL15" s="7">
        <v>2</v>
      </c>
      <c r="AM15" s="5">
        <v>75</v>
      </c>
      <c r="AN15" s="11">
        <f>VLOOKUP(AM15,[1]المرجع!$B$3:$C$12,2)</f>
        <v>3.5</v>
      </c>
      <c r="AO15" s="12" t="str">
        <f>VLOOKUP(AN15,[1]المرجع!$D$3:$E$12,2)</f>
        <v>ج+</v>
      </c>
      <c r="AP15" s="13">
        <f t="shared" si="7"/>
        <v>7</v>
      </c>
      <c r="AQ15" s="7">
        <v>2</v>
      </c>
      <c r="AR15" s="5">
        <v>18</v>
      </c>
      <c r="AS15" s="11">
        <f>VLOOKUP(AR15,[1]المرجع!$B$3:$C$12,2)</f>
        <v>0</v>
      </c>
      <c r="AT15" s="12" t="str">
        <f>VLOOKUP(AS15,[1]المرجع!$D$3:$E$12,2)</f>
        <v>ه</v>
      </c>
      <c r="AU15" s="13">
        <f t="shared" si="8"/>
        <v>0</v>
      </c>
      <c r="AV15" s="7">
        <v>2</v>
      </c>
      <c r="AW15" s="5">
        <v>91</v>
      </c>
      <c r="AX15" s="11">
        <f>VLOOKUP(AW15,[1]المرجع!$B$3:$C$12,2)</f>
        <v>4.75</v>
      </c>
      <c r="AY15" s="12" t="str">
        <f>VLOOKUP(AX15,[1]المرجع!$D$3:$E$12,2)</f>
        <v>أ</v>
      </c>
      <c r="AZ15" s="13">
        <f t="shared" si="9"/>
        <v>9.5</v>
      </c>
      <c r="BA15" s="7">
        <v>2</v>
      </c>
      <c r="BB15" s="5">
        <v>99</v>
      </c>
      <c r="BC15" s="11">
        <f>VLOOKUP(BB15,[1]المرجع!$B$3:$C$12,2)</f>
        <v>5</v>
      </c>
      <c r="BD15" s="12" t="str">
        <f>VLOOKUP(BC15,[1]المرجع!$D$3:$E$12,2)</f>
        <v xml:space="preserve">أ+ </v>
      </c>
      <c r="BE15" s="13">
        <f t="shared" si="10"/>
        <v>10</v>
      </c>
      <c r="BF15" s="7">
        <v>2</v>
      </c>
      <c r="BG15" s="5">
        <f>25+56</f>
        <v>81</v>
      </c>
      <c r="BH15" s="11">
        <f>VLOOKUP(BG15,[1]المرجع!$B$3:$C$12,2)</f>
        <v>4</v>
      </c>
      <c r="BI15" s="12" t="str">
        <f>VLOOKUP(BH15,[1]المرجع!$D$3:$E$12,2)</f>
        <v>ب</v>
      </c>
      <c r="BJ15" s="13">
        <f t="shared" si="11"/>
        <v>8</v>
      </c>
      <c r="BK15" s="15">
        <f t="shared" si="12"/>
        <v>97.5</v>
      </c>
      <c r="BL15" s="16">
        <f t="shared" si="13"/>
        <v>23</v>
      </c>
      <c r="BM15" s="17">
        <f t="shared" si="15"/>
        <v>4.2391304347826084</v>
      </c>
      <c r="BN15" s="18" t="str">
        <f>VLOOKUP(BM15,المرجع!$C$1:$E$10,3)</f>
        <v>جيد جد مرتفع</v>
      </c>
      <c r="BO15" s="19">
        <f t="shared" si="14"/>
        <v>8</v>
      </c>
    </row>
    <row r="16" spans="1:67" ht="28.5" hidden="1">
      <c r="A16" s="2">
        <v>2025368</v>
      </c>
      <c r="B16" s="23" t="s">
        <v>27</v>
      </c>
      <c r="C16" s="7">
        <v>1</v>
      </c>
      <c r="D16" s="5">
        <v>96</v>
      </c>
      <c r="E16" s="11">
        <f>VLOOKUP(D16,[1]المرجع!$B$3:$C$12,2)</f>
        <v>5</v>
      </c>
      <c r="F16" s="12" t="str">
        <f>VLOOKUP(E16,[1]المرجع!$D$3:$E$12,2)</f>
        <v xml:space="preserve">أ+ </v>
      </c>
      <c r="G16" s="13">
        <f t="shared" si="0"/>
        <v>5</v>
      </c>
      <c r="H16" s="7">
        <v>2</v>
      </c>
      <c r="I16" s="5">
        <v>76</v>
      </c>
      <c r="J16" s="11">
        <f>VLOOKUP(I16,[1]المرجع!$B$3:$C$12,2)</f>
        <v>3.5</v>
      </c>
      <c r="K16" s="12" t="str">
        <f>VLOOKUP(J16,[1]المرجع!$D$3:$E$12,2)</f>
        <v>ج+</v>
      </c>
      <c r="L16" s="13">
        <f t="shared" si="1"/>
        <v>7</v>
      </c>
      <c r="M16" s="7">
        <v>2</v>
      </c>
      <c r="N16" s="5">
        <v>94</v>
      </c>
      <c r="O16" s="11">
        <f>VLOOKUP(N16,[1]المرجع!$B$3:$C$12,2)</f>
        <v>4.75</v>
      </c>
      <c r="P16" s="12" t="str">
        <f>VLOOKUP(O16,[1]المرجع!$D$3:$E$12,2)</f>
        <v>أ</v>
      </c>
      <c r="Q16" s="13">
        <f t="shared" si="2"/>
        <v>9.5</v>
      </c>
      <c r="R16" s="7">
        <v>2</v>
      </c>
      <c r="S16" s="5">
        <v>90</v>
      </c>
      <c r="T16" s="11">
        <f>VLOOKUP(S16,[1]المرجع!$B$3:$C$12,2)</f>
        <v>4.75</v>
      </c>
      <c r="U16" s="12" t="str">
        <f>VLOOKUP(T16,[1]المرجع!$D$3:$E$12,2)</f>
        <v>أ</v>
      </c>
      <c r="V16" s="13">
        <f t="shared" si="3"/>
        <v>9.5</v>
      </c>
      <c r="W16" s="7">
        <v>2</v>
      </c>
      <c r="X16" s="5">
        <v>70</v>
      </c>
      <c r="Y16" s="11">
        <f>VLOOKUP(X16,[1]المرجع!$B$3:$C$12,2)</f>
        <v>3</v>
      </c>
      <c r="Z16" s="12" t="str">
        <f>VLOOKUP(Y16,[1]المرجع!$D$3:$E$12,2)</f>
        <v>ج</v>
      </c>
      <c r="AA16" s="13">
        <f t="shared" si="4"/>
        <v>6</v>
      </c>
      <c r="AB16" s="7">
        <v>2</v>
      </c>
      <c r="AC16" s="5">
        <v>55</v>
      </c>
      <c r="AD16" s="11">
        <f>VLOOKUP(AC16,[1]المرجع!$B$3:$C$12,2)</f>
        <v>2</v>
      </c>
      <c r="AE16" s="12" t="str">
        <f>VLOOKUP(AD16,[1]المرجع!$D$3:$E$12,2)</f>
        <v>د</v>
      </c>
      <c r="AF16" s="13">
        <f t="shared" si="5"/>
        <v>4</v>
      </c>
      <c r="AG16" s="7">
        <v>2</v>
      </c>
      <c r="AH16" s="5">
        <v>100</v>
      </c>
      <c r="AI16" s="11">
        <f>VLOOKUP(AH16,[1]المرجع!$B$3:$C$12,2)</f>
        <v>5</v>
      </c>
      <c r="AJ16" s="12" t="str">
        <f>VLOOKUP(AI16,[1]المرجع!$D$3:$E$12,2)</f>
        <v xml:space="preserve">أ+ </v>
      </c>
      <c r="AK16" s="13">
        <f t="shared" si="6"/>
        <v>10</v>
      </c>
      <c r="AL16" s="7">
        <v>2</v>
      </c>
      <c r="AM16" s="5">
        <v>66</v>
      </c>
      <c r="AN16" s="11">
        <f>VLOOKUP(AM16,[1]المرجع!$B$3:$C$12,2)</f>
        <v>2.5</v>
      </c>
      <c r="AO16" s="12" t="str">
        <f>VLOOKUP(AN16,[1]المرجع!$D$3:$E$12,2)</f>
        <v>د+</v>
      </c>
      <c r="AP16" s="13">
        <f t="shared" si="7"/>
        <v>5</v>
      </c>
      <c r="AQ16" s="7">
        <v>2</v>
      </c>
      <c r="AR16" s="5">
        <v>86</v>
      </c>
      <c r="AS16" s="11">
        <f>VLOOKUP(AR16,[1]المرجع!$B$3:$C$12,2)</f>
        <v>4.5</v>
      </c>
      <c r="AT16" s="12" t="str">
        <f>VLOOKUP(AS16,[1]المرجع!$D$3:$E$12,2)</f>
        <v>ب+</v>
      </c>
      <c r="AU16" s="13">
        <f t="shared" si="8"/>
        <v>9</v>
      </c>
      <c r="AV16" s="7">
        <v>2</v>
      </c>
      <c r="AW16" s="5">
        <v>89</v>
      </c>
      <c r="AX16" s="11">
        <f>VLOOKUP(AW16,[1]المرجع!$B$3:$C$12,2)</f>
        <v>4.5</v>
      </c>
      <c r="AY16" s="12" t="str">
        <f>VLOOKUP(AX16,[1]المرجع!$D$3:$E$12,2)</f>
        <v>ب+</v>
      </c>
      <c r="AZ16" s="13">
        <f t="shared" si="9"/>
        <v>9</v>
      </c>
      <c r="BA16" s="7">
        <v>2</v>
      </c>
      <c r="BB16" s="5">
        <v>87</v>
      </c>
      <c r="BC16" s="11">
        <f>VLOOKUP(BB16,[1]المرجع!$B$3:$C$12,2)</f>
        <v>4.5</v>
      </c>
      <c r="BD16" s="12" t="str">
        <f>VLOOKUP(BC16,[1]المرجع!$D$3:$E$12,2)</f>
        <v>ب+</v>
      </c>
      <c r="BE16" s="13">
        <f t="shared" si="10"/>
        <v>9</v>
      </c>
      <c r="BF16" s="7">
        <v>2</v>
      </c>
      <c r="BG16" s="5">
        <v>53</v>
      </c>
      <c r="BH16" s="11">
        <f>VLOOKUP(BG16,[1]المرجع!$B$3:$C$12,2)</f>
        <v>2</v>
      </c>
      <c r="BI16" s="12" t="str">
        <f>VLOOKUP(BH16,[1]المرجع!$D$3:$E$12,2)</f>
        <v>د</v>
      </c>
      <c r="BJ16" s="13">
        <f t="shared" si="11"/>
        <v>4</v>
      </c>
      <c r="BK16" s="15">
        <f t="shared" si="12"/>
        <v>87</v>
      </c>
      <c r="BL16" s="16">
        <f t="shared" si="13"/>
        <v>23</v>
      </c>
      <c r="BM16" s="17">
        <f t="shared" si="15"/>
        <v>3.7826086956521738</v>
      </c>
      <c r="BN16" s="18" t="str">
        <f>VLOOKUP(BM16,المرجع!$C$1:$E$10,3)</f>
        <v xml:space="preserve">جيد جدا </v>
      </c>
      <c r="BO16" s="19">
        <f t="shared" si="14"/>
        <v>14</v>
      </c>
    </row>
    <row r="17" spans="1:67" ht="28.5" hidden="1">
      <c r="A17" s="2">
        <v>2025315</v>
      </c>
      <c r="B17" s="23" t="s">
        <v>29</v>
      </c>
      <c r="C17" s="7">
        <v>1</v>
      </c>
      <c r="D17" s="5">
        <v>93</v>
      </c>
      <c r="E17" s="11">
        <f>VLOOKUP(D17,[1]المرجع!$B$3:$C$12,2)</f>
        <v>4.75</v>
      </c>
      <c r="F17" s="12" t="str">
        <f>VLOOKUP(E17,[1]المرجع!$D$3:$E$12,2)</f>
        <v>أ</v>
      </c>
      <c r="G17" s="13">
        <f t="shared" si="0"/>
        <v>4.75</v>
      </c>
      <c r="H17" s="7">
        <v>2</v>
      </c>
      <c r="I17" s="5">
        <v>81</v>
      </c>
      <c r="J17" s="11">
        <f>VLOOKUP(I17,[1]المرجع!$B$3:$C$12,2)</f>
        <v>4</v>
      </c>
      <c r="K17" s="12" t="str">
        <f>VLOOKUP(J17,[1]المرجع!$D$3:$E$12,2)</f>
        <v>ب</v>
      </c>
      <c r="L17" s="13">
        <f t="shared" si="1"/>
        <v>8</v>
      </c>
      <c r="M17" s="7">
        <v>2</v>
      </c>
      <c r="N17" s="5">
        <v>90</v>
      </c>
      <c r="O17" s="11">
        <f>VLOOKUP(N17,[1]المرجع!$B$3:$C$12,2)</f>
        <v>4.75</v>
      </c>
      <c r="P17" s="12" t="str">
        <f>VLOOKUP(O17,[1]المرجع!$D$3:$E$12,2)</f>
        <v>أ</v>
      </c>
      <c r="Q17" s="13">
        <f t="shared" si="2"/>
        <v>9.5</v>
      </c>
      <c r="R17" s="7">
        <v>2</v>
      </c>
      <c r="S17" s="5">
        <v>91</v>
      </c>
      <c r="T17" s="11">
        <f>VLOOKUP(S17,[1]المرجع!$B$3:$C$12,2)</f>
        <v>4.75</v>
      </c>
      <c r="U17" s="12" t="str">
        <f>VLOOKUP(T17,[1]المرجع!$D$3:$E$12,2)</f>
        <v>أ</v>
      </c>
      <c r="V17" s="13">
        <f t="shared" si="3"/>
        <v>9.5</v>
      </c>
      <c r="W17" s="7">
        <v>2</v>
      </c>
      <c r="X17" s="5">
        <v>70</v>
      </c>
      <c r="Y17" s="11">
        <f>VLOOKUP(X17,[1]المرجع!$B$3:$C$12,2)</f>
        <v>3</v>
      </c>
      <c r="Z17" s="12" t="str">
        <f>VLOOKUP(Y17,[1]المرجع!$D$3:$E$12,2)</f>
        <v>ج</v>
      </c>
      <c r="AA17" s="13">
        <f t="shared" si="4"/>
        <v>6</v>
      </c>
      <c r="AB17" s="7">
        <v>2</v>
      </c>
      <c r="AC17" s="5">
        <v>77</v>
      </c>
      <c r="AD17" s="11">
        <f>VLOOKUP(AC17,[1]المرجع!$B$3:$C$12,2)</f>
        <v>3.5</v>
      </c>
      <c r="AE17" s="12" t="str">
        <f>VLOOKUP(AD17,[1]المرجع!$D$3:$E$12,2)</f>
        <v>ج+</v>
      </c>
      <c r="AF17" s="13">
        <f t="shared" si="5"/>
        <v>7</v>
      </c>
      <c r="AG17" s="7">
        <v>2</v>
      </c>
      <c r="AH17" s="5">
        <v>97</v>
      </c>
      <c r="AI17" s="11">
        <f>VLOOKUP(AH17,[1]المرجع!$B$3:$C$12,2)</f>
        <v>5</v>
      </c>
      <c r="AJ17" s="12" t="str">
        <f>VLOOKUP(AI17,[1]المرجع!$D$3:$E$12,2)</f>
        <v xml:space="preserve">أ+ </v>
      </c>
      <c r="AK17" s="13">
        <f t="shared" si="6"/>
        <v>10</v>
      </c>
      <c r="AL17" s="7">
        <v>2</v>
      </c>
      <c r="AM17" s="5">
        <v>50</v>
      </c>
      <c r="AN17" s="11">
        <f>VLOOKUP(AM17,[1]المرجع!$B$3:$C$12,2)</f>
        <v>2</v>
      </c>
      <c r="AO17" s="12" t="str">
        <f>VLOOKUP(AN17,[1]المرجع!$D$3:$E$12,2)</f>
        <v>د</v>
      </c>
      <c r="AP17" s="13">
        <f t="shared" si="7"/>
        <v>4</v>
      </c>
      <c r="AQ17" s="7">
        <v>2</v>
      </c>
      <c r="AR17" s="5">
        <v>82</v>
      </c>
      <c r="AS17" s="11">
        <f>VLOOKUP(AR17,[1]المرجع!$B$3:$C$12,2)</f>
        <v>4</v>
      </c>
      <c r="AT17" s="12" t="str">
        <f>VLOOKUP(AS17,[1]المرجع!$D$3:$E$12,2)</f>
        <v>ب</v>
      </c>
      <c r="AU17" s="13">
        <f t="shared" si="8"/>
        <v>8</v>
      </c>
      <c r="AV17" s="7">
        <v>2</v>
      </c>
      <c r="AW17" s="5">
        <v>53</v>
      </c>
      <c r="AX17" s="11">
        <f>VLOOKUP(AW17,[1]المرجع!$B$3:$C$12,2)</f>
        <v>2</v>
      </c>
      <c r="AY17" s="12" t="str">
        <f>VLOOKUP(AX17,[1]المرجع!$D$3:$E$12,2)</f>
        <v>د</v>
      </c>
      <c r="AZ17" s="13">
        <f t="shared" si="9"/>
        <v>4</v>
      </c>
      <c r="BA17" s="7">
        <v>2</v>
      </c>
      <c r="BB17" s="5">
        <v>74</v>
      </c>
      <c r="BC17" s="11">
        <f>VLOOKUP(BB17,[1]المرجع!$B$3:$C$12,2)</f>
        <v>3</v>
      </c>
      <c r="BD17" s="12" t="str">
        <f>VLOOKUP(BC17,[1]المرجع!$D$3:$E$12,2)</f>
        <v>ج</v>
      </c>
      <c r="BE17" s="13">
        <f t="shared" si="10"/>
        <v>6</v>
      </c>
      <c r="BF17" s="7">
        <v>2</v>
      </c>
      <c r="BG17" s="5">
        <v>87</v>
      </c>
      <c r="BH17" s="11">
        <f>VLOOKUP(BG17,[1]المرجع!$B$3:$C$12,2)</f>
        <v>4.5</v>
      </c>
      <c r="BI17" s="12" t="str">
        <f>VLOOKUP(BH17,[1]المرجع!$D$3:$E$12,2)</f>
        <v>ب+</v>
      </c>
      <c r="BJ17" s="13">
        <f t="shared" si="11"/>
        <v>9</v>
      </c>
      <c r="BK17" s="15">
        <f t="shared" si="12"/>
        <v>85.75</v>
      </c>
      <c r="BL17" s="16">
        <f t="shared" si="13"/>
        <v>23</v>
      </c>
      <c r="BM17" s="17">
        <f t="shared" si="15"/>
        <v>3.7282608695652173</v>
      </c>
      <c r="BN17" s="18" t="str">
        <f>VLOOKUP(BM17,المرجع!$C$1:$E$10,3)</f>
        <v xml:space="preserve">جيد جدا </v>
      </c>
      <c r="BO17" s="19">
        <f t="shared" si="14"/>
        <v>15</v>
      </c>
    </row>
    <row r="18" spans="1:67" ht="28.5" hidden="1">
      <c r="A18" s="2">
        <v>2025458</v>
      </c>
      <c r="B18" s="23" t="s">
        <v>28</v>
      </c>
      <c r="C18" s="7">
        <v>1</v>
      </c>
      <c r="D18" s="5">
        <v>98</v>
      </c>
      <c r="E18" s="11">
        <f>VLOOKUP(D18,[1]المرجع!$B$3:$C$12,2)</f>
        <v>5</v>
      </c>
      <c r="F18" s="12" t="str">
        <f>VLOOKUP(E18,[1]المرجع!$D$3:$E$12,2)</f>
        <v xml:space="preserve">أ+ </v>
      </c>
      <c r="G18" s="13">
        <f t="shared" si="0"/>
        <v>5</v>
      </c>
      <c r="H18" s="7">
        <v>2</v>
      </c>
      <c r="I18" s="5">
        <v>54</v>
      </c>
      <c r="J18" s="11">
        <f>VLOOKUP(I18,[1]المرجع!$B$3:$C$12,2)</f>
        <v>2</v>
      </c>
      <c r="K18" s="12" t="str">
        <f>VLOOKUP(J18,[1]المرجع!$D$3:$E$12,2)</f>
        <v>د</v>
      </c>
      <c r="L18" s="13">
        <f t="shared" si="1"/>
        <v>4</v>
      </c>
      <c r="M18" s="7">
        <v>2</v>
      </c>
      <c r="N18" s="5">
        <v>94</v>
      </c>
      <c r="O18" s="11">
        <f>VLOOKUP(N18,[1]المرجع!$B$3:$C$12,2)</f>
        <v>4.75</v>
      </c>
      <c r="P18" s="12" t="str">
        <f>VLOOKUP(O18,[1]المرجع!$D$3:$E$12,2)</f>
        <v>أ</v>
      </c>
      <c r="Q18" s="13">
        <f t="shared" si="2"/>
        <v>9.5</v>
      </c>
      <c r="R18" s="7">
        <v>2</v>
      </c>
      <c r="S18" s="5">
        <v>80</v>
      </c>
      <c r="T18" s="11">
        <f>VLOOKUP(S18,[1]المرجع!$B$3:$C$12,2)</f>
        <v>4</v>
      </c>
      <c r="U18" s="12" t="str">
        <f>VLOOKUP(T18,[1]المرجع!$D$3:$E$12,2)</f>
        <v>ب</v>
      </c>
      <c r="V18" s="13">
        <f t="shared" si="3"/>
        <v>8</v>
      </c>
      <c r="W18" s="7">
        <v>2</v>
      </c>
      <c r="X18" s="5">
        <v>80</v>
      </c>
      <c r="Y18" s="11">
        <f>VLOOKUP(X18,[1]المرجع!$B$3:$C$12,2)</f>
        <v>4</v>
      </c>
      <c r="Z18" s="12" t="str">
        <f>VLOOKUP(Y18,[1]المرجع!$D$3:$E$12,2)</f>
        <v>ب</v>
      </c>
      <c r="AA18" s="13">
        <f t="shared" si="4"/>
        <v>8</v>
      </c>
      <c r="AB18" s="7">
        <v>2</v>
      </c>
      <c r="AC18" s="5">
        <v>84</v>
      </c>
      <c r="AD18" s="11">
        <f>VLOOKUP(AC18,[1]المرجع!$B$3:$C$12,2)</f>
        <v>4</v>
      </c>
      <c r="AE18" s="12" t="str">
        <f>VLOOKUP(AD18,[1]المرجع!$D$3:$E$12,2)</f>
        <v>ب</v>
      </c>
      <c r="AF18" s="13">
        <f t="shared" si="5"/>
        <v>8</v>
      </c>
      <c r="AG18" s="7">
        <v>2</v>
      </c>
      <c r="AH18" s="5">
        <v>99</v>
      </c>
      <c r="AI18" s="11">
        <f>VLOOKUP(AH18,[1]المرجع!$B$3:$C$12,2)</f>
        <v>5</v>
      </c>
      <c r="AJ18" s="12" t="str">
        <f>VLOOKUP(AI18,[1]المرجع!$D$3:$E$12,2)</f>
        <v xml:space="preserve">أ+ </v>
      </c>
      <c r="AK18" s="13">
        <f t="shared" si="6"/>
        <v>10</v>
      </c>
      <c r="AL18" s="7">
        <v>2</v>
      </c>
      <c r="AM18" s="5">
        <v>37</v>
      </c>
      <c r="AN18" s="11">
        <f>VLOOKUP(AM18,[1]المرجع!$B$3:$C$12,2)</f>
        <v>0</v>
      </c>
      <c r="AO18" s="12" t="str">
        <f>VLOOKUP(AN18,[1]المرجع!$D$3:$E$12,2)</f>
        <v>ه</v>
      </c>
      <c r="AP18" s="13">
        <f t="shared" si="7"/>
        <v>0</v>
      </c>
      <c r="AQ18" s="7">
        <v>2</v>
      </c>
      <c r="AR18" s="5">
        <v>97</v>
      </c>
      <c r="AS18" s="11">
        <f>VLOOKUP(AR18,[1]المرجع!$B$3:$C$12,2)</f>
        <v>5</v>
      </c>
      <c r="AT18" s="12" t="str">
        <f>VLOOKUP(AS18,[1]المرجع!$D$3:$E$12,2)</f>
        <v xml:space="preserve">أ+ </v>
      </c>
      <c r="AU18" s="13">
        <f t="shared" si="8"/>
        <v>10</v>
      </c>
      <c r="AV18" s="7">
        <v>2</v>
      </c>
      <c r="AW18" s="5">
        <v>60</v>
      </c>
      <c r="AX18" s="11">
        <f>VLOOKUP(AW18,[1]المرجع!$B$3:$C$12,2)</f>
        <v>2</v>
      </c>
      <c r="AY18" s="12" t="str">
        <f>VLOOKUP(AX18,[1]المرجع!$D$3:$E$12,2)</f>
        <v>د</v>
      </c>
      <c r="AZ18" s="13">
        <f t="shared" si="9"/>
        <v>4</v>
      </c>
      <c r="BA18" s="7">
        <v>2</v>
      </c>
      <c r="BB18" s="5">
        <v>97</v>
      </c>
      <c r="BC18" s="11">
        <f>VLOOKUP(BB18,[1]المرجع!$B$3:$C$12,2)</f>
        <v>5</v>
      </c>
      <c r="BD18" s="12" t="str">
        <f>VLOOKUP(BC18,[1]المرجع!$D$3:$E$12,2)</f>
        <v xml:space="preserve">أ+ </v>
      </c>
      <c r="BE18" s="13">
        <f t="shared" si="10"/>
        <v>10</v>
      </c>
      <c r="BF18" s="7">
        <v>2</v>
      </c>
      <c r="BG18" s="5">
        <v>80</v>
      </c>
      <c r="BH18" s="11">
        <f>VLOOKUP(BG18,[1]المرجع!$B$3:$C$12,2)</f>
        <v>4</v>
      </c>
      <c r="BI18" s="12" t="str">
        <f>VLOOKUP(BH18,[1]المرجع!$D$3:$E$12,2)</f>
        <v>ب</v>
      </c>
      <c r="BJ18" s="13">
        <f t="shared" si="11"/>
        <v>8</v>
      </c>
      <c r="BK18" s="15">
        <f t="shared" si="12"/>
        <v>84.5</v>
      </c>
      <c r="BL18" s="16">
        <f t="shared" si="13"/>
        <v>23</v>
      </c>
      <c r="BM18" s="17">
        <f t="shared" si="15"/>
        <v>3.6739130434782608</v>
      </c>
      <c r="BN18" s="18" t="str">
        <f>VLOOKUP(BM18,المرجع!$C$1:$E$10,3)</f>
        <v xml:space="preserve">جيد جدا </v>
      </c>
      <c r="BO18" s="19">
        <f t="shared" si="14"/>
        <v>16</v>
      </c>
    </row>
    <row r="19" spans="1:67" ht="28.5" hidden="1">
      <c r="A19" s="2">
        <v>2025366</v>
      </c>
      <c r="B19" s="23" t="s">
        <v>30</v>
      </c>
      <c r="C19" s="7">
        <v>1</v>
      </c>
      <c r="D19" s="5">
        <v>85</v>
      </c>
      <c r="E19" s="11">
        <f>VLOOKUP(D19,[1]المرجع!$B$3:$C$12,2)</f>
        <v>4.5</v>
      </c>
      <c r="F19" s="12" t="str">
        <f>VLOOKUP(E19,[1]المرجع!$D$3:$E$12,2)</f>
        <v>ب+</v>
      </c>
      <c r="G19" s="13">
        <f t="shared" si="0"/>
        <v>4.5</v>
      </c>
      <c r="H19" s="7">
        <v>2</v>
      </c>
      <c r="I19" s="5">
        <v>93</v>
      </c>
      <c r="J19" s="11">
        <f>VLOOKUP(I19,[1]المرجع!$B$3:$C$12,2)</f>
        <v>4.75</v>
      </c>
      <c r="K19" s="12" t="str">
        <f>VLOOKUP(J19,[1]المرجع!$D$3:$E$12,2)</f>
        <v>أ</v>
      </c>
      <c r="L19" s="13">
        <f t="shared" si="1"/>
        <v>9.5</v>
      </c>
      <c r="M19" s="7">
        <v>2</v>
      </c>
      <c r="N19" s="5">
        <v>87</v>
      </c>
      <c r="O19" s="11">
        <f>VLOOKUP(N19,[1]المرجع!$B$3:$C$12,2)</f>
        <v>4.5</v>
      </c>
      <c r="P19" s="12" t="str">
        <f>VLOOKUP(O19,[1]المرجع!$D$3:$E$12,2)</f>
        <v>ب+</v>
      </c>
      <c r="Q19" s="13">
        <f t="shared" si="2"/>
        <v>9</v>
      </c>
      <c r="R19" s="7">
        <v>2</v>
      </c>
      <c r="S19" s="5">
        <v>87</v>
      </c>
      <c r="T19" s="11">
        <f>VLOOKUP(S19,[1]المرجع!$B$3:$C$12,2)</f>
        <v>4.5</v>
      </c>
      <c r="U19" s="12" t="str">
        <f>VLOOKUP(T19,[1]المرجع!$D$3:$E$12,2)</f>
        <v>ب+</v>
      </c>
      <c r="V19" s="13">
        <f t="shared" si="3"/>
        <v>9</v>
      </c>
      <c r="W19" s="7">
        <v>2</v>
      </c>
      <c r="X19" s="5">
        <v>92</v>
      </c>
      <c r="Y19" s="11">
        <f>VLOOKUP(X19,[1]المرجع!$B$3:$C$12,2)</f>
        <v>4.75</v>
      </c>
      <c r="Z19" s="12" t="str">
        <f>VLOOKUP(Y19,[1]المرجع!$D$3:$E$12,2)</f>
        <v>أ</v>
      </c>
      <c r="AA19" s="13">
        <f t="shared" si="4"/>
        <v>9.5</v>
      </c>
      <c r="AB19" s="7">
        <v>2</v>
      </c>
      <c r="AC19" s="5">
        <v>28</v>
      </c>
      <c r="AD19" s="11">
        <f>VLOOKUP(AC19,[1]المرجع!$B$3:$C$12,2)</f>
        <v>0</v>
      </c>
      <c r="AE19" s="12" t="str">
        <f>VLOOKUP(AD19,[1]المرجع!$D$3:$E$12,2)</f>
        <v>ه</v>
      </c>
      <c r="AF19" s="13">
        <f t="shared" si="5"/>
        <v>0</v>
      </c>
      <c r="AG19" s="7">
        <v>2</v>
      </c>
      <c r="AH19" s="5">
        <v>100</v>
      </c>
      <c r="AI19" s="11">
        <f>VLOOKUP(AH19,[1]المرجع!$B$3:$C$12,2)</f>
        <v>5</v>
      </c>
      <c r="AJ19" s="12" t="str">
        <f>VLOOKUP(AI19,[1]المرجع!$D$3:$E$12,2)</f>
        <v xml:space="preserve">أ+ </v>
      </c>
      <c r="AK19" s="13">
        <f t="shared" si="6"/>
        <v>10</v>
      </c>
      <c r="AL19" s="7">
        <v>2</v>
      </c>
      <c r="AM19" s="5">
        <v>75</v>
      </c>
      <c r="AN19" s="11">
        <f>VLOOKUP(AM19,[1]المرجع!$B$3:$C$12,2)</f>
        <v>3.5</v>
      </c>
      <c r="AO19" s="12" t="str">
        <f>VLOOKUP(AN19,[1]المرجع!$D$3:$E$12,2)</f>
        <v>ج+</v>
      </c>
      <c r="AP19" s="13">
        <f t="shared" si="7"/>
        <v>7</v>
      </c>
      <c r="AQ19" s="7">
        <v>2</v>
      </c>
      <c r="AR19" s="5">
        <v>65</v>
      </c>
      <c r="AS19" s="11">
        <f>VLOOKUP(AR19,[1]المرجع!$B$3:$C$12,2)</f>
        <v>2.5</v>
      </c>
      <c r="AT19" s="12" t="str">
        <f>VLOOKUP(AS19,[1]المرجع!$D$3:$E$12,2)</f>
        <v>د+</v>
      </c>
      <c r="AU19" s="13">
        <f t="shared" si="8"/>
        <v>5</v>
      </c>
      <c r="AV19" s="7">
        <v>2</v>
      </c>
      <c r="AW19" s="5">
        <v>58</v>
      </c>
      <c r="AX19" s="11">
        <f>VLOOKUP(AW19,[1]المرجع!$B$3:$C$12,2)</f>
        <v>2</v>
      </c>
      <c r="AY19" s="12" t="str">
        <f>VLOOKUP(AX19,[1]المرجع!$D$3:$E$12,2)</f>
        <v>د</v>
      </c>
      <c r="AZ19" s="13">
        <f t="shared" si="9"/>
        <v>4</v>
      </c>
      <c r="BA19" s="7">
        <v>2</v>
      </c>
      <c r="BB19" s="5">
        <v>83</v>
      </c>
      <c r="BC19" s="11">
        <f>VLOOKUP(BB19,[1]المرجع!$B$3:$C$12,2)</f>
        <v>4</v>
      </c>
      <c r="BD19" s="12" t="str">
        <f>VLOOKUP(BC19,[1]المرجع!$D$3:$E$12,2)</f>
        <v>ب</v>
      </c>
      <c r="BE19" s="13">
        <f t="shared" si="10"/>
        <v>8</v>
      </c>
      <c r="BF19" s="7">
        <v>2</v>
      </c>
      <c r="BG19" s="5">
        <v>85</v>
      </c>
      <c r="BH19" s="11">
        <f>VLOOKUP(BG19,[1]المرجع!$B$3:$C$12,2)</f>
        <v>4.5</v>
      </c>
      <c r="BI19" s="12" t="str">
        <f>VLOOKUP(BH19,[1]المرجع!$D$3:$E$12,2)</f>
        <v>ب+</v>
      </c>
      <c r="BJ19" s="13">
        <f t="shared" si="11"/>
        <v>9</v>
      </c>
      <c r="BK19" s="15">
        <f t="shared" si="12"/>
        <v>84.5</v>
      </c>
      <c r="BL19" s="16">
        <f t="shared" si="13"/>
        <v>23</v>
      </c>
      <c r="BM19" s="17">
        <f t="shared" si="15"/>
        <v>3.6739130434782608</v>
      </c>
      <c r="BN19" s="18" t="str">
        <f>VLOOKUP(BM19,المرجع!$C$1:$E$10,3)</f>
        <v xml:space="preserve">جيد جدا </v>
      </c>
      <c r="BO19" s="19">
        <f t="shared" si="14"/>
        <v>16</v>
      </c>
    </row>
    <row r="20" spans="1:67" ht="28.5" hidden="1">
      <c r="A20" s="2">
        <v>2025408</v>
      </c>
      <c r="B20" s="23" t="s">
        <v>31</v>
      </c>
      <c r="C20" s="7">
        <v>1</v>
      </c>
      <c r="D20" s="5">
        <v>88</v>
      </c>
      <c r="E20" s="11">
        <f>VLOOKUP(D20,[1]المرجع!$B$3:$C$12,2)</f>
        <v>4.5</v>
      </c>
      <c r="F20" s="12" t="str">
        <f>VLOOKUP(E20,[1]المرجع!$D$3:$E$12,2)</f>
        <v>ب+</v>
      </c>
      <c r="G20" s="13">
        <f t="shared" si="0"/>
        <v>4.5</v>
      </c>
      <c r="H20" s="7">
        <v>2</v>
      </c>
      <c r="I20" s="5">
        <v>95</v>
      </c>
      <c r="J20" s="11">
        <f>VLOOKUP(I20,[1]المرجع!$B$3:$C$12,2)</f>
        <v>5</v>
      </c>
      <c r="K20" s="12" t="str">
        <f>VLOOKUP(J20,[1]المرجع!$D$3:$E$12,2)</f>
        <v xml:space="preserve">أ+ </v>
      </c>
      <c r="L20" s="13">
        <f t="shared" si="1"/>
        <v>10</v>
      </c>
      <c r="M20" s="7">
        <v>2</v>
      </c>
      <c r="N20" s="5">
        <v>98</v>
      </c>
      <c r="O20" s="11">
        <f>VLOOKUP(N20,[1]المرجع!$B$3:$C$12,2)</f>
        <v>5</v>
      </c>
      <c r="P20" s="12" t="str">
        <f>VLOOKUP(O20,[1]المرجع!$D$3:$E$12,2)</f>
        <v xml:space="preserve">أ+ </v>
      </c>
      <c r="Q20" s="13">
        <f t="shared" si="2"/>
        <v>10</v>
      </c>
      <c r="R20" s="7">
        <v>2</v>
      </c>
      <c r="S20" s="5">
        <v>84</v>
      </c>
      <c r="T20" s="11">
        <f>VLOOKUP(S20,[1]المرجع!$B$3:$C$12,2)</f>
        <v>4</v>
      </c>
      <c r="U20" s="12" t="str">
        <f>VLOOKUP(T20,[1]المرجع!$D$3:$E$12,2)</f>
        <v>ب</v>
      </c>
      <c r="V20" s="13">
        <f t="shared" si="3"/>
        <v>8</v>
      </c>
      <c r="W20" s="7">
        <v>2</v>
      </c>
      <c r="X20" s="5">
        <v>85</v>
      </c>
      <c r="Y20" s="11">
        <f>VLOOKUP(X20,[1]المرجع!$B$3:$C$12,2)</f>
        <v>4.5</v>
      </c>
      <c r="Z20" s="12" t="str">
        <f>VLOOKUP(Y20,[1]المرجع!$D$3:$E$12,2)</f>
        <v>ب+</v>
      </c>
      <c r="AA20" s="13">
        <f t="shared" si="4"/>
        <v>9</v>
      </c>
      <c r="AB20" s="7">
        <v>2</v>
      </c>
      <c r="AC20" s="5">
        <v>25</v>
      </c>
      <c r="AD20" s="11">
        <f>VLOOKUP(AC20,[1]المرجع!$B$3:$C$12,2)</f>
        <v>0</v>
      </c>
      <c r="AE20" s="12" t="str">
        <f>VLOOKUP(AD20,[1]المرجع!$D$3:$E$12,2)</f>
        <v>ه</v>
      </c>
      <c r="AF20" s="13">
        <f t="shared" si="5"/>
        <v>0</v>
      </c>
      <c r="AG20" s="7">
        <v>2</v>
      </c>
      <c r="AH20" s="5">
        <v>98</v>
      </c>
      <c r="AI20" s="11">
        <f>VLOOKUP(AH20,[1]المرجع!$B$3:$C$12,2)</f>
        <v>5</v>
      </c>
      <c r="AJ20" s="12" t="str">
        <f>VLOOKUP(AI20,[1]المرجع!$D$3:$E$12,2)</f>
        <v xml:space="preserve">أ+ </v>
      </c>
      <c r="AK20" s="13">
        <f t="shared" si="6"/>
        <v>10</v>
      </c>
      <c r="AL20" s="7">
        <v>2</v>
      </c>
      <c r="AM20" s="5">
        <v>62</v>
      </c>
      <c r="AN20" s="11">
        <f>VLOOKUP(AM20,[1]المرجع!$B$3:$C$12,2)</f>
        <v>2</v>
      </c>
      <c r="AO20" s="12" t="str">
        <f>VLOOKUP(AN20,[1]المرجع!$D$3:$E$12,2)</f>
        <v>د</v>
      </c>
      <c r="AP20" s="13">
        <f t="shared" si="7"/>
        <v>4</v>
      </c>
      <c r="AQ20" s="7">
        <v>2</v>
      </c>
      <c r="AR20" s="5">
        <v>92</v>
      </c>
      <c r="AS20" s="11">
        <f>VLOOKUP(AR20,[1]المرجع!$B$3:$C$12,2)</f>
        <v>4.75</v>
      </c>
      <c r="AT20" s="12" t="str">
        <f>VLOOKUP(AS20,[1]المرجع!$D$3:$E$12,2)</f>
        <v>أ</v>
      </c>
      <c r="AU20" s="13">
        <f t="shared" si="8"/>
        <v>9.5</v>
      </c>
      <c r="AV20" s="7">
        <v>2</v>
      </c>
      <c r="AW20" s="5">
        <v>74</v>
      </c>
      <c r="AX20" s="11">
        <f>VLOOKUP(AW20,[1]المرجع!$B$3:$C$12,2)</f>
        <v>3</v>
      </c>
      <c r="AY20" s="12" t="str">
        <f>VLOOKUP(AX20,[1]المرجع!$D$3:$E$12,2)</f>
        <v>ج</v>
      </c>
      <c r="AZ20" s="13">
        <f t="shared" si="9"/>
        <v>6</v>
      </c>
      <c r="BA20" s="7">
        <v>2</v>
      </c>
      <c r="BB20" s="5">
        <v>80</v>
      </c>
      <c r="BC20" s="11">
        <f>VLOOKUP(BB20,[1]المرجع!$B$3:$C$12,2)</f>
        <v>4</v>
      </c>
      <c r="BD20" s="12" t="str">
        <f>VLOOKUP(BC20,[1]المرجع!$D$3:$E$12,2)</f>
        <v>ب</v>
      </c>
      <c r="BE20" s="13">
        <f t="shared" si="10"/>
        <v>8</v>
      </c>
      <c r="BF20" s="7">
        <v>2</v>
      </c>
      <c r="BG20" s="5">
        <v>50</v>
      </c>
      <c r="BH20" s="11">
        <f>VLOOKUP(BG20,[1]المرجع!$B$3:$C$12,2)</f>
        <v>2</v>
      </c>
      <c r="BI20" s="12" t="str">
        <f>VLOOKUP(BH20,[1]المرجع!$D$3:$E$12,2)</f>
        <v>د</v>
      </c>
      <c r="BJ20" s="13">
        <f t="shared" si="11"/>
        <v>4</v>
      </c>
      <c r="BK20" s="15">
        <f t="shared" si="12"/>
        <v>83</v>
      </c>
      <c r="BL20" s="16">
        <f t="shared" si="13"/>
        <v>23</v>
      </c>
      <c r="BM20" s="17">
        <f t="shared" si="15"/>
        <v>3.6086956521739131</v>
      </c>
      <c r="BN20" s="18" t="str">
        <f>VLOOKUP(BM20,المرجع!$C$1:$E$10,3)</f>
        <v xml:space="preserve">جيد جدا </v>
      </c>
      <c r="BO20" s="19">
        <f t="shared" si="14"/>
        <v>18</v>
      </c>
    </row>
    <row r="21" spans="1:67" ht="28.5" hidden="1">
      <c r="A21" s="2">
        <v>2025317</v>
      </c>
      <c r="B21" s="23" t="s">
        <v>37</v>
      </c>
      <c r="C21" s="7">
        <v>1</v>
      </c>
      <c r="D21" s="5">
        <v>92</v>
      </c>
      <c r="E21" s="11">
        <f>VLOOKUP(D21,[1]المرجع!$B$3:$C$12,2)</f>
        <v>4.75</v>
      </c>
      <c r="F21" s="12" t="str">
        <f>VLOOKUP(E21,[1]المرجع!$D$3:$E$12,2)</f>
        <v>أ</v>
      </c>
      <c r="G21" s="13">
        <f t="shared" si="0"/>
        <v>4.75</v>
      </c>
      <c r="H21" s="7">
        <v>2</v>
      </c>
      <c r="I21" s="5">
        <v>67</v>
      </c>
      <c r="J21" s="11">
        <f>VLOOKUP(I21,[1]المرجع!$B$3:$C$12,2)</f>
        <v>2.5</v>
      </c>
      <c r="K21" s="12" t="str">
        <f>VLOOKUP(J21,[1]المرجع!$D$3:$E$12,2)</f>
        <v>د+</v>
      </c>
      <c r="L21" s="13">
        <f t="shared" si="1"/>
        <v>5</v>
      </c>
      <c r="M21" s="7">
        <v>2</v>
      </c>
      <c r="N21" s="5">
        <v>98</v>
      </c>
      <c r="O21" s="11">
        <f>VLOOKUP(N21,[1]المرجع!$B$3:$C$12,2)</f>
        <v>5</v>
      </c>
      <c r="P21" s="12" t="str">
        <f>VLOOKUP(O21,[1]المرجع!$D$3:$E$12,2)</f>
        <v xml:space="preserve">أ+ </v>
      </c>
      <c r="Q21" s="13">
        <f t="shared" si="2"/>
        <v>10</v>
      </c>
      <c r="R21" s="7">
        <v>2</v>
      </c>
      <c r="S21" s="5">
        <v>92</v>
      </c>
      <c r="T21" s="11">
        <f>VLOOKUP(S21,[1]المرجع!$B$3:$C$12,2)</f>
        <v>4.75</v>
      </c>
      <c r="U21" s="12" t="str">
        <f>VLOOKUP(T21,[1]المرجع!$D$3:$E$12,2)</f>
        <v>أ</v>
      </c>
      <c r="V21" s="13">
        <f t="shared" si="3"/>
        <v>9.5</v>
      </c>
      <c r="W21" s="7">
        <v>2</v>
      </c>
      <c r="X21" s="5">
        <v>91</v>
      </c>
      <c r="Y21" s="11">
        <f>VLOOKUP(X21,[1]المرجع!$B$3:$C$12,2)</f>
        <v>4.75</v>
      </c>
      <c r="Z21" s="12" t="str">
        <f>VLOOKUP(Y21,[1]المرجع!$D$3:$E$12,2)</f>
        <v>أ</v>
      </c>
      <c r="AA21" s="13">
        <f t="shared" si="4"/>
        <v>9.5</v>
      </c>
      <c r="AB21" s="7">
        <v>2</v>
      </c>
      <c r="AC21" s="5">
        <v>50</v>
      </c>
      <c r="AD21" s="11">
        <f>VLOOKUP(AC21,[1]المرجع!$B$3:$C$12,2)</f>
        <v>2</v>
      </c>
      <c r="AE21" s="12" t="str">
        <f>VLOOKUP(AD21,[1]المرجع!$D$3:$E$12,2)</f>
        <v>د</v>
      </c>
      <c r="AF21" s="13">
        <f t="shared" si="5"/>
        <v>4</v>
      </c>
      <c r="AG21" s="7">
        <v>2</v>
      </c>
      <c r="AH21" s="5">
        <v>98</v>
      </c>
      <c r="AI21" s="11">
        <f>VLOOKUP(AH21,[1]المرجع!$B$3:$C$12,2)</f>
        <v>5</v>
      </c>
      <c r="AJ21" s="12" t="str">
        <f>VLOOKUP(AI21,[1]المرجع!$D$3:$E$12,2)</f>
        <v xml:space="preserve">أ+ </v>
      </c>
      <c r="AK21" s="13">
        <f t="shared" si="6"/>
        <v>10</v>
      </c>
      <c r="AL21" s="7">
        <v>2</v>
      </c>
      <c r="AM21" s="5">
        <v>60</v>
      </c>
      <c r="AN21" s="11">
        <f>VLOOKUP(AM21,[1]المرجع!$B$3:$C$12,2)</f>
        <v>2</v>
      </c>
      <c r="AO21" s="12" t="str">
        <f>VLOOKUP(AN21,[1]المرجع!$D$3:$E$12,2)</f>
        <v>د</v>
      </c>
      <c r="AP21" s="13">
        <f t="shared" si="7"/>
        <v>4</v>
      </c>
      <c r="AQ21" s="7">
        <v>2</v>
      </c>
      <c r="AR21" s="5">
        <v>81</v>
      </c>
      <c r="AS21" s="11">
        <f>VLOOKUP(AR21,[1]المرجع!$B$3:$C$12,2)</f>
        <v>4</v>
      </c>
      <c r="AT21" s="12" t="str">
        <f>VLOOKUP(AS21,[1]المرجع!$D$3:$E$12,2)</f>
        <v>ب</v>
      </c>
      <c r="AU21" s="13">
        <f t="shared" si="8"/>
        <v>8</v>
      </c>
      <c r="AV21" s="7">
        <v>2</v>
      </c>
      <c r="AW21" s="5">
        <v>67</v>
      </c>
      <c r="AX21" s="11">
        <f>VLOOKUP(AW21,[1]المرجع!$B$3:$C$12,2)</f>
        <v>2.5</v>
      </c>
      <c r="AY21" s="12" t="str">
        <f>VLOOKUP(AX21,[1]المرجع!$D$3:$E$12,2)</f>
        <v>د+</v>
      </c>
      <c r="AZ21" s="13">
        <f t="shared" si="9"/>
        <v>5</v>
      </c>
      <c r="BA21" s="7">
        <v>2</v>
      </c>
      <c r="BB21" s="5">
        <v>88</v>
      </c>
      <c r="BC21" s="11">
        <f>VLOOKUP(BB21,[1]المرجع!$B$3:$C$12,2)</f>
        <v>4.5</v>
      </c>
      <c r="BD21" s="12" t="str">
        <f>VLOOKUP(BC21,[1]المرجع!$D$3:$E$12,2)</f>
        <v>ب+</v>
      </c>
      <c r="BE21" s="13">
        <f t="shared" si="10"/>
        <v>9</v>
      </c>
      <c r="BF21" s="7">
        <v>2</v>
      </c>
      <c r="BG21" s="5">
        <v>51</v>
      </c>
      <c r="BH21" s="11">
        <f>VLOOKUP(BG21,[1]المرجع!$B$3:$C$12,2)</f>
        <v>2</v>
      </c>
      <c r="BI21" s="12" t="str">
        <f>VLOOKUP(BH21,[1]المرجع!$D$3:$E$12,2)</f>
        <v>د</v>
      </c>
      <c r="BJ21" s="13">
        <f t="shared" si="11"/>
        <v>4</v>
      </c>
      <c r="BK21" s="15">
        <f t="shared" si="12"/>
        <v>82.75</v>
      </c>
      <c r="BL21" s="16">
        <f t="shared" si="13"/>
        <v>23</v>
      </c>
      <c r="BM21" s="17">
        <f t="shared" si="15"/>
        <v>3.597826086956522</v>
      </c>
      <c r="BN21" s="18" t="str">
        <f>VLOOKUP(BM21,المرجع!$C$1:$E$10,3)</f>
        <v xml:space="preserve">جيد مرتفع </v>
      </c>
      <c r="BO21" s="19">
        <f t="shared" si="14"/>
        <v>19</v>
      </c>
    </row>
    <row r="22" spans="1:67" ht="28.5" hidden="1">
      <c r="A22" s="2">
        <v>2025363</v>
      </c>
      <c r="B22" s="23" t="s">
        <v>32</v>
      </c>
      <c r="C22" s="7">
        <v>1</v>
      </c>
      <c r="D22" s="5">
        <v>95</v>
      </c>
      <c r="E22" s="11">
        <f>VLOOKUP(D22,[1]المرجع!$B$3:$C$12,2)</f>
        <v>5</v>
      </c>
      <c r="F22" s="12" t="str">
        <f>VLOOKUP(E22,[1]المرجع!$D$3:$E$12,2)</f>
        <v xml:space="preserve">أ+ </v>
      </c>
      <c r="G22" s="13">
        <f t="shared" si="0"/>
        <v>5</v>
      </c>
      <c r="H22" s="7">
        <v>2</v>
      </c>
      <c r="I22" s="5">
        <v>97</v>
      </c>
      <c r="J22" s="11">
        <f>VLOOKUP(I22,[1]المرجع!$B$3:$C$12,2)</f>
        <v>5</v>
      </c>
      <c r="K22" s="12" t="str">
        <f>VLOOKUP(J22,[1]المرجع!$D$3:$E$12,2)</f>
        <v xml:space="preserve">أ+ </v>
      </c>
      <c r="L22" s="13">
        <f t="shared" si="1"/>
        <v>10</v>
      </c>
      <c r="M22" s="7">
        <v>2</v>
      </c>
      <c r="N22" s="5">
        <v>88</v>
      </c>
      <c r="O22" s="11">
        <f>VLOOKUP(N22,[1]المرجع!$B$3:$C$12,2)</f>
        <v>4.5</v>
      </c>
      <c r="P22" s="12" t="str">
        <f>VLOOKUP(O22,[1]المرجع!$D$3:$E$12,2)</f>
        <v>ب+</v>
      </c>
      <c r="Q22" s="13">
        <f t="shared" si="2"/>
        <v>9</v>
      </c>
      <c r="R22" s="7">
        <v>2</v>
      </c>
      <c r="S22" s="5">
        <v>89</v>
      </c>
      <c r="T22" s="11">
        <f>VLOOKUP(S22,[1]المرجع!$B$3:$C$12,2)</f>
        <v>4.5</v>
      </c>
      <c r="U22" s="12" t="str">
        <f>VLOOKUP(T22,[1]المرجع!$D$3:$E$12,2)</f>
        <v>ب+</v>
      </c>
      <c r="V22" s="13">
        <f t="shared" si="3"/>
        <v>9</v>
      </c>
      <c r="W22" s="7">
        <v>2</v>
      </c>
      <c r="X22" s="5">
        <v>73</v>
      </c>
      <c r="Y22" s="11">
        <f>VLOOKUP(X22,[1]المرجع!$B$3:$C$12,2)</f>
        <v>3</v>
      </c>
      <c r="Z22" s="12" t="str">
        <f>VLOOKUP(Y22,[1]المرجع!$D$3:$E$12,2)</f>
        <v>ج</v>
      </c>
      <c r="AA22" s="13">
        <f t="shared" si="4"/>
        <v>6</v>
      </c>
      <c r="AB22" s="7">
        <v>2</v>
      </c>
      <c r="AC22" s="5">
        <v>50</v>
      </c>
      <c r="AD22" s="11">
        <f>VLOOKUP(AC22,[1]المرجع!$B$3:$C$12,2)</f>
        <v>2</v>
      </c>
      <c r="AE22" s="12" t="str">
        <f>VLOOKUP(AD22,[1]المرجع!$D$3:$E$12,2)</f>
        <v>د</v>
      </c>
      <c r="AF22" s="13">
        <f t="shared" si="5"/>
        <v>4</v>
      </c>
      <c r="AG22" s="7">
        <v>2</v>
      </c>
      <c r="AH22" s="5">
        <v>98</v>
      </c>
      <c r="AI22" s="11">
        <f>VLOOKUP(AH22,[1]المرجع!$B$3:$C$12,2)</f>
        <v>5</v>
      </c>
      <c r="AJ22" s="12" t="str">
        <f>VLOOKUP(AI22,[1]المرجع!$D$3:$E$12,2)</f>
        <v xml:space="preserve">أ+ </v>
      </c>
      <c r="AK22" s="13">
        <f t="shared" si="6"/>
        <v>10</v>
      </c>
      <c r="AL22" s="7">
        <v>2</v>
      </c>
      <c r="AM22" s="5">
        <v>64</v>
      </c>
      <c r="AN22" s="11">
        <f>VLOOKUP(AM22,[1]المرجع!$B$3:$C$12,2)</f>
        <v>2</v>
      </c>
      <c r="AO22" s="12" t="str">
        <f>VLOOKUP(AN22,[1]المرجع!$D$3:$E$12,2)</f>
        <v>د</v>
      </c>
      <c r="AP22" s="13">
        <f t="shared" si="7"/>
        <v>4</v>
      </c>
      <c r="AQ22" s="7">
        <v>2</v>
      </c>
      <c r="AR22" s="5">
        <v>55</v>
      </c>
      <c r="AS22" s="11">
        <f>VLOOKUP(AR22,[1]المرجع!$B$3:$C$12,2)</f>
        <v>2</v>
      </c>
      <c r="AT22" s="12" t="str">
        <f>VLOOKUP(AS22,[1]المرجع!$D$3:$E$12,2)</f>
        <v>د</v>
      </c>
      <c r="AU22" s="13">
        <f t="shared" si="8"/>
        <v>4</v>
      </c>
      <c r="AV22" s="7">
        <v>2</v>
      </c>
      <c r="AW22" s="5">
        <v>71</v>
      </c>
      <c r="AX22" s="11">
        <f>VLOOKUP(AW22,[1]المرجع!$B$3:$C$12,2)</f>
        <v>3</v>
      </c>
      <c r="AY22" s="12" t="str">
        <f>VLOOKUP(AX22,[1]المرجع!$D$3:$E$12,2)</f>
        <v>ج</v>
      </c>
      <c r="AZ22" s="13">
        <f t="shared" si="9"/>
        <v>6</v>
      </c>
      <c r="BA22" s="7">
        <v>2</v>
      </c>
      <c r="BB22" s="5">
        <v>82</v>
      </c>
      <c r="BC22" s="11">
        <f>VLOOKUP(BB22,[1]المرجع!$B$3:$C$12,2)</f>
        <v>4</v>
      </c>
      <c r="BD22" s="12" t="str">
        <f>VLOOKUP(BC22,[1]المرجع!$D$3:$E$12,2)</f>
        <v>ب</v>
      </c>
      <c r="BE22" s="13">
        <f t="shared" si="10"/>
        <v>8</v>
      </c>
      <c r="BF22" s="7">
        <v>2</v>
      </c>
      <c r="BG22" s="5">
        <v>59</v>
      </c>
      <c r="BH22" s="11">
        <f>VLOOKUP(BG22,[1]المرجع!$B$3:$C$12,2)</f>
        <v>2</v>
      </c>
      <c r="BI22" s="12" t="str">
        <f>VLOOKUP(BH22,[1]المرجع!$D$3:$E$12,2)</f>
        <v>د</v>
      </c>
      <c r="BJ22" s="13">
        <f t="shared" si="11"/>
        <v>4</v>
      </c>
      <c r="BK22" s="15">
        <f t="shared" si="12"/>
        <v>79</v>
      </c>
      <c r="BL22" s="16">
        <f t="shared" si="13"/>
        <v>23</v>
      </c>
      <c r="BM22" s="17">
        <f t="shared" si="15"/>
        <v>3.4347826086956523</v>
      </c>
      <c r="BN22" s="18" t="str">
        <f>VLOOKUP(BM22,المرجع!$C$1:$E$10,3)</f>
        <v xml:space="preserve">جيد مرتفع </v>
      </c>
      <c r="BO22" s="19">
        <f t="shared" si="14"/>
        <v>20</v>
      </c>
    </row>
    <row r="23" spans="1:67" ht="28.5" hidden="1">
      <c r="A23" s="2">
        <v>2025360</v>
      </c>
      <c r="B23" s="23" t="s">
        <v>34</v>
      </c>
      <c r="C23" s="7">
        <v>1</v>
      </c>
      <c r="D23" s="5">
        <v>95</v>
      </c>
      <c r="E23" s="11">
        <f>VLOOKUP(D23,[1]المرجع!$B$3:$C$12,2)</f>
        <v>5</v>
      </c>
      <c r="F23" s="12" t="str">
        <f>VLOOKUP(E23,[1]المرجع!$D$3:$E$12,2)</f>
        <v xml:space="preserve">أ+ </v>
      </c>
      <c r="G23" s="13">
        <f t="shared" si="0"/>
        <v>5</v>
      </c>
      <c r="H23" s="7">
        <v>2</v>
      </c>
      <c r="I23" s="5">
        <v>95</v>
      </c>
      <c r="J23" s="11">
        <f>VLOOKUP(I23,[1]المرجع!$B$3:$C$12,2)</f>
        <v>5</v>
      </c>
      <c r="K23" s="12" t="str">
        <f>VLOOKUP(J23,[1]المرجع!$D$3:$E$12,2)</f>
        <v xml:space="preserve">أ+ </v>
      </c>
      <c r="L23" s="13">
        <f t="shared" si="1"/>
        <v>10</v>
      </c>
      <c r="M23" s="7">
        <v>2</v>
      </c>
      <c r="N23" s="5">
        <v>80</v>
      </c>
      <c r="O23" s="11">
        <f>VLOOKUP(N23,[1]المرجع!$B$3:$C$12,2)</f>
        <v>4</v>
      </c>
      <c r="P23" s="12" t="str">
        <f>VLOOKUP(O23,[1]المرجع!$D$3:$E$12,2)</f>
        <v>ب</v>
      </c>
      <c r="Q23" s="13">
        <f t="shared" si="2"/>
        <v>8</v>
      </c>
      <c r="R23" s="7">
        <v>2</v>
      </c>
      <c r="S23" s="5">
        <v>85</v>
      </c>
      <c r="T23" s="11">
        <f>VLOOKUP(S23,[1]المرجع!$B$3:$C$12,2)</f>
        <v>4.5</v>
      </c>
      <c r="U23" s="12" t="str">
        <f>VLOOKUP(T23,[1]المرجع!$D$3:$E$12,2)</f>
        <v>ب+</v>
      </c>
      <c r="V23" s="13">
        <f t="shared" si="3"/>
        <v>9</v>
      </c>
      <c r="W23" s="7">
        <v>2</v>
      </c>
      <c r="X23" s="5">
        <v>89</v>
      </c>
      <c r="Y23" s="11">
        <f>VLOOKUP(X23,[1]المرجع!$B$3:$C$12,2)</f>
        <v>4.5</v>
      </c>
      <c r="Z23" s="12" t="str">
        <f>VLOOKUP(Y23,[1]المرجع!$D$3:$E$12,2)</f>
        <v>ب+</v>
      </c>
      <c r="AA23" s="13">
        <f t="shared" si="4"/>
        <v>9</v>
      </c>
      <c r="AB23" s="7">
        <v>2</v>
      </c>
      <c r="AC23" s="5">
        <v>50</v>
      </c>
      <c r="AD23" s="11">
        <f>VLOOKUP(AC23,[1]المرجع!$B$3:$C$12,2)</f>
        <v>2</v>
      </c>
      <c r="AE23" s="12" t="str">
        <f>VLOOKUP(AD23,[1]المرجع!$D$3:$E$12,2)</f>
        <v>د</v>
      </c>
      <c r="AF23" s="13">
        <f t="shared" si="5"/>
        <v>4</v>
      </c>
      <c r="AG23" s="7">
        <v>2</v>
      </c>
      <c r="AH23" s="5">
        <v>90</v>
      </c>
      <c r="AI23" s="11">
        <f>VLOOKUP(AH23,[1]المرجع!$B$3:$C$12,2)</f>
        <v>4.75</v>
      </c>
      <c r="AJ23" s="12" t="str">
        <f>VLOOKUP(AI23,[1]المرجع!$D$3:$E$12,2)</f>
        <v>أ</v>
      </c>
      <c r="AK23" s="13">
        <f t="shared" si="6"/>
        <v>9.5</v>
      </c>
      <c r="AL23" s="7">
        <v>2</v>
      </c>
      <c r="AM23" s="5">
        <v>55</v>
      </c>
      <c r="AN23" s="11">
        <f>VLOOKUP(AM23,[1]المرجع!$B$3:$C$12,2)</f>
        <v>2</v>
      </c>
      <c r="AO23" s="12" t="str">
        <f>VLOOKUP(AN23,[1]المرجع!$D$3:$E$12,2)</f>
        <v>د</v>
      </c>
      <c r="AP23" s="13">
        <f t="shared" si="7"/>
        <v>4</v>
      </c>
      <c r="AQ23" s="7">
        <v>2</v>
      </c>
      <c r="AR23" s="5">
        <v>62</v>
      </c>
      <c r="AS23" s="11">
        <f>VLOOKUP(AR23,[1]المرجع!$B$3:$C$12,2)</f>
        <v>2</v>
      </c>
      <c r="AT23" s="12" t="str">
        <f>VLOOKUP(AS23,[1]المرجع!$D$3:$E$12,2)</f>
        <v>د</v>
      </c>
      <c r="AU23" s="13">
        <f t="shared" si="8"/>
        <v>4</v>
      </c>
      <c r="AV23" s="7">
        <v>2</v>
      </c>
      <c r="AW23" s="5">
        <v>70</v>
      </c>
      <c r="AX23" s="11">
        <f>VLOOKUP(AW23,[1]المرجع!$B$3:$C$12,2)</f>
        <v>3</v>
      </c>
      <c r="AY23" s="12" t="str">
        <f>VLOOKUP(AX23,[1]المرجع!$D$3:$E$12,2)</f>
        <v>ج</v>
      </c>
      <c r="AZ23" s="13">
        <f t="shared" si="9"/>
        <v>6</v>
      </c>
      <c r="BA23" s="7">
        <v>2</v>
      </c>
      <c r="BB23" s="5">
        <v>70</v>
      </c>
      <c r="BC23" s="11">
        <f>VLOOKUP(BB23,[1]المرجع!$B$3:$C$12,2)</f>
        <v>3</v>
      </c>
      <c r="BD23" s="12" t="str">
        <f>VLOOKUP(BC23,[1]المرجع!$D$3:$E$12,2)</f>
        <v>ج</v>
      </c>
      <c r="BE23" s="13">
        <f t="shared" si="10"/>
        <v>6</v>
      </c>
      <c r="BF23" s="7">
        <v>2</v>
      </c>
      <c r="BG23" s="5">
        <v>54</v>
      </c>
      <c r="BH23" s="11">
        <f>VLOOKUP(BG23,[1]المرجع!$B$3:$C$12,2)</f>
        <v>2</v>
      </c>
      <c r="BI23" s="12" t="str">
        <f>VLOOKUP(BH23,[1]المرجع!$D$3:$E$12,2)</f>
        <v>د</v>
      </c>
      <c r="BJ23" s="13">
        <f t="shared" si="11"/>
        <v>4</v>
      </c>
      <c r="BK23" s="15">
        <f t="shared" si="12"/>
        <v>78.5</v>
      </c>
      <c r="BL23" s="16">
        <f t="shared" si="13"/>
        <v>23</v>
      </c>
      <c r="BM23" s="17">
        <f t="shared" si="15"/>
        <v>3.4130434782608696</v>
      </c>
      <c r="BN23" s="18" t="str">
        <f>VLOOKUP(BM23,المرجع!$C$1:$E$10,3)</f>
        <v xml:space="preserve">جيد مرتفع </v>
      </c>
      <c r="BO23" s="19">
        <f t="shared" si="14"/>
        <v>21</v>
      </c>
    </row>
    <row r="24" spans="1:67" ht="28.5" hidden="1">
      <c r="A24" s="2">
        <v>2025341</v>
      </c>
      <c r="B24" s="23" t="s">
        <v>40</v>
      </c>
      <c r="C24" s="7">
        <v>1</v>
      </c>
      <c r="D24" s="5">
        <v>50</v>
      </c>
      <c r="E24" s="11">
        <f>VLOOKUP(D24,[1]المرجع!$B$3:$C$12,2)</f>
        <v>2</v>
      </c>
      <c r="F24" s="12" t="str">
        <f>VLOOKUP(E24,[1]المرجع!$D$3:$E$12,2)</f>
        <v>د</v>
      </c>
      <c r="G24" s="13">
        <f t="shared" si="0"/>
        <v>2</v>
      </c>
      <c r="H24" s="7">
        <v>2</v>
      </c>
      <c r="I24" s="5">
        <v>69</v>
      </c>
      <c r="J24" s="11">
        <f>VLOOKUP(I24,[1]المرجع!$B$3:$C$12,2)</f>
        <v>2.5</v>
      </c>
      <c r="K24" s="12" t="str">
        <f>VLOOKUP(J24,[1]المرجع!$D$3:$E$12,2)</f>
        <v>د+</v>
      </c>
      <c r="L24" s="13">
        <f t="shared" si="1"/>
        <v>5</v>
      </c>
      <c r="M24" s="7">
        <v>2</v>
      </c>
      <c r="N24" s="5">
        <v>96</v>
      </c>
      <c r="O24" s="11">
        <f>VLOOKUP(N24,[1]المرجع!$B$3:$C$12,2)</f>
        <v>5</v>
      </c>
      <c r="P24" s="12" t="str">
        <f>VLOOKUP(O24,[1]المرجع!$D$3:$E$12,2)</f>
        <v xml:space="preserve">أ+ </v>
      </c>
      <c r="Q24" s="13">
        <f t="shared" si="2"/>
        <v>10</v>
      </c>
      <c r="R24" s="7">
        <v>2</v>
      </c>
      <c r="S24" s="5">
        <v>67</v>
      </c>
      <c r="T24" s="11">
        <f>VLOOKUP(S24,[1]المرجع!$B$3:$C$12,2)</f>
        <v>2.5</v>
      </c>
      <c r="U24" s="12" t="str">
        <f>VLOOKUP(T24,[1]المرجع!$D$3:$E$12,2)</f>
        <v>د+</v>
      </c>
      <c r="V24" s="13">
        <f t="shared" si="3"/>
        <v>5</v>
      </c>
      <c r="W24" s="7">
        <v>2</v>
      </c>
      <c r="X24" s="5">
        <v>55</v>
      </c>
      <c r="Y24" s="11">
        <f>VLOOKUP(X24,[1]المرجع!$B$3:$C$12,2)</f>
        <v>2</v>
      </c>
      <c r="Z24" s="12" t="str">
        <f>VLOOKUP(Y24,[1]المرجع!$D$3:$E$12,2)</f>
        <v>د</v>
      </c>
      <c r="AA24" s="13">
        <f t="shared" si="4"/>
        <v>4</v>
      </c>
      <c r="AB24" s="7">
        <v>2</v>
      </c>
      <c r="AC24" s="5">
        <v>66</v>
      </c>
      <c r="AD24" s="11">
        <f>VLOOKUP(AC24,[1]المرجع!$B$3:$C$12,2)</f>
        <v>2.5</v>
      </c>
      <c r="AE24" s="12" t="str">
        <f>VLOOKUP(AD24,[1]المرجع!$D$3:$E$12,2)</f>
        <v>د+</v>
      </c>
      <c r="AF24" s="13">
        <f t="shared" si="5"/>
        <v>5</v>
      </c>
      <c r="AG24" s="7">
        <v>2</v>
      </c>
      <c r="AH24" s="5">
        <v>100</v>
      </c>
      <c r="AI24" s="11">
        <f>VLOOKUP(AH24,[1]المرجع!$B$3:$C$12,2)</f>
        <v>5</v>
      </c>
      <c r="AJ24" s="12" t="str">
        <f>VLOOKUP(AI24,[1]المرجع!$D$3:$E$12,2)</f>
        <v xml:space="preserve">أ+ </v>
      </c>
      <c r="AK24" s="13">
        <f t="shared" si="6"/>
        <v>10</v>
      </c>
      <c r="AL24" s="7">
        <v>2</v>
      </c>
      <c r="AM24" s="5">
        <v>69</v>
      </c>
      <c r="AN24" s="11">
        <f>VLOOKUP(AM24,[1]المرجع!$B$3:$C$12,2)</f>
        <v>2.5</v>
      </c>
      <c r="AO24" s="12" t="str">
        <f>VLOOKUP(AN24,[1]المرجع!$D$3:$E$12,2)</f>
        <v>د+</v>
      </c>
      <c r="AP24" s="13">
        <f t="shared" si="7"/>
        <v>5</v>
      </c>
      <c r="AQ24" s="7">
        <v>2</v>
      </c>
      <c r="AR24" s="5">
        <v>84</v>
      </c>
      <c r="AS24" s="11">
        <f>VLOOKUP(AR24,[1]المرجع!$B$3:$C$12,2)</f>
        <v>4</v>
      </c>
      <c r="AT24" s="12" t="str">
        <f>VLOOKUP(AS24,[1]المرجع!$D$3:$E$12,2)</f>
        <v>ب</v>
      </c>
      <c r="AU24" s="13">
        <f t="shared" si="8"/>
        <v>8</v>
      </c>
      <c r="AV24" s="7">
        <v>2</v>
      </c>
      <c r="AW24" s="5">
        <v>77</v>
      </c>
      <c r="AX24" s="11">
        <f>VLOOKUP(AW24,[1]المرجع!$B$3:$C$12,2)</f>
        <v>3.5</v>
      </c>
      <c r="AY24" s="12" t="str">
        <f>VLOOKUP(AX24,[1]المرجع!$D$3:$E$12,2)</f>
        <v>ج+</v>
      </c>
      <c r="AZ24" s="13">
        <f t="shared" si="9"/>
        <v>7</v>
      </c>
      <c r="BA24" s="7">
        <v>2</v>
      </c>
      <c r="BB24" s="5">
        <v>82</v>
      </c>
      <c r="BC24" s="11">
        <f>VLOOKUP(BB24,[1]المرجع!$B$3:$C$12,2)</f>
        <v>4</v>
      </c>
      <c r="BD24" s="12" t="str">
        <f>VLOOKUP(BC24,[1]المرجع!$D$3:$E$12,2)</f>
        <v>ب</v>
      </c>
      <c r="BE24" s="13">
        <f t="shared" si="10"/>
        <v>8</v>
      </c>
      <c r="BF24" s="7">
        <v>2</v>
      </c>
      <c r="BG24" s="5">
        <v>85</v>
      </c>
      <c r="BH24" s="11">
        <f>VLOOKUP(BG24,[1]المرجع!$B$3:$C$12,2)</f>
        <v>4.5</v>
      </c>
      <c r="BI24" s="12" t="str">
        <f>VLOOKUP(BH24,[1]المرجع!$D$3:$E$12,2)</f>
        <v>ب+</v>
      </c>
      <c r="BJ24" s="13">
        <f t="shared" si="11"/>
        <v>9</v>
      </c>
      <c r="BK24" s="15">
        <f t="shared" si="12"/>
        <v>78</v>
      </c>
      <c r="BL24" s="16">
        <f t="shared" si="13"/>
        <v>23</v>
      </c>
      <c r="BM24" s="17">
        <f t="shared" si="15"/>
        <v>3.3913043478260869</v>
      </c>
      <c r="BN24" s="18" t="str">
        <f>VLOOKUP(BM24,المرجع!$C$1:$E$10,3)</f>
        <v xml:space="preserve">جيد مرتفع </v>
      </c>
      <c r="BO24" s="19">
        <f t="shared" si="14"/>
        <v>23</v>
      </c>
    </row>
    <row r="25" spans="1:67" ht="28.5" hidden="1">
      <c r="A25" s="2">
        <v>2025426</v>
      </c>
      <c r="B25" s="23" t="s">
        <v>39</v>
      </c>
      <c r="C25" s="7">
        <v>1</v>
      </c>
      <c r="D25" s="5">
        <v>90</v>
      </c>
      <c r="E25" s="11">
        <f>VLOOKUP(D25,[1]المرجع!$B$3:$C$12,2)</f>
        <v>4.75</v>
      </c>
      <c r="F25" s="12" t="str">
        <f>VLOOKUP(E25,[1]المرجع!$D$3:$E$12,2)</f>
        <v>أ</v>
      </c>
      <c r="G25" s="13">
        <f t="shared" si="0"/>
        <v>4.75</v>
      </c>
      <c r="H25" s="7">
        <v>2</v>
      </c>
      <c r="I25" s="5">
        <v>50</v>
      </c>
      <c r="J25" s="11">
        <f>VLOOKUP(I25,[1]المرجع!$B$3:$C$12,2)</f>
        <v>2</v>
      </c>
      <c r="K25" s="12" t="str">
        <f>VLOOKUP(J25,[1]المرجع!$D$3:$E$12,2)</f>
        <v>د</v>
      </c>
      <c r="L25" s="13">
        <f t="shared" si="1"/>
        <v>4</v>
      </c>
      <c r="M25" s="7">
        <v>2</v>
      </c>
      <c r="N25" s="5">
        <v>77</v>
      </c>
      <c r="O25" s="11">
        <f>VLOOKUP(N25,[1]المرجع!$B$3:$C$12,2)</f>
        <v>3.5</v>
      </c>
      <c r="P25" s="12" t="str">
        <f>VLOOKUP(O25,[1]المرجع!$D$3:$E$12,2)</f>
        <v>ج+</v>
      </c>
      <c r="Q25" s="13">
        <f t="shared" si="2"/>
        <v>7</v>
      </c>
      <c r="R25" s="7">
        <v>2</v>
      </c>
      <c r="S25" s="5">
        <v>81</v>
      </c>
      <c r="T25" s="11">
        <f>VLOOKUP(S25,[1]المرجع!$B$3:$C$12,2)</f>
        <v>4</v>
      </c>
      <c r="U25" s="12" t="str">
        <f>VLOOKUP(T25,[1]المرجع!$D$3:$E$12,2)</f>
        <v>ب</v>
      </c>
      <c r="V25" s="13">
        <f t="shared" si="3"/>
        <v>8</v>
      </c>
      <c r="W25" s="7">
        <v>2</v>
      </c>
      <c r="X25" s="5">
        <v>80</v>
      </c>
      <c r="Y25" s="11">
        <f>VLOOKUP(X25,[1]المرجع!$B$3:$C$12,2)</f>
        <v>4</v>
      </c>
      <c r="Z25" s="12" t="str">
        <f>VLOOKUP(Y25,[1]المرجع!$D$3:$E$12,2)</f>
        <v>ب</v>
      </c>
      <c r="AA25" s="13">
        <f t="shared" si="4"/>
        <v>8</v>
      </c>
      <c r="AB25" s="7">
        <v>2</v>
      </c>
      <c r="AC25" s="5">
        <v>50</v>
      </c>
      <c r="AD25" s="11">
        <f>VLOOKUP(AC25,[1]المرجع!$B$3:$C$12,2)</f>
        <v>2</v>
      </c>
      <c r="AE25" s="12" t="str">
        <f>VLOOKUP(AD25,[1]المرجع!$D$3:$E$12,2)</f>
        <v>د</v>
      </c>
      <c r="AF25" s="13">
        <f t="shared" si="5"/>
        <v>4</v>
      </c>
      <c r="AG25" s="7">
        <v>2</v>
      </c>
      <c r="AH25" s="5">
        <v>88</v>
      </c>
      <c r="AI25" s="11">
        <f>VLOOKUP(AH25,[1]المرجع!$B$3:$C$12,2)</f>
        <v>4.5</v>
      </c>
      <c r="AJ25" s="12" t="str">
        <f>VLOOKUP(AI25,[1]المرجع!$D$3:$E$12,2)</f>
        <v>ب+</v>
      </c>
      <c r="AK25" s="13">
        <f t="shared" si="6"/>
        <v>9</v>
      </c>
      <c r="AL25" s="7">
        <v>2</v>
      </c>
      <c r="AM25" s="5">
        <v>88</v>
      </c>
      <c r="AN25" s="11">
        <f>VLOOKUP(AM25,[1]المرجع!$B$3:$C$12,2)</f>
        <v>4.5</v>
      </c>
      <c r="AO25" s="12" t="str">
        <f>VLOOKUP(AN25,[1]المرجع!$D$3:$E$12,2)</f>
        <v>ب+</v>
      </c>
      <c r="AP25" s="13">
        <f t="shared" si="7"/>
        <v>9</v>
      </c>
      <c r="AQ25" s="7">
        <v>2</v>
      </c>
      <c r="AR25" s="5">
        <v>50</v>
      </c>
      <c r="AS25" s="11">
        <f>VLOOKUP(AR25,[1]المرجع!$B$3:$C$12,2)</f>
        <v>2</v>
      </c>
      <c r="AT25" s="12" t="str">
        <f>VLOOKUP(AS25,[1]المرجع!$D$3:$E$12,2)</f>
        <v>د</v>
      </c>
      <c r="AU25" s="13">
        <f t="shared" si="8"/>
        <v>4</v>
      </c>
      <c r="AV25" s="7">
        <v>2</v>
      </c>
      <c r="AW25" s="5">
        <v>50</v>
      </c>
      <c r="AX25" s="11">
        <f>VLOOKUP(AW25,[1]المرجع!$B$3:$C$12,2)</f>
        <v>2</v>
      </c>
      <c r="AY25" s="12" t="str">
        <f>VLOOKUP(AX25,[1]المرجع!$D$3:$E$12,2)</f>
        <v>د</v>
      </c>
      <c r="AZ25" s="13">
        <f t="shared" si="9"/>
        <v>4</v>
      </c>
      <c r="BA25" s="7">
        <v>2</v>
      </c>
      <c r="BB25" s="5">
        <v>72</v>
      </c>
      <c r="BC25" s="11">
        <f>VLOOKUP(BB25,[1]المرجع!$B$3:$C$12,2)</f>
        <v>3</v>
      </c>
      <c r="BD25" s="12" t="str">
        <f>VLOOKUP(BC25,[1]المرجع!$D$3:$E$12,2)</f>
        <v>ج</v>
      </c>
      <c r="BE25" s="13">
        <f t="shared" si="10"/>
        <v>6</v>
      </c>
      <c r="BF25" s="7">
        <v>2</v>
      </c>
      <c r="BG25" s="5">
        <v>95</v>
      </c>
      <c r="BH25" s="11">
        <f>VLOOKUP(BG25,[1]المرجع!$B$3:$C$12,2)</f>
        <v>5</v>
      </c>
      <c r="BI25" s="12" t="str">
        <f>VLOOKUP(BH25,[1]المرجع!$D$3:$E$12,2)</f>
        <v xml:space="preserve">أ+ </v>
      </c>
      <c r="BJ25" s="13">
        <f t="shared" si="11"/>
        <v>10</v>
      </c>
      <c r="BK25" s="15">
        <f t="shared" si="12"/>
        <v>77.75</v>
      </c>
      <c r="BL25" s="16">
        <f t="shared" si="13"/>
        <v>23</v>
      </c>
      <c r="BM25" s="17">
        <f t="shared" si="15"/>
        <v>3.3804347826086958</v>
      </c>
      <c r="BN25" s="18" t="str">
        <f>VLOOKUP(BM25,المرجع!$C$1:$E$10,3)</f>
        <v xml:space="preserve">جيد مرتفع </v>
      </c>
      <c r="BO25" s="19">
        <f t="shared" si="14"/>
        <v>24</v>
      </c>
    </row>
    <row r="26" spans="1:67" ht="28.5" hidden="1">
      <c r="A26" s="2">
        <v>2025347</v>
      </c>
      <c r="B26" s="23" t="s">
        <v>35</v>
      </c>
      <c r="C26" s="7">
        <v>1</v>
      </c>
      <c r="D26" s="5">
        <v>69</v>
      </c>
      <c r="E26" s="11">
        <f>VLOOKUP(D26,[1]المرجع!$B$3:$C$12,2)</f>
        <v>2.5</v>
      </c>
      <c r="F26" s="12" t="str">
        <f>VLOOKUP(E26,[1]المرجع!$D$3:$E$12,2)</f>
        <v>د+</v>
      </c>
      <c r="G26" s="13">
        <f t="shared" si="0"/>
        <v>2.5</v>
      </c>
      <c r="H26" s="7">
        <v>2</v>
      </c>
      <c r="I26" s="5">
        <v>98</v>
      </c>
      <c r="J26" s="11">
        <f>VLOOKUP(I26,[1]المرجع!$B$3:$C$12,2)</f>
        <v>5</v>
      </c>
      <c r="K26" s="12" t="str">
        <f>VLOOKUP(J26,[1]المرجع!$D$3:$E$12,2)</f>
        <v xml:space="preserve">أ+ </v>
      </c>
      <c r="L26" s="13">
        <f t="shared" si="1"/>
        <v>10</v>
      </c>
      <c r="M26" s="7">
        <v>2</v>
      </c>
      <c r="N26" s="5">
        <v>87</v>
      </c>
      <c r="O26" s="11">
        <f>VLOOKUP(N26,[1]المرجع!$B$3:$C$12,2)</f>
        <v>4.5</v>
      </c>
      <c r="P26" s="12" t="str">
        <f>VLOOKUP(O26,[1]المرجع!$D$3:$E$12,2)</f>
        <v>ب+</v>
      </c>
      <c r="Q26" s="13">
        <f t="shared" si="2"/>
        <v>9</v>
      </c>
      <c r="R26" s="7">
        <v>2</v>
      </c>
      <c r="S26" s="5">
        <v>74</v>
      </c>
      <c r="T26" s="11">
        <f>VLOOKUP(S26,[1]المرجع!$B$3:$C$12,2)</f>
        <v>3</v>
      </c>
      <c r="U26" s="12" t="str">
        <f>VLOOKUP(T26,[1]المرجع!$D$3:$E$12,2)</f>
        <v>ج</v>
      </c>
      <c r="V26" s="13">
        <f t="shared" si="3"/>
        <v>6</v>
      </c>
      <c r="W26" s="7">
        <v>2</v>
      </c>
      <c r="X26" s="5">
        <v>75</v>
      </c>
      <c r="Y26" s="11">
        <f>VLOOKUP(X26,[1]المرجع!$B$3:$C$12,2)</f>
        <v>3.5</v>
      </c>
      <c r="Z26" s="12" t="str">
        <f>VLOOKUP(Y26,[1]المرجع!$D$3:$E$12,2)</f>
        <v>ج+</v>
      </c>
      <c r="AA26" s="13">
        <f t="shared" si="4"/>
        <v>7</v>
      </c>
      <c r="AB26" s="7">
        <v>2</v>
      </c>
      <c r="AC26" s="5">
        <v>80</v>
      </c>
      <c r="AD26" s="11">
        <f>VLOOKUP(AC26,[1]المرجع!$B$3:$C$12,2)</f>
        <v>4</v>
      </c>
      <c r="AE26" s="12" t="str">
        <f>VLOOKUP(AD26,[1]المرجع!$D$3:$E$12,2)</f>
        <v>ب</v>
      </c>
      <c r="AF26" s="13">
        <f t="shared" si="5"/>
        <v>8</v>
      </c>
      <c r="AG26" s="7">
        <v>2</v>
      </c>
      <c r="AH26" s="5">
        <v>97</v>
      </c>
      <c r="AI26" s="11">
        <f>VLOOKUP(AH26,[1]المرجع!$B$3:$C$12,2)</f>
        <v>5</v>
      </c>
      <c r="AJ26" s="12" t="str">
        <f>VLOOKUP(AI26,[1]المرجع!$D$3:$E$12,2)</f>
        <v xml:space="preserve">أ+ </v>
      </c>
      <c r="AK26" s="13">
        <f t="shared" si="6"/>
        <v>10</v>
      </c>
      <c r="AL26" s="7">
        <v>2</v>
      </c>
      <c r="AM26" s="5">
        <v>50</v>
      </c>
      <c r="AN26" s="11">
        <f>VLOOKUP(AM26,[1]المرجع!$B$3:$C$12,2)</f>
        <v>2</v>
      </c>
      <c r="AO26" s="12" t="str">
        <f>VLOOKUP(AN26,[1]المرجع!$D$3:$E$12,2)</f>
        <v>د</v>
      </c>
      <c r="AP26" s="13">
        <f t="shared" si="7"/>
        <v>4</v>
      </c>
      <c r="AQ26" s="7">
        <v>2</v>
      </c>
      <c r="AR26" s="5">
        <v>55</v>
      </c>
      <c r="AS26" s="11">
        <f>VLOOKUP(AR26,[1]المرجع!$B$3:$C$12,2)</f>
        <v>2</v>
      </c>
      <c r="AT26" s="12" t="str">
        <f>VLOOKUP(AS26,[1]المرجع!$D$3:$E$12,2)</f>
        <v>د</v>
      </c>
      <c r="AU26" s="13">
        <f t="shared" si="8"/>
        <v>4</v>
      </c>
      <c r="AV26" s="7">
        <v>2</v>
      </c>
      <c r="AW26" s="5">
        <v>62</v>
      </c>
      <c r="AX26" s="11">
        <f>VLOOKUP(AW26,[1]المرجع!$B$3:$C$12,2)</f>
        <v>2</v>
      </c>
      <c r="AY26" s="12" t="str">
        <f>VLOOKUP(AX26,[1]المرجع!$D$3:$E$12,2)</f>
        <v>د</v>
      </c>
      <c r="AZ26" s="13">
        <f t="shared" si="9"/>
        <v>4</v>
      </c>
      <c r="BA26" s="7">
        <v>2</v>
      </c>
      <c r="BB26" s="5">
        <v>87</v>
      </c>
      <c r="BC26" s="11">
        <f>VLOOKUP(BB26,[1]المرجع!$B$3:$C$12,2)</f>
        <v>4.5</v>
      </c>
      <c r="BD26" s="12" t="str">
        <f>VLOOKUP(BC26,[1]المرجع!$D$3:$E$12,2)</f>
        <v>ب+</v>
      </c>
      <c r="BE26" s="13">
        <f t="shared" si="10"/>
        <v>9</v>
      </c>
      <c r="BF26" s="7">
        <v>2</v>
      </c>
      <c r="BG26" s="5">
        <v>52</v>
      </c>
      <c r="BH26" s="11">
        <f>VLOOKUP(BG26,[1]المرجع!$B$3:$C$12,2)</f>
        <v>2</v>
      </c>
      <c r="BI26" s="12" t="str">
        <f>VLOOKUP(BH26,[1]المرجع!$D$3:$E$12,2)</f>
        <v>د</v>
      </c>
      <c r="BJ26" s="13">
        <f t="shared" si="11"/>
        <v>4</v>
      </c>
      <c r="BK26" s="15">
        <f t="shared" si="12"/>
        <v>77.5</v>
      </c>
      <c r="BL26" s="16">
        <f t="shared" si="13"/>
        <v>23</v>
      </c>
      <c r="BM26" s="17">
        <f t="shared" si="15"/>
        <v>3.3695652173913042</v>
      </c>
      <c r="BN26" s="18" t="str">
        <f>VLOOKUP(BM26,المرجع!$C$1:$E$10,3)</f>
        <v xml:space="preserve">جيد مرتفع </v>
      </c>
      <c r="BO26" s="19">
        <f t="shared" si="14"/>
        <v>25</v>
      </c>
    </row>
    <row r="27" spans="1:67" ht="28.5" hidden="1">
      <c r="A27" s="2">
        <v>2025415</v>
      </c>
      <c r="B27" s="23" t="s">
        <v>33</v>
      </c>
      <c r="C27" s="7">
        <v>1</v>
      </c>
      <c r="D27" s="5">
        <v>55</v>
      </c>
      <c r="E27" s="11">
        <f>VLOOKUP(D27,[1]المرجع!$B$3:$C$12,2)</f>
        <v>2</v>
      </c>
      <c r="F27" s="12" t="str">
        <f>VLOOKUP(E27,[1]المرجع!$D$3:$E$12,2)</f>
        <v>د</v>
      </c>
      <c r="G27" s="13">
        <f t="shared" si="0"/>
        <v>2</v>
      </c>
      <c r="H27" s="7">
        <v>2</v>
      </c>
      <c r="I27" s="5">
        <v>63</v>
      </c>
      <c r="J27" s="11">
        <f>VLOOKUP(I27,[1]المرجع!$B$3:$C$12,2)</f>
        <v>2</v>
      </c>
      <c r="K27" s="12" t="str">
        <f>VLOOKUP(J27,[1]المرجع!$D$3:$E$12,2)</f>
        <v>د</v>
      </c>
      <c r="L27" s="13">
        <f t="shared" si="1"/>
        <v>4</v>
      </c>
      <c r="M27" s="7">
        <v>2</v>
      </c>
      <c r="N27" s="5">
        <v>58</v>
      </c>
      <c r="O27" s="11">
        <f>VLOOKUP(N27,[1]المرجع!$B$3:$C$12,2)</f>
        <v>2</v>
      </c>
      <c r="P27" s="12" t="str">
        <f>VLOOKUP(O27,[1]المرجع!$D$3:$E$12,2)</f>
        <v>د</v>
      </c>
      <c r="Q27" s="13">
        <f t="shared" si="2"/>
        <v>4</v>
      </c>
      <c r="R27" s="7">
        <v>2</v>
      </c>
      <c r="S27" s="5">
        <v>78</v>
      </c>
      <c r="T27" s="11">
        <f>VLOOKUP(S27,[1]المرجع!$B$3:$C$12,2)</f>
        <v>3.5</v>
      </c>
      <c r="U27" s="12" t="str">
        <f>VLOOKUP(T27,[1]المرجع!$D$3:$E$12,2)</f>
        <v>ج+</v>
      </c>
      <c r="V27" s="13">
        <f t="shared" si="3"/>
        <v>7</v>
      </c>
      <c r="W27" s="7">
        <v>2</v>
      </c>
      <c r="X27" s="5">
        <v>74</v>
      </c>
      <c r="Y27" s="11">
        <f>VLOOKUP(X27,[1]المرجع!$B$3:$C$12,2)</f>
        <v>3</v>
      </c>
      <c r="Z27" s="12" t="str">
        <f>VLOOKUP(Y27,[1]المرجع!$D$3:$E$12,2)</f>
        <v>ج</v>
      </c>
      <c r="AA27" s="13">
        <f t="shared" si="4"/>
        <v>6</v>
      </c>
      <c r="AB27" s="7">
        <v>2</v>
      </c>
      <c r="AC27" s="5">
        <v>56</v>
      </c>
      <c r="AD27" s="11">
        <f>VLOOKUP(AC27,[1]المرجع!$B$3:$C$12,2)</f>
        <v>2</v>
      </c>
      <c r="AE27" s="12" t="str">
        <f>VLOOKUP(AD27,[1]المرجع!$D$3:$E$12,2)</f>
        <v>د</v>
      </c>
      <c r="AF27" s="13">
        <f t="shared" si="5"/>
        <v>4</v>
      </c>
      <c r="AG27" s="7">
        <v>2</v>
      </c>
      <c r="AH27" s="5">
        <v>100</v>
      </c>
      <c r="AI27" s="11">
        <f>VLOOKUP(AH27,[1]المرجع!$B$3:$C$12,2)</f>
        <v>5</v>
      </c>
      <c r="AJ27" s="12" t="str">
        <f>VLOOKUP(AI27,[1]المرجع!$D$3:$E$12,2)</f>
        <v xml:space="preserve">أ+ </v>
      </c>
      <c r="AK27" s="13">
        <f t="shared" si="6"/>
        <v>10</v>
      </c>
      <c r="AL27" s="7">
        <v>2</v>
      </c>
      <c r="AM27" s="5">
        <v>70</v>
      </c>
      <c r="AN27" s="11">
        <f>VLOOKUP(AM27,[1]المرجع!$B$3:$C$12,2)</f>
        <v>3</v>
      </c>
      <c r="AO27" s="12" t="str">
        <f>VLOOKUP(AN27,[1]المرجع!$D$3:$E$12,2)</f>
        <v>ج</v>
      </c>
      <c r="AP27" s="13">
        <f t="shared" si="7"/>
        <v>6</v>
      </c>
      <c r="AQ27" s="7">
        <v>2</v>
      </c>
      <c r="AR27" s="5">
        <v>82</v>
      </c>
      <c r="AS27" s="11">
        <f>VLOOKUP(AR27,[1]المرجع!$B$3:$C$12,2)</f>
        <v>4</v>
      </c>
      <c r="AT27" s="12" t="str">
        <f>VLOOKUP(AS27,[1]المرجع!$D$3:$E$12,2)</f>
        <v>ب</v>
      </c>
      <c r="AU27" s="13">
        <f t="shared" si="8"/>
        <v>8</v>
      </c>
      <c r="AV27" s="7">
        <v>2</v>
      </c>
      <c r="AW27" s="5">
        <v>72</v>
      </c>
      <c r="AX27" s="11">
        <f>VLOOKUP(AW27,[1]المرجع!$B$3:$C$12,2)</f>
        <v>3</v>
      </c>
      <c r="AY27" s="12" t="str">
        <f>VLOOKUP(AX27,[1]المرجع!$D$3:$E$12,2)</f>
        <v>ج</v>
      </c>
      <c r="AZ27" s="13">
        <f t="shared" si="9"/>
        <v>6</v>
      </c>
      <c r="BA27" s="7">
        <v>2</v>
      </c>
      <c r="BB27" s="5">
        <v>96</v>
      </c>
      <c r="BC27" s="11">
        <f>VLOOKUP(BB27,[1]المرجع!$B$3:$C$12,2)</f>
        <v>5</v>
      </c>
      <c r="BD27" s="12" t="str">
        <f>VLOOKUP(BC27,[1]المرجع!$D$3:$E$12,2)</f>
        <v xml:space="preserve">أ+ </v>
      </c>
      <c r="BE27" s="13">
        <f t="shared" si="10"/>
        <v>10</v>
      </c>
      <c r="BF27" s="7">
        <v>2</v>
      </c>
      <c r="BG27" s="5">
        <v>95</v>
      </c>
      <c r="BH27" s="11">
        <f>VLOOKUP(BG27,[1]المرجع!$B$3:$C$12,2)</f>
        <v>5</v>
      </c>
      <c r="BI27" s="12" t="str">
        <f>VLOOKUP(BH27,[1]المرجع!$D$3:$E$12,2)</f>
        <v xml:space="preserve">أ+ </v>
      </c>
      <c r="BJ27" s="13">
        <f t="shared" si="11"/>
        <v>10</v>
      </c>
      <c r="BK27" s="15">
        <f t="shared" si="12"/>
        <v>77</v>
      </c>
      <c r="BL27" s="16">
        <f t="shared" si="13"/>
        <v>23</v>
      </c>
      <c r="BM27" s="17">
        <f t="shared" si="15"/>
        <v>3.347826086956522</v>
      </c>
      <c r="BN27" s="18" t="str">
        <f>VLOOKUP(BM27,المرجع!$C$1:$E$10,3)</f>
        <v xml:space="preserve">جيد مرتفع </v>
      </c>
      <c r="BO27" s="19">
        <f t="shared" si="14"/>
        <v>26</v>
      </c>
    </row>
    <row r="28" spans="1:67" ht="28.5" hidden="1">
      <c r="A28" s="2">
        <v>2025334</v>
      </c>
      <c r="B28" s="23" t="s">
        <v>44</v>
      </c>
      <c r="C28" s="7">
        <v>1</v>
      </c>
      <c r="D28" s="5">
        <v>50</v>
      </c>
      <c r="E28" s="11">
        <f>VLOOKUP(D28,[1]المرجع!$B$3:$C$12,2)</f>
        <v>2</v>
      </c>
      <c r="F28" s="12" t="str">
        <f>VLOOKUP(E28,[1]المرجع!$D$3:$E$12,2)</f>
        <v>د</v>
      </c>
      <c r="G28" s="13">
        <f t="shared" si="0"/>
        <v>2</v>
      </c>
      <c r="H28" s="7">
        <v>2</v>
      </c>
      <c r="I28" s="5">
        <v>88</v>
      </c>
      <c r="J28" s="11">
        <f>VLOOKUP(I28,[1]المرجع!$B$3:$C$12,2)</f>
        <v>4.5</v>
      </c>
      <c r="K28" s="12" t="str">
        <f>VLOOKUP(J28,[1]المرجع!$D$3:$E$12,2)</f>
        <v>ب+</v>
      </c>
      <c r="L28" s="13">
        <f t="shared" si="1"/>
        <v>9</v>
      </c>
      <c r="M28" s="7">
        <v>2</v>
      </c>
      <c r="N28" s="5">
        <v>96</v>
      </c>
      <c r="O28" s="11">
        <f>VLOOKUP(N28,[1]المرجع!$B$3:$C$12,2)</f>
        <v>5</v>
      </c>
      <c r="P28" s="12" t="str">
        <f>VLOOKUP(O28,[1]المرجع!$D$3:$E$12,2)</f>
        <v xml:space="preserve">أ+ </v>
      </c>
      <c r="Q28" s="13">
        <f t="shared" si="2"/>
        <v>10</v>
      </c>
      <c r="R28" s="7">
        <v>2</v>
      </c>
      <c r="S28" s="5">
        <v>67</v>
      </c>
      <c r="T28" s="11">
        <f>VLOOKUP(S28,[1]المرجع!$B$3:$C$12,2)</f>
        <v>2.5</v>
      </c>
      <c r="U28" s="12" t="str">
        <f>VLOOKUP(T28,[1]المرجع!$D$3:$E$12,2)</f>
        <v>د+</v>
      </c>
      <c r="V28" s="13">
        <f t="shared" si="3"/>
        <v>5</v>
      </c>
      <c r="W28" s="7">
        <v>2</v>
      </c>
      <c r="X28" s="5">
        <v>50</v>
      </c>
      <c r="Y28" s="11">
        <f>VLOOKUP(X28,[1]المرجع!$B$3:$C$12,2)</f>
        <v>2</v>
      </c>
      <c r="Z28" s="12" t="str">
        <f>VLOOKUP(Y28,[1]المرجع!$D$3:$E$12,2)</f>
        <v>د</v>
      </c>
      <c r="AA28" s="13">
        <f t="shared" si="4"/>
        <v>4</v>
      </c>
      <c r="AB28" s="7">
        <v>2</v>
      </c>
      <c r="AC28" s="5">
        <v>55</v>
      </c>
      <c r="AD28" s="11">
        <f>VLOOKUP(AC28,[1]المرجع!$B$3:$C$12,2)</f>
        <v>2</v>
      </c>
      <c r="AE28" s="12" t="str">
        <f>VLOOKUP(AD28,[1]المرجع!$D$3:$E$12,2)</f>
        <v>د</v>
      </c>
      <c r="AF28" s="13">
        <f t="shared" si="5"/>
        <v>4</v>
      </c>
      <c r="AG28" s="7">
        <v>2</v>
      </c>
      <c r="AH28" s="5">
        <v>98</v>
      </c>
      <c r="AI28" s="11">
        <f>VLOOKUP(AH28,[1]المرجع!$B$3:$C$12,2)</f>
        <v>5</v>
      </c>
      <c r="AJ28" s="12" t="str">
        <f>VLOOKUP(AI28,[1]المرجع!$D$3:$E$12,2)</f>
        <v xml:space="preserve">أ+ </v>
      </c>
      <c r="AK28" s="13">
        <f t="shared" si="6"/>
        <v>10</v>
      </c>
      <c r="AL28" s="7">
        <v>2</v>
      </c>
      <c r="AM28" s="5">
        <v>60</v>
      </c>
      <c r="AN28" s="11">
        <f>VLOOKUP(AM28,[1]المرجع!$B$3:$C$12,2)</f>
        <v>2</v>
      </c>
      <c r="AO28" s="12" t="str">
        <f>VLOOKUP(AN28,[1]المرجع!$D$3:$E$12,2)</f>
        <v>د</v>
      </c>
      <c r="AP28" s="13">
        <f t="shared" si="7"/>
        <v>4</v>
      </c>
      <c r="AQ28" s="7">
        <v>2</v>
      </c>
      <c r="AR28" s="5">
        <v>50</v>
      </c>
      <c r="AS28" s="11">
        <f>VLOOKUP(AR28,[1]المرجع!$B$3:$C$12,2)</f>
        <v>2</v>
      </c>
      <c r="AT28" s="12" t="str">
        <f>VLOOKUP(AS28,[1]المرجع!$D$3:$E$12,2)</f>
        <v>د</v>
      </c>
      <c r="AU28" s="13">
        <f t="shared" si="8"/>
        <v>4</v>
      </c>
      <c r="AV28" s="7">
        <v>2</v>
      </c>
      <c r="AW28" s="5">
        <v>70</v>
      </c>
      <c r="AX28" s="11">
        <f>VLOOKUP(AW28,[1]المرجع!$B$3:$C$12,2)</f>
        <v>3</v>
      </c>
      <c r="AY28" s="12" t="str">
        <f>VLOOKUP(AX28,[1]المرجع!$D$3:$E$12,2)</f>
        <v>ج</v>
      </c>
      <c r="AZ28" s="13">
        <f t="shared" si="9"/>
        <v>6</v>
      </c>
      <c r="BA28" s="7">
        <v>2</v>
      </c>
      <c r="BB28" s="5">
        <v>80</v>
      </c>
      <c r="BC28" s="11">
        <f>VLOOKUP(BB28,[1]المرجع!$B$3:$C$12,2)</f>
        <v>4</v>
      </c>
      <c r="BD28" s="12" t="str">
        <f>VLOOKUP(BC28,[1]المرجع!$D$3:$E$12,2)</f>
        <v>ب</v>
      </c>
      <c r="BE28" s="13">
        <f t="shared" si="10"/>
        <v>8</v>
      </c>
      <c r="BF28" s="7">
        <v>2</v>
      </c>
      <c r="BG28" s="5">
        <v>93</v>
      </c>
      <c r="BH28" s="11">
        <f>VLOOKUP(BG28,[1]المرجع!$B$3:$C$12,2)</f>
        <v>4.75</v>
      </c>
      <c r="BI28" s="12" t="str">
        <f>VLOOKUP(BH28,[1]المرجع!$D$3:$E$12,2)</f>
        <v>أ</v>
      </c>
      <c r="BJ28" s="13">
        <f t="shared" si="11"/>
        <v>9.5</v>
      </c>
      <c r="BK28" s="15">
        <f t="shared" si="12"/>
        <v>75.5</v>
      </c>
      <c r="BL28" s="16">
        <f t="shared" si="13"/>
        <v>23</v>
      </c>
      <c r="BM28" s="17">
        <f t="shared" si="15"/>
        <v>3.2826086956521738</v>
      </c>
      <c r="BN28" s="18" t="str">
        <f>VLOOKUP(BM28,المرجع!$C$1:$E$10,3)</f>
        <v xml:space="preserve">جيد مرتفع </v>
      </c>
      <c r="BO28" s="19">
        <f t="shared" si="14"/>
        <v>27</v>
      </c>
    </row>
    <row r="29" spans="1:67" ht="28.5" hidden="1">
      <c r="A29" s="2">
        <v>2025412</v>
      </c>
      <c r="B29" s="23" t="s">
        <v>36</v>
      </c>
      <c r="C29" s="7">
        <v>1</v>
      </c>
      <c r="D29" s="5">
        <v>73</v>
      </c>
      <c r="E29" s="11">
        <f>VLOOKUP(D29,[1]المرجع!$B$3:$C$12,2)</f>
        <v>3</v>
      </c>
      <c r="F29" s="12" t="str">
        <f>VLOOKUP(E29,[1]المرجع!$D$3:$E$12,2)</f>
        <v>ج</v>
      </c>
      <c r="G29" s="13">
        <f t="shared" si="0"/>
        <v>3</v>
      </c>
      <c r="H29" s="7">
        <v>2</v>
      </c>
      <c r="I29" s="5">
        <v>94</v>
      </c>
      <c r="J29" s="11">
        <f>VLOOKUP(I29,[1]المرجع!$B$3:$C$12,2)</f>
        <v>4.75</v>
      </c>
      <c r="K29" s="12" t="str">
        <f>VLOOKUP(J29,[1]المرجع!$D$3:$E$12,2)</f>
        <v>أ</v>
      </c>
      <c r="L29" s="13">
        <f t="shared" si="1"/>
        <v>9.5</v>
      </c>
      <c r="M29" s="7">
        <v>2</v>
      </c>
      <c r="N29" s="5">
        <v>77</v>
      </c>
      <c r="O29" s="11">
        <f>VLOOKUP(N29,[1]المرجع!$B$3:$C$12,2)</f>
        <v>3.5</v>
      </c>
      <c r="P29" s="12" t="str">
        <f>VLOOKUP(O29,[1]المرجع!$D$3:$E$12,2)</f>
        <v>ج+</v>
      </c>
      <c r="Q29" s="13">
        <f t="shared" si="2"/>
        <v>7</v>
      </c>
      <c r="R29" s="7">
        <v>2</v>
      </c>
      <c r="S29" s="5">
        <v>82</v>
      </c>
      <c r="T29" s="11">
        <f>VLOOKUP(S29,[1]المرجع!$B$3:$C$12,2)</f>
        <v>4</v>
      </c>
      <c r="U29" s="12" t="str">
        <f>VLOOKUP(T29,[1]المرجع!$D$3:$E$12,2)</f>
        <v>ب</v>
      </c>
      <c r="V29" s="13">
        <f t="shared" si="3"/>
        <v>8</v>
      </c>
      <c r="W29" s="7">
        <v>2</v>
      </c>
      <c r="X29" s="5">
        <v>66</v>
      </c>
      <c r="Y29" s="11">
        <f>VLOOKUP(X29,[1]المرجع!$B$3:$C$12,2)</f>
        <v>2.5</v>
      </c>
      <c r="Z29" s="12" t="str">
        <f>VLOOKUP(Y29,[1]المرجع!$D$3:$E$12,2)</f>
        <v>د+</v>
      </c>
      <c r="AA29" s="13">
        <f t="shared" si="4"/>
        <v>5</v>
      </c>
      <c r="AB29" s="7">
        <v>2</v>
      </c>
      <c r="AC29" s="5">
        <v>72</v>
      </c>
      <c r="AD29" s="11">
        <f>VLOOKUP(AC29,[1]المرجع!$B$3:$C$12,2)</f>
        <v>3</v>
      </c>
      <c r="AE29" s="12" t="str">
        <f>VLOOKUP(AD29,[1]المرجع!$D$3:$E$12,2)</f>
        <v>ج</v>
      </c>
      <c r="AF29" s="13">
        <f t="shared" si="5"/>
        <v>6</v>
      </c>
      <c r="AG29" s="7">
        <v>2</v>
      </c>
      <c r="AH29" s="5">
        <v>90</v>
      </c>
      <c r="AI29" s="11">
        <f>VLOOKUP(AH29,[1]المرجع!$B$3:$C$12,2)</f>
        <v>4.75</v>
      </c>
      <c r="AJ29" s="12" t="str">
        <f>VLOOKUP(AI29,[1]المرجع!$D$3:$E$12,2)</f>
        <v>أ</v>
      </c>
      <c r="AK29" s="13">
        <f t="shared" si="6"/>
        <v>9.5</v>
      </c>
      <c r="AL29" s="7">
        <v>2</v>
      </c>
      <c r="AM29" s="5">
        <v>50</v>
      </c>
      <c r="AN29" s="11">
        <f>VLOOKUP(AM29,[1]المرجع!$B$3:$C$12,2)</f>
        <v>2</v>
      </c>
      <c r="AO29" s="12" t="str">
        <f>VLOOKUP(AN29,[1]المرجع!$D$3:$E$12,2)</f>
        <v>د</v>
      </c>
      <c r="AP29" s="13">
        <f t="shared" si="7"/>
        <v>4</v>
      </c>
      <c r="AQ29" s="7">
        <v>2</v>
      </c>
      <c r="AR29" s="5">
        <v>78</v>
      </c>
      <c r="AS29" s="11">
        <f>VLOOKUP(AR29,[1]المرجع!$B$3:$C$12,2)</f>
        <v>3.5</v>
      </c>
      <c r="AT29" s="12" t="str">
        <f>VLOOKUP(AS29,[1]المرجع!$D$3:$E$12,2)</f>
        <v>ج+</v>
      </c>
      <c r="AU29" s="13">
        <f t="shared" si="8"/>
        <v>7</v>
      </c>
      <c r="AV29" s="7">
        <v>2</v>
      </c>
      <c r="AW29" s="5">
        <v>64</v>
      </c>
      <c r="AX29" s="11">
        <f>VLOOKUP(AW29,[1]المرجع!$B$3:$C$12,2)</f>
        <v>2</v>
      </c>
      <c r="AY29" s="12" t="str">
        <f>VLOOKUP(AX29,[1]المرجع!$D$3:$E$12,2)</f>
        <v>د</v>
      </c>
      <c r="AZ29" s="13">
        <f t="shared" si="9"/>
        <v>4</v>
      </c>
      <c r="BA29" s="7">
        <v>2</v>
      </c>
      <c r="BB29" s="5">
        <v>80</v>
      </c>
      <c r="BC29" s="11">
        <f>VLOOKUP(BB29,[1]المرجع!$B$3:$C$12,2)</f>
        <v>4</v>
      </c>
      <c r="BD29" s="12" t="str">
        <f>VLOOKUP(BC29,[1]المرجع!$D$3:$E$12,2)</f>
        <v>ب</v>
      </c>
      <c r="BE29" s="13">
        <f t="shared" si="10"/>
        <v>8</v>
      </c>
      <c r="BF29" s="7">
        <v>2</v>
      </c>
      <c r="BG29" s="5">
        <v>54</v>
      </c>
      <c r="BH29" s="11">
        <f>VLOOKUP(BG29,[1]المرجع!$B$3:$C$12,2)</f>
        <v>2</v>
      </c>
      <c r="BI29" s="12" t="str">
        <f>VLOOKUP(BH29,[1]المرجع!$D$3:$E$12,2)</f>
        <v>د</v>
      </c>
      <c r="BJ29" s="13">
        <f t="shared" si="11"/>
        <v>4</v>
      </c>
      <c r="BK29" s="15">
        <f t="shared" si="12"/>
        <v>75</v>
      </c>
      <c r="BL29" s="16">
        <f t="shared" si="13"/>
        <v>23</v>
      </c>
      <c r="BM29" s="17">
        <f t="shared" si="15"/>
        <v>3.2608695652173911</v>
      </c>
      <c r="BN29" s="18" t="str">
        <f>VLOOKUP(BM29,المرجع!$C$1:$E$10,3)</f>
        <v xml:space="preserve">جيد مرتفع </v>
      </c>
      <c r="BO29" s="19">
        <f t="shared" si="14"/>
        <v>28</v>
      </c>
    </row>
    <row r="30" spans="1:67" ht="28.5" hidden="1">
      <c r="A30" s="2">
        <v>2025425</v>
      </c>
      <c r="B30" s="23" t="s">
        <v>38</v>
      </c>
      <c r="C30" s="7">
        <v>1</v>
      </c>
      <c r="D30" s="5">
        <v>20</v>
      </c>
      <c r="E30" s="11">
        <f>VLOOKUP(D30,[1]المرجع!$B$3:$C$12,2)</f>
        <v>0</v>
      </c>
      <c r="F30" s="12" t="str">
        <f>VLOOKUP(E30,[1]المرجع!$D$3:$E$12,2)</f>
        <v>ه</v>
      </c>
      <c r="G30" s="13">
        <f t="shared" si="0"/>
        <v>0</v>
      </c>
      <c r="H30" s="7">
        <v>2</v>
      </c>
      <c r="I30" s="5">
        <v>100</v>
      </c>
      <c r="J30" s="11">
        <f>VLOOKUP(I30,[1]المرجع!$B$3:$C$12,2)</f>
        <v>5</v>
      </c>
      <c r="K30" s="12" t="str">
        <f>VLOOKUP(J30,[1]المرجع!$D$3:$E$12,2)</f>
        <v xml:space="preserve">أ+ </v>
      </c>
      <c r="L30" s="13">
        <f t="shared" si="1"/>
        <v>10</v>
      </c>
      <c r="M30" s="7">
        <v>2</v>
      </c>
      <c r="N30" s="5">
        <v>100</v>
      </c>
      <c r="O30" s="11">
        <f>VLOOKUP(N30,[1]المرجع!$B$3:$C$12,2)</f>
        <v>5</v>
      </c>
      <c r="P30" s="12" t="str">
        <f>VLOOKUP(O30,[1]المرجع!$D$3:$E$12,2)</f>
        <v xml:space="preserve">أ+ </v>
      </c>
      <c r="Q30" s="13">
        <f t="shared" si="2"/>
        <v>10</v>
      </c>
      <c r="R30" s="7">
        <v>2</v>
      </c>
      <c r="S30" s="5">
        <v>92</v>
      </c>
      <c r="T30" s="11">
        <f>VLOOKUP(S30,[1]المرجع!$B$3:$C$12,2)</f>
        <v>4.75</v>
      </c>
      <c r="U30" s="12" t="str">
        <f>VLOOKUP(T30,[1]المرجع!$D$3:$E$12,2)</f>
        <v>أ</v>
      </c>
      <c r="V30" s="13">
        <f t="shared" si="3"/>
        <v>9.5</v>
      </c>
      <c r="W30" s="7">
        <v>2</v>
      </c>
      <c r="X30" s="5">
        <v>86</v>
      </c>
      <c r="Y30" s="11">
        <f>VLOOKUP(X30,[1]المرجع!$B$3:$C$12,2)</f>
        <v>4.5</v>
      </c>
      <c r="Z30" s="12" t="str">
        <f>VLOOKUP(Y30,[1]المرجع!$D$3:$E$12,2)</f>
        <v>ب+</v>
      </c>
      <c r="AA30" s="13">
        <f t="shared" si="4"/>
        <v>9</v>
      </c>
      <c r="AB30" s="7">
        <v>2</v>
      </c>
      <c r="AC30" s="5">
        <v>60</v>
      </c>
      <c r="AD30" s="11">
        <f>VLOOKUP(AC30,[1]المرجع!$B$3:$C$12,2)</f>
        <v>2</v>
      </c>
      <c r="AE30" s="12" t="str">
        <f>VLOOKUP(AD30,[1]المرجع!$D$3:$E$12,2)</f>
        <v>د</v>
      </c>
      <c r="AF30" s="13">
        <f t="shared" si="5"/>
        <v>4</v>
      </c>
      <c r="AG30" s="7">
        <v>2</v>
      </c>
      <c r="AH30" s="5">
        <v>96</v>
      </c>
      <c r="AI30" s="11">
        <f>VLOOKUP(AH30,[1]المرجع!$B$3:$C$12,2)</f>
        <v>5</v>
      </c>
      <c r="AJ30" s="12" t="str">
        <f>VLOOKUP(AI30,[1]المرجع!$D$3:$E$12,2)</f>
        <v xml:space="preserve">أ+ </v>
      </c>
      <c r="AK30" s="13">
        <f t="shared" si="6"/>
        <v>10</v>
      </c>
      <c r="AL30" s="7">
        <v>2</v>
      </c>
      <c r="AM30" s="5">
        <v>64</v>
      </c>
      <c r="AN30" s="11">
        <f>VLOOKUP(AM30,[1]المرجع!$B$3:$C$12,2)</f>
        <v>2</v>
      </c>
      <c r="AO30" s="12" t="str">
        <f>VLOOKUP(AN30,[1]المرجع!$D$3:$E$12,2)</f>
        <v>د</v>
      </c>
      <c r="AP30" s="13">
        <f t="shared" si="7"/>
        <v>4</v>
      </c>
      <c r="AQ30" s="7">
        <v>2</v>
      </c>
      <c r="AR30" s="5">
        <v>58</v>
      </c>
      <c r="AS30" s="11">
        <f>VLOOKUP(AR30,[1]المرجع!$B$3:$C$12,2)</f>
        <v>2</v>
      </c>
      <c r="AT30" s="12" t="str">
        <f>VLOOKUP(AS30,[1]المرجع!$D$3:$E$12,2)</f>
        <v>د</v>
      </c>
      <c r="AU30" s="13">
        <f t="shared" si="8"/>
        <v>4</v>
      </c>
      <c r="AV30" s="7">
        <v>2</v>
      </c>
      <c r="AW30" s="5">
        <v>62</v>
      </c>
      <c r="AX30" s="11">
        <f>VLOOKUP(AW30,[1]المرجع!$B$3:$C$12,2)</f>
        <v>2</v>
      </c>
      <c r="AY30" s="12" t="str">
        <f>VLOOKUP(AX30,[1]المرجع!$D$3:$E$12,2)</f>
        <v>د</v>
      </c>
      <c r="AZ30" s="13">
        <f t="shared" si="9"/>
        <v>4</v>
      </c>
      <c r="BA30" s="7">
        <v>2</v>
      </c>
      <c r="BB30" s="5">
        <v>96</v>
      </c>
      <c r="BC30" s="11">
        <f>VLOOKUP(BB30,[1]المرجع!$B$3:$C$12,2)</f>
        <v>5</v>
      </c>
      <c r="BD30" s="12" t="str">
        <f>VLOOKUP(BC30,[1]المرجع!$D$3:$E$12,2)</f>
        <v xml:space="preserve">أ+ </v>
      </c>
      <c r="BE30" s="13">
        <f t="shared" si="10"/>
        <v>10</v>
      </c>
      <c r="BF30" s="7">
        <v>2</v>
      </c>
      <c r="BG30" s="5">
        <v>50</v>
      </c>
      <c r="BH30" s="11">
        <f>VLOOKUP(BG30,[1]المرجع!$B$3:$C$12,2)</f>
        <v>2</v>
      </c>
      <c r="BI30" s="12" t="str">
        <f>VLOOKUP(BH30,[1]المرجع!$D$3:$E$12,2)</f>
        <v>د</v>
      </c>
      <c r="BJ30" s="13">
        <f t="shared" si="11"/>
        <v>4</v>
      </c>
      <c r="BK30" s="15">
        <f t="shared" si="12"/>
        <v>78.5</v>
      </c>
      <c r="BL30" s="16">
        <f t="shared" si="13"/>
        <v>23</v>
      </c>
      <c r="BM30" s="17">
        <f t="shared" si="15"/>
        <v>3.4130434782608696</v>
      </c>
      <c r="BN30" s="18" t="str">
        <f>VLOOKUP(BM30,المرجع!$C$1:$E$10,3)</f>
        <v xml:space="preserve">جيد مرتفع </v>
      </c>
      <c r="BO30" s="19">
        <f t="shared" si="14"/>
        <v>21</v>
      </c>
    </row>
    <row r="31" spans="1:67" ht="28.5" hidden="1">
      <c r="A31" s="2">
        <v>2025362</v>
      </c>
      <c r="B31" s="23" t="s">
        <v>43</v>
      </c>
      <c r="C31" s="7">
        <v>1</v>
      </c>
      <c r="D31" s="5">
        <v>85</v>
      </c>
      <c r="E31" s="11">
        <f>VLOOKUP(D31,[1]المرجع!$B$3:$C$12,2)</f>
        <v>4.5</v>
      </c>
      <c r="F31" s="12" t="str">
        <f>VLOOKUP(E31,[1]المرجع!$D$3:$E$12,2)</f>
        <v>ب+</v>
      </c>
      <c r="G31" s="13">
        <f t="shared" si="0"/>
        <v>4.5</v>
      </c>
      <c r="H31" s="7">
        <v>2</v>
      </c>
      <c r="I31" s="5">
        <v>77</v>
      </c>
      <c r="J31" s="11">
        <f>VLOOKUP(I31,[1]المرجع!$B$3:$C$12,2)</f>
        <v>3.5</v>
      </c>
      <c r="K31" s="12" t="str">
        <f>VLOOKUP(J31,[1]المرجع!$D$3:$E$12,2)</f>
        <v>ج+</v>
      </c>
      <c r="L31" s="13">
        <f t="shared" si="1"/>
        <v>7</v>
      </c>
      <c r="M31" s="7">
        <v>2</v>
      </c>
      <c r="N31" s="5">
        <v>74</v>
      </c>
      <c r="O31" s="11">
        <f>VLOOKUP(N31,[1]المرجع!$B$3:$C$12,2)</f>
        <v>3</v>
      </c>
      <c r="P31" s="12" t="str">
        <f>VLOOKUP(O31,[1]المرجع!$D$3:$E$12,2)</f>
        <v>ج</v>
      </c>
      <c r="Q31" s="13">
        <f t="shared" si="2"/>
        <v>6</v>
      </c>
      <c r="R31" s="7">
        <v>2</v>
      </c>
      <c r="S31" s="5">
        <v>80</v>
      </c>
      <c r="T31" s="11">
        <f>VLOOKUP(S31,[1]المرجع!$B$3:$C$12,2)</f>
        <v>4</v>
      </c>
      <c r="U31" s="12" t="str">
        <f>VLOOKUP(T31,[1]المرجع!$D$3:$E$12,2)</f>
        <v>ب</v>
      </c>
      <c r="V31" s="13">
        <f t="shared" si="3"/>
        <v>8</v>
      </c>
      <c r="W31" s="7">
        <v>2</v>
      </c>
      <c r="X31" s="5">
        <v>50</v>
      </c>
      <c r="Y31" s="11">
        <f>VLOOKUP(X31,[1]المرجع!$B$3:$C$12,2)</f>
        <v>2</v>
      </c>
      <c r="Z31" s="12" t="str">
        <f>VLOOKUP(Y31,[1]المرجع!$D$3:$E$12,2)</f>
        <v>د</v>
      </c>
      <c r="AA31" s="13">
        <f t="shared" si="4"/>
        <v>4</v>
      </c>
      <c r="AB31" s="7">
        <v>2</v>
      </c>
      <c r="AC31" s="5">
        <v>62</v>
      </c>
      <c r="AD31" s="11">
        <f>VLOOKUP(AC31,[1]المرجع!$B$3:$C$12,2)</f>
        <v>2</v>
      </c>
      <c r="AE31" s="12" t="str">
        <f>VLOOKUP(AD31,[1]المرجع!$D$3:$E$12,2)</f>
        <v>د</v>
      </c>
      <c r="AF31" s="13">
        <f t="shared" si="5"/>
        <v>4</v>
      </c>
      <c r="AG31" s="7">
        <v>2</v>
      </c>
      <c r="AH31" s="5">
        <v>97</v>
      </c>
      <c r="AI31" s="11">
        <f>VLOOKUP(AH31,[1]المرجع!$B$3:$C$12,2)</f>
        <v>5</v>
      </c>
      <c r="AJ31" s="12" t="str">
        <f>VLOOKUP(AI31,[1]المرجع!$D$3:$E$12,2)</f>
        <v xml:space="preserve">أ+ </v>
      </c>
      <c r="AK31" s="13">
        <f t="shared" si="6"/>
        <v>10</v>
      </c>
      <c r="AL31" s="7">
        <v>2</v>
      </c>
      <c r="AM31" s="5">
        <v>50</v>
      </c>
      <c r="AN31" s="11">
        <f>VLOOKUP(AM31,[1]المرجع!$B$3:$C$12,2)</f>
        <v>2</v>
      </c>
      <c r="AO31" s="12" t="str">
        <f>VLOOKUP(AN31,[1]المرجع!$D$3:$E$12,2)</f>
        <v>د</v>
      </c>
      <c r="AP31" s="13">
        <f t="shared" si="7"/>
        <v>4</v>
      </c>
      <c r="AQ31" s="7">
        <v>2</v>
      </c>
      <c r="AR31" s="5">
        <v>50</v>
      </c>
      <c r="AS31" s="11">
        <f>VLOOKUP(AR31,[1]المرجع!$B$3:$C$12,2)</f>
        <v>2</v>
      </c>
      <c r="AT31" s="12" t="str">
        <f>VLOOKUP(AS31,[1]المرجع!$D$3:$E$12,2)</f>
        <v>د</v>
      </c>
      <c r="AU31" s="13">
        <f t="shared" si="8"/>
        <v>4</v>
      </c>
      <c r="AV31" s="7">
        <v>2</v>
      </c>
      <c r="AW31" s="5">
        <v>63</v>
      </c>
      <c r="AX31" s="11">
        <f>VLOOKUP(AW31,[1]المرجع!$B$3:$C$12,2)</f>
        <v>2</v>
      </c>
      <c r="AY31" s="12" t="str">
        <f>VLOOKUP(AX31,[1]المرجع!$D$3:$E$12,2)</f>
        <v>د</v>
      </c>
      <c r="AZ31" s="13">
        <f t="shared" si="9"/>
        <v>4</v>
      </c>
      <c r="BA31" s="7">
        <v>2</v>
      </c>
      <c r="BB31" s="5">
        <v>92</v>
      </c>
      <c r="BC31" s="11">
        <f>VLOOKUP(BB31,[1]المرجع!$B$3:$C$12,2)</f>
        <v>4.75</v>
      </c>
      <c r="BD31" s="12" t="str">
        <f>VLOOKUP(BC31,[1]المرجع!$D$3:$E$12,2)</f>
        <v>أ</v>
      </c>
      <c r="BE31" s="13">
        <f t="shared" si="10"/>
        <v>9.5</v>
      </c>
      <c r="BF31" s="7">
        <v>2</v>
      </c>
      <c r="BG31" s="5">
        <v>79</v>
      </c>
      <c r="BH31" s="11">
        <f>VLOOKUP(BG31,[1]المرجع!$B$3:$C$12,2)</f>
        <v>3.5</v>
      </c>
      <c r="BI31" s="12" t="str">
        <f>VLOOKUP(BH31,[1]المرجع!$D$3:$E$12,2)</f>
        <v>ج+</v>
      </c>
      <c r="BJ31" s="13">
        <f t="shared" si="11"/>
        <v>7</v>
      </c>
      <c r="BK31" s="15">
        <f t="shared" si="12"/>
        <v>72</v>
      </c>
      <c r="BL31" s="16">
        <f t="shared" si="13"/>
        <v>23</v>
      </c>
      <c r="BM31" s="17">
        <f t="shared" si="15"/>
        <v>3.1304347826086958</v>
      </c>
      <c r="BN31" s="18" t="str">
        <f>VLOOKUP(BM31,المرجع!$C$1:$E$10,3)</f>
        <v xml:space="preserve">جيد مرتفع </v>
      </c>
      <c r="BO31" s="19">
        <f t="shared" si="14"/>
        <v>29</v>
      </c>
    </row>
    <row r="32" spans="1:67" ht="28.5" hidden="1">
      <c r="A32" s="2">
        <v>2025310</v>
      </c>
      <c r="B32" s="23" t="s">
        <v>46</v>
      </c>
      <c r="C32" s="7">
        <v>1</v>
      </c>
      <c r="D32" s="5">
        <v>50</v>
      </c>
      <c r="E32" s="11">
        <f>VLOOKUP(D32,[1]المرجع!$B$3:$C$12,2)</f>
        <v>2</v>
      </c>
      <c r="F32" s="12" t="str">
        <f>VLOOKUP(E32,[1]المرجع!$D$3:$E$12,2)</f>
        <v>د</v>
      </c>
      <c r="G32" s="13">
        <f t="shared" si="0"/>
        <v>2</v>
      </c>
      <c r="H32" s="7">
        <v>2</v>
      </c>
      <c r="I32" s="5">
        <v>70</v>
      </c>
      <c r="J32" s="11">
        <f>VLOOKUP(I32,[1]المرجع!$B$3:$C$12,2)</f>
        <v>3</v>
      </c>
      <c r="K32" s="12" t="str">
        <f>VLOOKUP(J32,[1]المرجع!$D$3:$E$12,2)</f>
        <v>ج</v>
      </c>
      <c r="L32" s="13">
        <f t="shared" si="1"/>
        <v>6</v>
      </c>
      <c r="M32" s="7">
        <v>2</v>
      </c>
      <c r="N32" s="5">
        <v>95</v>
      </c>
      <c r="O32" s="11">
        <f>VLOOKUP(N32,[1]المرجع!$B$3:$C$12,2)</f>
        <v>5</v>
      </c>
      <c r="P32" s="12" t="str">
        <f>VLOOKUP(O32,[1]المرجع!$D$3:$E$12,2)</f>
        <v xml:space="preserve">أ+ </v>
      </c>
      <c r="Q32" s="13">
        <f t="shared" si="2"/>
        <v>10</v>
      </c>
      <c r="R32" s="7">
        <v>2</v>
      </c>
      <c r="S32" s="5">
        <v>76</v>
      </c>
      <c r="T32" s="11">
        <f>VLOOKUP(S32,[1]المرجع!$B$3:$C$12,2)</f>
        <v>3.5</v>
      </c>
      <c r="U32" s="12" t="str">
        <f>VLOOKUP(T32,[1]المرجع!$D$3:$E$12,2)</f>
        <v>ج+</v>
      </c>
      <c r="V32" s="13">
        <f t="shared" si="3"/>
        <v>7</v>
      </c>
      <c r="W32" s="7">
        <v>2</v>
      </c>
      <c r="X32" s="5">
        <v>55</v>
      </c>
      <c r="Y32" s="11">
        <f>VLOOKUP(X32,[1]المرجع!$B$3:$C$12,2)</f>
        <v>2</v>
      </c>
      <c r="Z32" s="12" t="str">
        <f>VLOOKUP(Y32,[1]المرجع!$D$3:$E$12,2)</f>
        <v>د</v>
      </c>
      <c r="AA32" s="13">
        <f t="shared" si="4"/>
        <v>4</v>
      </c>
      <c r="AB32" s="7">
        <v>2</v>
      </c>
      <c r="AC32" s="5">
        <v>60</v>
      </c>
      <c r="AD32" s="11">
        <f>VLOOKUP(AC32,[1]المرجع!$B$3:$C$12,2)</f>
        <v>2</v>
      </c>
      <c r="AE32" s="12" t="str">
        <f>VLOOKUP(AD32,[1]المرجع!$D$3:$E$12,2)</f>
        <v>د</v>
      </c>
      <c r="AF32" s="13">
        <f t="shared" si="5"/>
        <v>4</v>
      </c>
      <c r="AG32" s="7">
        <v>2</v>
      </c>
      <c r="AH32" s="5">
        <v>89</v>
      </c>
      <c r="AI32" s="11">
        <f>VLOOKUP(AH32,[1]المرجع!$B$3:$C$12,2)</f>
        <v>4.5</v>
      </c>
      <c r="AJ32" s="12" t="str">
        <f>VLOOKUP(AI32,[1]المرجع!$D$3:$E$12,2)</f>
        <v>ب+</v>
      </c>
      <c r="AK32" s="13">
        <f t="shared" si="6"/>
        <v>9</v>
      </c>
      <c r="AL32" s="7">
        <v>2</v>
      </c>
      <c r="AM32" s="5">
        <v>69</v>
      </c>
      <c r="AN32" s="11">
        <f>VLOOKUP(AM32,[1]المرجع!$B$3:$C$12,2)</f>
        <v>2.5</v>
      </c>
      <c r="AO32" s="12" t="str">
        <f>VLOOKUP(AN32,[1]المرجع!$D$3:$E$12,2)</f>
        <v>د+</v>
      </c>
      <c r="AP32" s="13">
        <f t="shared" si="7"/>
        <v>5</v>
      </c>
      <c r="AQ32" s="7">
        <v>2</v>
      </c>
      <c r="AR32" s="5">
        <v>66</v>
      </c>
      <c r="AS32" s="11">
        <f>VLOOKUP(AR32,[1]المرجع!$B$3:$C$12,2)</f>
        <v>2.5</v>
      </c>
      <c r="AT32" s="12" t="str">
        <f>VLOOKUP(AS32,[1]المرجع!$D$3:$E$12,2)</f>
        <v>د+</v>
      </c>
      <c r="AU32" s="13">
        <f t="shared" si="8"/>
        <v>5</v>
      </c>
      <c r="AV32" s="7">
        <v>2</v>
      </c>
      <c r="AW32" s="5">
        <v>75</v>
      </c>
      <c r="AX32" s="11">
        <f>VLOOKUP(AW32,[1]المرجع!$B$3:$C$12,2)</f>
        <v>3.5</v>
      </c>
      <c r="AY32" s="12" t="str">
        <f>VLOOKUP(AX32,[1]المرجع!$D$3:$E$12,2)</f>
        <v>ج+</v>
      </c>
      <c r="AZ32" s="13">
        <f t="shared" si="9"/>
        <v>7</v>
      </c>
      <c r="BA32" s="7">
        <v>2</v>
      </c>
      <c r="BB32" s="5">
        <v>89</v>
      </c>
      <c r="BC32" s="11">
        <f>VLOOKUP(BB32,[1]المرجع!$B$3:$C$12,2)</f>
        <v>4.5</v>
      </c>
      <c r="BD32" s="12" t="str">
        <f>VLOOKUP(BC32,[1]المرجع!$D$3:$E$12,2)</f>
        <v>ب+</v>
      </c>
      <c r="BE32" s="13">
        <f t="shared" si="10"/>
        <v>9</v>
      </c>
      <c r="BF32" s="7">
        <v>2</v>
      </c>
      <c r="BG32" s="5">
        <v>62</v>
      </c>
      <c r="BH32" s="11">
        <f>VLOOKUP(BG32,[1]المرجع!$B$3:$C$12,2)</f>
        <v>2</v>
      </c>
      <c r="BI32" s="12" t="str">
        <f>VLOOKUP(BH32,[1]المرجع!$D$3:$E$12,2)</f>
        <v>د</v>
      </c>
      <c r="BJ32" s="13">
        <f t="shared" si="11"/>
        <v>4</v>
      </c>
      <c r="BK32" s="15">
        <f t="shared" si="12"/>
        <v>72</v>
      </c>
      <c r="BL32" s="16">
        <f t="shared" si="13"/>
        <v>23</v>
      </c>
      <c r="BM32" s="17">
        <f t="shared" si="15"/>
        <v>3.1304347826086958</v>
      </c>
      <c r="BN32" s="18" t="str">
        <f>VLOOKUP(BM32,المرجع!$C$1:$E$10,3)</f>
        <v xml:space="preserve">جيد مرتفع </v>
      </c>
      <c r="BO32" s="19">
        <f t="shared" si="14"/>
        <v>29</v>
      </c>
    </row>
    <row r="33" spans="1:67" ht="28.5" hidden="1">
      <c r="A33" s="2">
        <v>2025358</v>
      </c>
      <c r="B33" s="23" t="s">
        <v>41</v>
      </c>
      <c r="C33" s="7">
        <v>1</v>
      </c>
      <c r="D33" s="5">
        <v>94</v>
      </c>
      <c r="E33" s="11">
        <f>VLOOKUP(D33,[1]المرجع!$B$3:$C$12,2)</f>
        <v>4.75</v>
      </c>
      <c r="F33" s="12" t="str">
        <f>VLOOKUP(E33,[1]المرجع!$D$3:$E$12,2)</f>
        <v>أ</v>
      </c>
      <c r="G33" s="13">
        <f t="shared" si="0"/>
        <v>4.75</v>
      </c>
      <c r="H33" s="7">
        <v>2</v>
      </c>
      <c r="I33" s="5">
        <v>89</v>
      </c>
      <c r="J33" s="11">
        <f>VLOOKUP(I33,[1]المرجع!$B$3:$C$12,2)</f>
        <v>4.5</v>
      </c>
      <c r="K33" s="12" t="str">
        <f>VLOOKUP(J33,[1]المرجع!$D$3:$E$12,2)</f>
        <v>ب+</v>
      </c>
      <c r="L33" s="13">
        <f t="shared" si="1"/>
        <v>9</v>
      </c>
      <c r="M33" s="7">
        <v>2</v>
      </c>
      <c r="N33" s="5">
        <v>83</v>
      </c>
      <c r="O33" s="11">
        <f>VLOOKUP(N33,[1]المرجع!$B$3:$C$12,2)</f>
        <v>4</v>
      </c>
      <c r="P33" s="12" t="str">
        <f>VLOOKUP(O33,[1]المرجع!$D$3:$E$12,2)</f>
        <v>ب</v>
      </c>
      <c r="Q33" s="13">
        <f t="shared" si="2"/>
        <v>8</v>
      </c>
      <c r="R33" s="7">
        <v>2</v>
      </c>
      <c r="S33" s="5">
        <v>94</v>
      </c>
      <c r="T33" s="11">
        <f>VLOOKUP(S33,[1]المرجع!$B$3:$C$12,2)</f>
        <v>4.75</v>
      </c>
      <c r="U33" s="12" t="str">
        <f>VLOOKUP(T33,[1]المرجع!$D$3:$E$12,2)</f>
        <v>أ</v>
      </c>
      <c r="V33" s="13">
        <f t="shared" si="3"/>
        <v>9.5</v>
      </c>
      <c r="W33" s="7">
        <v>2</v>
      </c>
      <c r="X33" s="5">
        <v>29</v>
      </c>
      <c r="Y33" s="11">
        <f>VLOOKUP(X33,[1]المرجع!$B$3:$C$12,2)</f>
        <v>0</v>
      </c>
      <c r="Z33" s="12" t="str">
        <f>VLOOKUP(Y33,[1]المرجع!$D$3:$E$12,2)</f>
        <v>ه</v>
      </c>
      <c r="AA33" s="13">
        <f t="shared" si="4"/>
        <v>0</v>
      </c>
      <c r="AB33" s="7">
        <v>2</v>
      </c>
      <c r="AC33" s="5">
        <v>63</v>
      </c>
      <c r="AD33" s="11">
        <f>VLOOKUP(AC33,[1]المرجع!$B$3:$C$12,2)</f>
        <v>2</v>
      </c>
      <c r="AE33" s="12" t="str">
        <f>VLOOKUP(AD33,[1]المرجع!$D$3:$E$12,2)</f>
        <v>د</v>
      </c>
      <c r="AF33" s="13">
        <f t="shared" si="5"/>
        <v>4</v>
      </c>
      <c r="AG33" s="7">
        <v>2</v>
      </c>
      <c r="AH33" s="5">
        <v>99</v>
      </c>
      <c r="AI33" s="11">
        <f>VLOOKUP(AH33,[1]المرجع!$B$3:$C$12,2)</f>
        <v>5</v>
      </c>
      <c r="AJ33" s="12" t="str">
        <f>VLOOKUP(AI33,[1]المرجع!$D$3:$E$12,2)</f>
        <v xml:space="preserve">أ+ </v>
      </c>
      <c r="AK33" s="13">
        <f t="shared" si="6"/>
        <v>10</v>
      </c>
      <c r="AL33" s="7">
        <v>2</v>
      </c>
      <c r="AM33" s="5">
        <v>69</v>
      </c>
      <c r="AN33" s="11">
        <f>VLOOKUP(AM33,[1]المرجع!$B$3:$C$12,2)</f>
        <v>2.5</v>
      </c>
      <c r="AO33" s="12" t="str">
        <f>VLOOKUP(AN33,[1]المرجع!$D$3:$E$12,2)</f>
        <v>د+</v>
      </c>
      <c r="AP33" s="13">
        <f t="shared" si="7"/>
        <v>5</v>
      </c>
      <c r="AQ33" s="7">
        <v>2</v>
      </c>
      <c r="AR33" s="5">
        <v>50</v>
      </c>
      <c r="AS33" s="11">
        <f>VLOOKUP(AR33,[1]المرجع!$B$3:$C$12,2)</f>
        <v>2</v>
      </c>
      <c r="AT33" s="12" t="str">
        <f>VLOOKUP(AS33,[1]المرجع!$D$3:$E$12,2)</f>
        <v>د</v>
      </c>
      <c r="AU33" s="13">
        <f t="shared" si="8"/>
        <v>4</v>
      </c>
      <c r="AV33" s="7">
        <v>2</v>
      </c>
      <c r="AW33" s="5">
        <v>60</v>
      </c>
      <c r="AX33" s="11">
        <f>VLOOKUP(AW33,[1]المرجع!$B$3:$C$12,2)</f>
        <v>2</v>
      </c>
      <c r="AY33" s="12" t="str">
        <f>VLOOKUP(AX33,[1]المرجع!$D$3:$E$12,2)</f>
        <v>د</v>
      </c>
      <c r="AZ33" s="13">
        <f t="shared" si="9"/>
        <v>4</v>
      </c>
      <c r="BA33" s="7">
        <v>2</v>
      </c>
      <c r="BB33" s="5">
        <v>89</v>
      </c>
      <c r="BC33" s="11">
        <f>VLOOKUP(BB33,[1]المرجع!$B$3:$C$12,2)</f>
        <v>4.5</v>
      </c>
      <c r="BD33" s="12" t="str">
        <f>VLOOKUP(BC33,[1]المرجع!$D$3:$E$12,2)</f>
        <v>ب+</v>
      </c>
      <c r="BE33" s="13">
        <f t="shared" si="10"/>
        <v>9</v>
      </c>
      <c r="BF33" s="7">
        <v>2</v>
      </c>
      <c r="BG33" s="5">
        <v>50</v>
      </c>
      <c r="BH33" s="11">
        <f>VLOOKUP(BG33,[1]المرجع!$B$3:$C$12,2)</f>
        <v>2</v>
      </c>
      <c r="BI33" s="12" t="str">
        <f>VLOOKUP(BH33,[1]المرجع!$D$3:$E$12,2)</f>
        <v>د</v>
      </c>
      <c r="BJ33" s="13">
        <f t="shared" si="11"/>
        <v>4</v>
      </c>
      <c r="BK33" s="15">
        <f t="shared" si="12"/>
        <v>71.25</v>
      </c>
      <c r="BL33" s="16">
        <f t="shared" si="13"/>
        <v>23</v>
      </c>
      <c r="BM33" s="17">
        <f t="shared" si="15"/>
        <v>3.097826086956522</v>
      </c>
      <c r="BN33" s="18" t="str">
        <f>VLOOKUP(BM33,المرجع!$C$1:$E$10,3)</f>
        <v xml:space="preserve">جيد </v>
      </c>
      <c r="BO33" s="19">
        <f t="shared" si="14"/>
        <v>31</v>
      </c>
    </row>
    <row r="34" spans="1:67" ht="28.5" hidden="1">
      <c r="A34" s="2">
        <v>2025302</v>
      </c>
      <c r="B34" s="23" t="s">
        <v>42</v>
      </c>
      <c r="C34" s="7">
        <v>1</v>
      </c>
      <c r="D34" s="5">
        <v>89</v>
      </c>
      <c r="E34" s="11">
        <f>VLOOKUP(D34,[1]المرجع!$B$3:$C$12,2)</f>
        <v>4.5</v>
      </c>
      <c r="F34" s="12" t="str">
        <f>VLOOKUP(E34,[1]المرجع!$D$3:$E$12,2)</f>
        <v>ب+</v>
      </c>
      <c r="G34" s="13">
        <f t="shared" si="0"/>
        <v>4.5</v>
      </c>
      <c r="H34" s="7">
        <v>2</v>
      </c>
      <c r="I34" s="5">
        <v>76</v>
      </c>
      <c r="J34" s="11">
        <f>VLOOKUP(I34,[1]المرجع!$B$3:$C$12,2)</f>
        <v>3.5</v>
      </c>
      <c r="K34" s="12" t="str">
        <f>VLOOKUP(J34,[1]المرجع!$D$3:$E$12,2)</f>
        <v>ج+</v>
      </c>
      <c r="L34" s="13">
        <f t="shared" si="1"/>
        <v>7</v>
      </c>
      <c r="M34" s="7">
        <v>2</v>
      </c>
      <c r="N34" s="5">
        <v>80</v>
      </c>
      <c r="O34" s="11">
        <f>VLOOKUP(N34,[1]المرجع!$B$3:$C$12,2)</f>
        <v>4</v>
      </c>
      <c r="P34" s="12" t="str">
        <f>VLOOKUP(O34,[1]المرجع!$D$3:$E$12,2)</f>
        <v>ب</v>
      </c>
      <c r="Q34" s="13">
        <f t="shared" si="2"/>
        <v>8</v>
      </c>
      <c r="R34" s="7">
        <v>2</v>
      </c>
      <c r="S34" s="5">
        <v>71</v>
      </c>
      <c r="T34" s="11">
        <f>VLOOKUP(S34,[1]المرجع!$B$3:$C$12,2)</f>
        <v>3</v>
      </c>
      <c r="U34" s="12" t="str">
        <f>VLOOKUP(T34,[1]المرجع!$D$3:$E$12,2)</f>
        <v>ج</v>
      </c>
      <c r="V34" s="13">
        <f t="shared" si="3"/>
        <v>6</v>
      </c>
      <c r="W34" s="7">
        <v>2</v>
      </c>
      <c r="X34" s="5">
        <v>71</v>
      </c>
      <c r="Y34" s="11">
        <f>VLOOKUP(X34,[1]المرجع!$B$3:$C$12,2)</f>
        <v>3</v>
      </c>
      <c r="Z34" s="12" t="str">
        <f>VLOOKUP(Y34,[1]المرجع!$D$3:$E$12,2)</f>
        <v>ج</v>
      </c>
      <c r="AA34" s="13">
        <f t="shared" si="4"/>
        <v>6</v>
      </c>
      <c r="AB34" s="7">
        <v>2</v>
      </c>
      <c r="AC34" s="5">
        <v>53</v>
      </c>
      <c r="AD34" s="11">
        <f>VLOOKUP(AC34,[1]المرجع!$B$3:$C$12,2)</f>
        <v>2</v>
      </c>
      <c r="AE34" s="12" t="str">
        <f>VLOOKUP(AD34,[1]المرجع!$D$3:$E$12,2)</f>
        <v>د</v>
      </c>
      <c r="AF34" s="13">
        <f t="shared" si="5"/>
        <v>4</v>
      </c>
      <c r="AG34" s="7">
        <v>2</v>
      </c>
      <c r="AH34" s="5">
        <v>95</v>
      </c>
      <c r="AI34" s="11">
        <f>VLOOKUP(AH34,[1]المرجع!$B$3:$C$12,2)</f>
        <v>5</v>
      </c>
      <c r="AJ34" s="12" t="str">
        <f>VLOOKUP(AI34,[1]المرجع!$D$3:$E$12,2)</f>
        <v xml:space="preserve">أ+ </v>
      </c>
      <c r="AK34" s="13">
        <f t="shared" si="6"/>
        <v>10</v>
      </c>
      <c r="AL34" s="7">
        <v>2</v>
      </c>
      <c r="AM34" s="5">
        <v>67</v>
      </c>
      <c r="AN34" s="11">
        <f>VLOOKUP(AM34,[1]المرجع!$B$3:$C$12,2)</f>
        <v>2.5</v>
      </c>
      <c r="AO34" s="12" t="str">
        <f>VLOOKUP(AN34,[1]المرجع!$D$3:$E$12,2)</f>
        <v>د+</v>
      </c>
      <c r="AP34" s="13">
        <f t="shared" si="7"/>
        <v>5</v>
      </c>
      <c r="AQ34" s="7">
        <v>2</v>
      </c>
      <c r="AR34" s="5">
        <v>63</v>
      </c>
      <c r="AS34" s="11">
        <f>VLOOKUP(AR34,[1]المرجع!$B$3:$C$12,2)</f>
        <v>2</v>
      </c>
      <c r="AT34" s="12" t="str">
        <f>VLOOKUP(AS34,[1]المرجع!$D$3:$E$12,2)</f>
        <v>د</v>
      </c>
      <c r="AU34" s="13">
        <f t="shared" si="8"/>
        <v>4</v>
      </c>
      <c r="AV34" s="7">
        <v>2</v>
      </c>
      <c r="AW34" s="5">
        <v>76</v>
      </c>
      <c r="AX34" s="11">
        <f>VLOOKUP(AW34,[1]المرجع!$B$3:$C$12,2)</f>
        <v>3.5</v>
      </c>
      <c r="AY34" s="12" t="str">
        <f>VLOOKUP(AX34,[1]المرجع!$D$3:$E$12,2)</f>
        <v>ج+</v>
      </c>
      <c r="AZ34" s="13">
        <f t="shared" si="9"/>
        <v>7</v>
      </c>
      <c r="BA34" s="7">
        <v>2</v>
      </c>
      <c r="BB34" s="5">
        <v>69</v>
      </c>
      <c r="BC34" s="11">
        <f>VLOOKUP(BB34,[1]المرجع!$B$3:$C$12,2)</f>
        <v>2.5</v>
      </c>
      <c r="BD34" s="12" t="str">
        <f>VLOOKUP(BC34,[1]المرجع!$D$3:$E$12,2)</f>
        <v>د+</v>
      </c>
      <c r="BE34" s="13">
        <f t="shared" si="10"/>
        <v>5</v>
      </c>
      <c r="BF34" s="7">
        <v>2</v>
      </c>
      <c r="BG34" s="5">
        <v>54</v>
      </c>
      <c r="BH34" s="11">
        <f>VLOOKUP(BG34,[1]المرجع!$B$3:$C$12,2)</f>
        <v>2</v>
      </c>
      <c r="BI34" s="12" t="str">
        <f>VLOOKUP(BH34,[1]المرجع!$D$3:$E$12,2)</f>
        <v>د</v>
      </c>
      <c r="BJ34" s="13">
        <f t="shared" si="11"/>
        <v>4</v>
      </c>
      <c r="BK34" s="15">
        <f t="shared" si="12"/>
        <v>70.5</v>
      </c>
      <c r="BL34" s="16">
        <f t="shared" si="13"/>
        <v>23</v>
      </c>
      <c r="BM34" s="17">
        <f t="shared" si="15"/>
        <v>3.0652173913043477</v>
      </c>
      <c r="BN34" s="18" t="str">
        <f>VLOOKUP(BM34,المرجع!$C$1:$E$10,3)</f>
        <v xml:space="preserve">جيد </v>
      </c>
      <c r="BO34" s="19">
        <f t="shared" si="14"/>
        <v>32</v>
      </c>
    </row>
    <row r="35" spans="1:67" ht="28.5" hidden="1">
      <c r="A35" s="2">
        <v>2025345</v>
      </c>
      <c r="B35" s="23" t="s">
        <v>47</v>
      </c>
      <c r="C35" s="7">
        <v>1</v>
      </c>
      <c r="D35" s="5">
        <v>50</v>
      </c>
      <c r="E35" s="11">
        <f>VLOOKUP(D35,[1]المرجع!$B$3:$C$12,2)</f>
        <v>2</v>
      </c>
      <c r="F35" s="12" t="str">
        <f>VLOOKUP(E35,[1]المرجع!$D$3:$E$12,2)</f>
        <v>د</v>
      </c>
      <c r="G35" s="13">
        <f t="shared" si="0"/>
        <v>2</v>
      </c>
      <c r="H35" s="7">
        <v>2</v>
      </c>
      <c r="I35" s="5">
        <v>88</v>
      </c>
      <c r="J35" s="11">
        <f>VLOOKUP(I35,[1]المرجع!$B$3:$C$12,2)</f>
        <v>4.5</v>
      </c>
      <c r="K35" s="12" t="str">
        <f>VLOOKUP(J35,[1]المرجع!$D$3:$E$12,2)</f>
        <v>ب+</v>
      </c>
      <c r="L35" s="13">
        <f t="shared" si="1"/>
        <v>9</v>
      </c>
      <c r="M35" s="7">
        <v>2</v>
      </c>
      <c r="N35" s="5">
        <v>88</v>
      </c>
      <c r="O35" s="11">
        <f>VLOOKUP(N35,[1]المرجع!$B$3:$C$12,2)</f>
        <v>4.5</v>
      </c>
      <c r="P35" s="12" t="str">
        <f>VLOOKUP(O35,[1]المرجع!$D$3:$E$12,2)</f>
        <v>ب+</v>
      </c>
      <c r="Q35" s="13">
        <f t="shared" si="2"/>
        <v>9</v>
      </c>
      <c r="R35" s="7">
        <v>2</v>
      </c>
      <c r="S35" s="5">
        <v>55</v>
      </c>
      <c r="T35" s="11">
        <f>VLOOKUP(S35,[1]المرجع!$B$3:$C$12,2)</f>
        <v>2</v>
      </c>
      <c r="U35" s="12" t="str">
        <f>VLOOKUP(T35,[1]المرجع!$D$3:$E$12,2)</f>
        <v>د</v>
      </c>
      <c r="V35" s="13">
        <f t="shared" si="3"/>
        <v>4</v>
      </c>
      <c r="W35" s="7">
        <v>2</v>
      </c>
      <c r="X35" s="5">
        <v>50</v>
      </c>
      <c r="Y35" s="11">
        <f>VLOOKUP(X35,[1]المرجع!$B$3:$C$12,2)</f>
        <v>2</v>
      </c>
      <c r="Z35" s="12" t="str">
        <f>VLOOKUP(Y35,[1]المرجع!$D$3:$E$12,2)</f>
        <v>د</v>
      </c>
      <c r="AA35" s="13">
        <f t="shared" si="4"/>
        <v>4</v>
      </c>
      <c r="AB35" s="7">
        <v>2</v>
      </c>
      <c r="AC35" s="5">
        <v>50</v>
      </c>
      <c r="AD35" s="11">
        <f>VLOOKUP(AC35,[1]المرجع!$B$3:$C$12,2)</f>
        <v>2</v>
      </c>
      <c r="AE35" s="12" t="str">
        <f>VLOOKUP(AD35,[1]المرجع!$D$3:$E$12,2)</f>
        <v>د</v>
      </c>
      <c r="AF35" s="13">
        <f t="shared" si="5"/>
        <v>4</v>
      </c>
      <c r="AG35" s="7">
        <v>2</v>
      </c>
      <c r="AH35" s="5">
        <v>98</v>
      </c>
      <c r="AI35" s="11">
        <f>VLOOKUP(AH35,[1]المرجع!$B$3:$C$12,2)</f>
        <v>5</v>
      </c>
      <c r="AJ35" s="12" t="str">
        <f>VLOOKUP(AI35,[1]المرجع!$D$3:$E$12,2)</f>
        <v xml:space="preserve">أ+ </v>
      </c>
      <c r="AK35" s="13">
        <f t="shared" si="6"/>
        <v>10</v>
      </c>
      <c r="AL35" s="7">
        <v>2</v>
      </c>
      <c r="AM35" s="5">
        <v>65</v>
      </c>
      <c r="AN35" s="11">
        <f>VLOOKUP(AM35,[1]المرجع!$B$3:$C$12,2)</f>
        <v>2.5</v>
      </c>
      <c r="AO35" s="12" t="str">
        <f>VLOOKUP(AN35,[1]المرجع!$D$3:$E$12,2)</f>
        <v>د+</v>
      </c>
      <c r="AP35" s="13">
        <f t="shared" si="7"/>
        <v>5</v>
      </c>
      <c r="AQ35" s="7">
        <v>2</v>
      </c>
      <c r="AR35" s="5">
        <v>57</v>
      </c>
      <c r="AS35" s="11">
        <f>VLOOKUP(AR35,[1]المرجع!$B$3:$C$12,2)</f>
        <v>2</v>
      </c>
      <c r="AT35" s="12" t="str">
        <f>VLOOKUP(AS35,[1]المرجع!$D$3:$E$12,2)</f>
        <v>د</v>
      </c>
      <c r="AU35" s="13">
        <f t="shared" si="8"/>
        <v>4</v>
      </c>
      <c r="AV35" s="7">
        <v>2</v>
      </c>
      <c r="AW35" s="5">
        <v>65</v>
      </c>
      <c r="AX35" s="11">
        <f>VLOOKUP(AW35,[1]المرجع!$B$3:$C$12,2)</f>
        <v>2.5</v>
      </c>
      <c r="AY35" s="12" t="str">
        <f>VLOOKUP(AX35,[1]المرجع!$D$3:$E$12,2)</f>
        <v>د+</v>
      </c>
      <c r="AZ35" s="13">
        <f t="shared" si="9"/>
        <v>5</v>
      </c>
      <c r="BA35" s="7">
        <v>2</v>
      </c>
      <c r="BB35" s="5">
        <v>92</v>
      </c>
      <c r="BC35" s="11">
        <f>VLOOKUP(BB35,[1]المرجع!$B$3:$C$12,2)</f>
        <v>4.75</v>
      </c>
      <c r="BD35" s="12" t="str">
        <f>VLOOKUP(BC35,[1]المرجع!$D$3:$E$12,2)</f>
        <v>أ</v>
      </c>
      <c r="BE35" s="13">
        <f t="shared" si="10"/>
        <v>9.5</v>
      </c>
      <c r="BF35" s="7">
        <v>2</v>
      </c>
      <c r="BG35" s="5">
        <v>65</v>
      </c>
      <c r="BH35" s="11">
        <f>VLOOKUP(BG35,[1]المرجع!$B$3:$C$12,2)</f>
        <v>2.5</v>
      </c>
      <c r="BI35" s="12" t="str">
        <f>VLOOKUP(BH35,[1]المرجع!$D$3:$E$12,2)</f>
        <v>د+</v>
      </c>
      <c r="BJ35" s="13">
        <f t="shared" si="11"/>
        <v>5</v>
      </c>
      <c r="BK35" s="15">
        <f t="shared" si="12"/>
        <v>70.5</v>
      </c>
      <c r="BL35" s="16">
        <f t="shared" si="13"/>
        <v>23</v>
      </c>
      <c r="BM35" s="17">
        <f t="shared" si="15"/>
        <v>3.0652173913043477</v>
      </c>
      <c r="BN35" s="18" t="str">
        <f>VLOOKUP(BM35,المرجع!$C$1:$E$10,3)</f>
        <v xml:space="preserve">جيد </v>
      </c>
      <c r="BO35" s="19">
        <f t="shared" si="14"/>
        <v>32</v>
      </c>
    </row>
    <row r="36" spans="1:67" ht="28.5" hidden="1">
      <c r="A36" s="2">
        <v>2025306</v>
      </c>
      <c r="B36" s="23" t="s">
        <v>48</v>
      </c>
      <c r="C36" s="7">
        <v>1</v>
      </c>
      <c r="D36" s="5">
        <v>70</v>
      </c>
      <c r="E36" s="11">
        <f>VLOOKUP(D36,[1]المرجع!$B$3:$C$12,2)</f>
        <v>3</v>
      </c>
      <c r="F36" s="12" t="str">
        <f>VLOOKUP(E36,[1]المرجع!$D$3:$E$12,2)</f>
        <v>ج</v>
      </c>
      <c r="G36" s="13">
        <f t="shared" si="0"/>
        <v>3</v>
      </c>
      <c r="H36" s="7">
        <v>2</v>
      </c>
      <c r="I36" s="5">
        <v>71</v>
      </c>
      <c r="J36" s="11">
        <f>VLOOKUP(I36,[1]المرجع!$B$3:$C$12,2)</f>
        <v>3</v>
      </c>
      <c r="K36" s="12" t="str">
        <f>VLOOKUP(J36,[1]المرجع!$D$3:$E$12,2)</f>
        <v>ج</v>
      </c>
      <c r="L36" s="13">
        <f t="shared" si="1"/>
        <v>6</v>
      </c>
      <c r="M36" s="7">
        <v>2</v>
      </c>
      <c r="N36" s="5">
        <v>97</v>
      </c>
      <c r="O36" s="11">
        <f>VLOOKUP(N36,[1]المرجع!$B$3:$C$12,2)</f>
        <v>5</v>
      </c>
      <c r="P36" s="12" t="str">
        <f>VLOOKUP(O36,[1]المرجع!$D$3:$E$12,2)</f>
        <v xml:space="preserve">أ+ </v>
      </c>
      <c r="Q36" s="13">
        <f t="shared" si="2"/>
        <v>10</v>
      </c>
      <c r="R36" s="7">
        <v>2</v>
      </c>
      <c r="S36" s="5">
        <v>55</v>
      </c>
      <c r="T36" s="11">
        <f>VLOOKUP(S36,[1]المرجع!$B$3:$C$12,2)</f>
        <v>2</v>
      </c>
      <c r="U36" s="12" t="str">
        <f>VLOOKUP(T36,[1]المرجع!$D$3:$E$12,2)</f>
        <v>د</v>
      </c>
      <c r="V36" s="13">
        <f t="shared" si="3"/>
        <v>4</v>
      </c>
      <c r="W36" s="7">
        <v>2</v>
      </c>
      <c r="X36" s="5">
        <v>55</v>
      </c>
      <c r="Y36" s="11">
        <f>VLOOKUP(X36,[1]المرجع!$B$3:$C$12,2)</f>
        <v>2</v>
      </c>
      <c r="Z36" s="12" t="str">
        <f>VLOOKUP(Y36,[1]المرجع!$D$3:$E$12,2)</f>
        <v>د</v>
      </c>
      <c r="AA36" s="13">
        <f t="shared" si="4"/>
        <v>4</v>
      </c>
      <c r="AB36" s="7">
        <v>2</v>
      </c>
      <c r="AC36" s="5">
        <v>58</v>
      </c>
      <c r="AD36" s="11">
        <f>VLOOKUP(AC36,[1]المرجع!$B$3:$C$12,2)</f>
        <v>2</v>
      </c>
      <c r="AE36" s="12" t="str">
        <f>VLOOKUP(AD36,[1]المرجع!$D$3:$E$12,2)</f>
        <v>د</v>
      </c>
      <c r="AF36" s="13">
        <f t="shared" si="5"/>
        <v>4</v>
      </c>
      <c r="AG36" s="7">
        <v>2</v>
      </c>
      <c r="AH36" s="5">
        <v>99</v>
      </c>
      <c r="AI36" s="11">
        <f>VLOOKUP(AH36,[1]المرجع!$B$3:$C$12,2)</f>
        <v>5</v>
      </c>
      <c r="AJ36" s="12" t="str">
        <f>VLOOKUP(AI36,[1]المرجع!$D$3:$E$12,2)</f>
        <v xml:space="preserve">أ+ </v>
      </c>
      <c r="AK36" s="13">
        <f t="shared" si="6"/>
        <v>10</v>
      </c>
      <c r="AL36" s="7">
        <v>2</v>
      </c>
      <c r="AM36" s="5">
        <v>64</v>
      </c>
      <c r="AN36" s="11">
        <f>VLOOKUP(AM36,[1]المرجع!$B$3:$C$12,2)</f>
        <v>2</v>
      </c>
      <c r="AO36" s="12" t="str">
        <f>VLOOKUP(AN36,[1]المرجع!$D$3:$E$12,2)</f>
        <v>د</v>
      </c>
      <c r="AP36" s="13">
        <f t="shared" si="7"/>
        <v>4</v>
      </c>
      <c r="AQ36" s="7">
        <v>2</v>
      </c>
      <c r="AR36" s="5">
        <v>55</v>
      </c>
      <c r="AS36" s="11">
        <f>VLOOKUP(AR36,[1]المرجع!$B$3:$C$12,2)</f>
        <v>2</v>
      </c>
      <c r="AT36" s="12" t="str">
        <f>VLOOKUP(AS36,[1]المرجع!$D$3:$E$12,2)</f>
        <v>د</v>
      </c>
      <c r="AU36" s="13">
        <f t="shared" si="8"/>
        <v>4</v>
      </c>
      <c r="AV36" s="7">
        <v>2</v>
      </c>
      <c r="AW36" s="5">
        <v>65</v>
      </c>
      <c r="AX36" s="11">
        <f>VLOOKUP(AW36,[1]المرجع!$B$3:$C$12,2)</f>
        <v>2.5</v>
      </c>
      <c r="AY36" s="12" t="str">
        <f>VLOOKUP(AX36,[1]المرجع!$D$3:$E$12,2)</f>
        <v>د+</v>
      </c>
      <c r="AZ36" s="13">
        <f t="shared" si="9"/>
        <v>5</v>
      </c>
      <c r="BA36" s="7">
        <v>2</v>
      </c>
      <c r="BB36" s="5">
        <v>79</v>
      </c>
      <c r="BC36" s="11">
        <f>VLOOKUP(BB36,[1]المرجع!$B$3:$C$12,2)</f>
        <v>3.5</v>
      </c>
      <c r="BD36" s="12" t="str">
        <f>VLOOKUP(BC36,[1]المرجع!$D$3:$E$12,2)</f>
        <v>ج+</v>
      </c>
      <c r="BE36" s="13">
        <f t="shared" si="10"/>
        <v>7</v>
      </c>
      <c r="BF36" s="7">
        <v>2</v>
      </c>
      <c r="BG36" s="5">
        <v>80</v>
      </c>
      <c r="BH36" s="11">
        <f>VLOOKUP(BG36,[1]المرجع!$B$3:$C$12,2)</f>
        <v>4</v>
      </c>
      <c r="BI36" s="12" t="str">
        <f>VLOOKUP(BH36,[1]المرجع!$D$3:$E$12,2)</f>
        <v>ب</v>
      </c>
      <c r="BJ36" s="13">
        <f t="shared" si="11"/>
        <v>8</v>
      </c>
      <c r="BK36" s="15">
        <f t="shared" si="12"/>
        <v>69</v>
      </c>
      <c r="BL36" s="16">
        <f t="shared" si="13"/>
        <v>23</v>
      </c>
      <c r="BM36" s="17">
        <f t="shared" si="15"/>
        <v>3</v>
      </c>
      <c r="BN36" s="18" t="str">
        <f>VLOOKUP(BM36,المرجع!$C$1:$E$10,3)</f>
        <v xml:space="preserve">جيد </v>
      </c>
      <c r="BO36" s="19">
        <f t="shared" si="14"/>
        <v>34</v>
      </c>
    </row>
    <row r="37" spans="1:67" ht="28.5" hidden="1">
      <c r="A37" s="2">
        <v>2025371</v>
      </c>
      <c r="B37" s="23" t="s">
        <v>49</v>
      </c>
      <c r="C37" s="7">
        <v>1</v>
      </c>
      <c r="D37" s="5">
        <v>82</v>
      </c>
      <c r="E37" s="11">
        <f>VLOOKUP(D37,[1]المرجع!$B$3:$C$12,2)</f>
        <v>4</v>
      </c>
      <c r="F37" s="12" t="str">
        <f>VLOOKUP(E37,[1]المرجع!$D$3:$E$12,2)</f>
        <v>ب</v>
      </c>
      <c r="G37" s="13">
        <f t="shared" si="0"/>
        <v>4</v>
      </c>
      <c r="H37" s="7">
        <v>2</v>
      </c>
      <c r="I37" s="5">
        <v>74</v>
      </c>
      <c r="J37" s="11">
        <f>VLOOKUP(I37,[1]المرجع!$B$3:$C$12,2)</f>
        <v>3</v>
      </c>
      <c r="K37" s="12" t="str">
        <f>VLOOKUP(J37,[1]المرجع!$D$3:$E$12,2)</f>
        <v>ج</v>
      </c>
      <c r="L37" s="13">
        <f t="shared" si="1"/>
        <v>6</v>
      </c>
      <c r="M37" s="7">
        <v>2</v>
      </c>
      <c r="N37" s="5">
        <v>99</v>
      </c>
      <c r="O37" s="11">
        <f>VLOOKUP(N37,[1]المرجع!$B$3:$C$12,2)</f>
        <v>5</v>
      </c>
      <c r="P37" s="12" t="str">
        <f>VLOOKUP(O37,[1]المرجع!$D$3:$E$12,2)</f>
        <v xml:space="preserve">أ+ </v>
      </c>
      <c r="Q37" s="13">
        <f t="shared" si="2"/>
        <v>10</v>
      </c>
      <c r="R37" s="7">
        <v>2</v>
      </c>
      <c r="S37" s="5">
        <v>70</v>
      </c>
      <c r="T37" s="11">
        <f>VLOOKUP(S37,[1]المرجع!$B$3:$C$12,2)</f>
        <v>3</v>
      </c>
      <c r="U37" s="12" t="str">
        <f>VLOOKUP(T37,[1]المرجع!$D$3:$E$12,2)</f>
        <v>ج</v>
      </c>
      <c r="V37" s="13">
        <f t="shared" si="3"/>
        <v>6</v>
      </c>
      <c r="W37" s="7">
        <v>2</v>
      </c>
      <c r="X37" s="5">
        <v>80</v>
      </c>
      <c r="Y37" s="11">
        <f>VLOOKUP(X37,[1]المرجع!$B$3:$C$12,2)</f>
        <v>4</v>
      </c>
      <c r="Z37" s="12" t="str">
        <f>VLOOKUP(Y37,[1]المرجع!$D$3:$E$12,2)</f>
        <v>ب</v>
      </c>
      <c r="AA37" s="13">
        <f t="shared" si="4"/>
        <v>8</v>
      </c>
      <c r="AB37" s="7">
        <v>2</v>
      </c>
      <c r="AC37" s="5">
        <v>79</v>
      </c>
      <c r="AD37" s="11">
        <f>VLOOKUP(AC37,[1]المرجع!$B$3:$C$12,2)</f>
        <v>3.5</v>
      </c>
      <c r="AE37" s="12" t="str">
        <f>VLOOKUP(AD37,[1]المرجع!$D$3:$E$12,2)</f>
        <v>ج+</v>
      </c>
      <c r="AF37" s="13">
        <f t="shared" si="5"/>
        <v>7</v>
      </c>
      <c r="AG37" s="7">
        <v>2</v>
      </c>
      <c r="AH37" s="5">
        <v>97</v>
      </c>
      <c r="AI37" s="11">
        <f>VLOOKUP(AH37,[1]المرجع!$B$3:$C$12,2)</f>
        <v>5</v>
      </c>
      <c r="AJ37" s="12" t="str">
        <f>VLOOKUP(AI37,[1]المرجع!$D$3:$E$12,2)</f>
        <v xml:space="preserve">أ+ </v>
      </c>
      <c r="AK37" s="13">
        <f t="shared" si="6"/>
        <v>10</v>
      </c>
      <c r="AL37" s="7">
        <v>2</v>
      </c>
      <c r="AM37" s="5">
        <v>50</v>
      </c>
      <c r="AN37" s="11">
        <f>VLOOKUP(AM37,[1]المرجع!$B$3:$C$12,2)</f>
        <v>2</v>
      </c>
      <c r="AO37" s="12" t="str">
        <f>VLOOKUP(AN37,[1]المرجع!$D$3:$E$12,2)</f>
        <v>د</v>
      </c>
      <c r="AP37" s="13">
        <f t="shared" si="7"/>
        <v>4</v>
      </c>
      <c r="AQ37" s="7">
        <v>2</v>
      </c>
      <c r="AR37" s="5">
        <v>52</v>
      </c>
      <c r="AS37" s="11">
        <f>VLOOKUP(AR37,[1]المرجع!$B$3:$C$12,2)</f>
        <v>2</v>
      </c>
      <c r="AT37" s="12" t="str">
        <f>VLOOKUP(AS37,[1]المرجع!$D$3:$E$12,2)</f>
        <v>د</v>
      </c>
      <c r="AU37" s="13">
        <f t="shared" si="8"/>
        <v>4</v>
      </c>
      <c r="AV37" s="7">
        <v>2</v>
      </c>
      <c r="AW37" s="5">
        <v>25</v>
      </c>
      <c r="AX37" s="11">
        <f>VLOOKUP(AW37,[1]المرجع!$B$3:$C$12,2)</f>
        <v>0</v>
      </c>
      <c r="AY37" s="12" t="str">
        <f>VLOOKUP(AX37,[1]المرجع!$D$3:$E$12,2)</f>
        <v>ه</v>
      </c>
      <c r="AZ37" s="13">
        <f t="shared" si="9"/>
        <v>0</v>
      </c>
      <c r="BA37" s="7">
        <v>2</v>
      </c>
      <c r="BB37" s="5">
        <v>95</v>
      </c>
      <c r="BC37" s="11">
        <f>VLOOKUP(BB37,[1]المرجع!$B$3:$C$12,2)</f>
        <v>5</v>
      </c>
      <c r="BD37" s="12" t="str">
        <f>VLOOKUP(BC37,[1]المرجع!$D$3:$E$12,2)</f>
        <v xml:space="preserve">أ+ </v>
      </c>
      <c r="BE37" s="13">
        <f t="shared" si="10"/>
        <v>10</v>
      </c>
      <c r="BF37" s="7">
        <v>2</v>
      </c>
      <c r="BG37" s="5">
        <v>20</v>
      </c>
      <c r="BH37" s="11">
        <f>VLOOKUP(BG37,[1]المرجع!$B$3:$C$12,2)</f>
        <v>0</v>
      </c>
      <c r="BI37" s="12" t="str">
        <f>VLOOKUP(BH37,[1]المرجع!$D$3:$E$12,2)</f>
        <v>ه</v>
      </c>
      <c r="BJ37" s="13">
        <f t="shared" si="11"/>
        <v>0</v>
      </c>
      <c r="BK37" s="15">
        <f t="shared" si="12"/>
        <v>69</v>
      </c>
      <c r="BL37" s="16">
        <f t="shared" si="13"/>
        <v>23</v>
      </c>
      <c r="BM37" s="17">
        <f t="shared" si="15"/>
        <v>3</v>
      </c>
      <c r="BN37" s="18" t="str">
        <f>VLOOKUP(BM37,المرجع!$C$1:$E$10,3)</f>
        <v xml:space="preserve">جيد </v>
      </c>
      <c r="BO37" s="19">
        <f t="shared" si="14"/>
        <v>34</v>
      </c>
    </row>
    <row r="38" spans="1:67" ht="28.5" hidden="1">
      <c r="A38" s="2">
        <v>2025356</v>
      </c>
      <c r="B38" s="23" t="s">
        <v>45</v>
      </c>
      <c r="C38" s="7">
        <v>1</v>
      </c>
      <c r="D38" s="5">
        <v>91</v>
      </c>
      <c r="E38" s="11">
        <f>VLOOKUP(D38,[1]المرجع!$B$3:$C$12,2)</f>
        <v>4.75</v>
      </c>
      <c r="F38" s="12" t="str">
        <f>VLOOKUP(E38,[1]المرجع!$D$3:$E$12,2)</f>
        <v>أ</v>
      </c>
      <c r="G38" s="13">
        <f t="shared" si="0"/>
        <v>4.75</v>
      </c>
      <c r="H38" s="7">
        <v>2</v>
      </c>
      <c r="I38" s="5">
        <v>90</v>
      </c>
      <c r="J38" s="11">
        <f>VLOOKUP(I38,[1]المرجع!$B$3:$C$12,2)</f>
        <v>4.75</v>
      </c>
      <c r="K38" s="12" t="str">
        <f>VLOOKUP(J38,[1]المرجع!$D$3:$E$12,2)</f>
        <v>أ</v>
      </c>
      <c r="L38" s="13">
        <f t="shared" si="1"/>
        <v>9.5</v>
      </c>
      <c r="M38" s="7">
        <v>2</v>
      </c>
      <c r="N38" s="5">
        <v>78</v>
      </c>
      <c r="O38" s="11">
        <f>VLOOKUP(N38,[1]المرجع!$B$3:$C$12,2)</f>
        <v>3.5</v>
      </c>
      <c r="P38" s="12" t="str">
        <f>VLOOKUP(O38,[1]المرجع!$D$3:$E$12,2)</f>
        <v>ج+</v>
      </c>
      <c r="Q38" s="13">
        <f t="shared" si="2"/>
        <v>7</v>
      </c>
      <c r="R38" s="7">
        <v>2</v>
      </c>
      <c r="S38" s="5">
        <v>64</v>
      </c>
      <c r="T38" s="11">
        <f>VLOOKUP(S38,[1]المرجع!$B$3:$C$12,2)</f>
        <v>2</v>
      </c>
      <c r="U38" s="12" t="str">
        <f>VLOOKUP(T38,[1]المرجع!$D$3:$E$12,2)</f>
        <v>د</v>
      </c>
      <c r="V38" s="13">
        <f t="shared" si="3"/>
        <v>4</v>
      </c>
      <c r="W38" s="7">
        <v>2</v>
      </c>
      <c r="X38" s="5">
        <v>75</v>
      </c>
      <c r="Y38" s="11">
        <f>VLOOKUP(X38,[1]المرجع!$B$3:$C$12,2)</f>
        <v>3.5</v>
      </c>
      <c r="Z38" s="12" t="str">
        <f>VLOOKUP(Y38,[1]المرجع!$D$3:$E$12,2)</f>
        <v>ج+</v>
      </c>
      <c r="AA38" s="13">
        <f t="shared" si="4"/>
        <v>7</v>
      </c>
      <c r="AB38" s="7">
        <v>2</v>
      </c>
      <c r="AC38" s="5">
        <v>59</v>
      </c>
      <c r="AD38" s="11">
        <f>VLOOKUP(AC38,[1]المرجع!$B$3:$C$12,2)</f>
        <v>2</v>
      </c>
      <c r="AE38" s="12" t="str">
        <f>VLOOKUP(AD38,[1]المرجع!$D$3:$E$12,2)</f>
        <v>د</v>
      </c>
      <c r="AF38" s="13">
        <f t="shared" si="5"/>
        <v>4</v>
      </c>
      <c r="AG38" s="7">
        <v>2</v>
      </c>
      <c r="AH38" s="5">
        <v>95</v>
      </c>
      <c r="AI38" s="11">
        <f>VLOOKUP(AH38,[1]المرجع!$B$3:$C$12,2)</f>
        <v>5</v>
      </c>
      <c r="AJ38" s="12" t="str">
        <f>VLOOKUP(AI38,[1]المرجع!$D$3:$E$12,2)</f>
        <v xml:space="preserve">أ+ </v>
      </c>
      <c r="AK38" s="13">
        <f t="shared" si="6"/>
        <v>10</v>
      </c>
      <c r="AL38" s="7">
        <v>2</v>
      </c>
      <c r="AM38" s="5">
        <v>55</v>
      </c>
      <c r="AN38" s="11">
        <f>VLOOKUP(AM38,[1]المرجع!$B$3:$C$12,2)</f>
        <v>2</v>
      </c>
      <c r="AO38" s="12" t="str">
        <f>VLOOKUP(AN38,[1]المرجع!$D$3:$E$12,2)</f>
        <v>د</v>
      </c>
      <c r="AP38" s="13">
        <f t="shared" si="7"/>
        <v>4</v>
      </c>
      <c r="AQ38" s="7">
        <v>2</v>
      </c>
      <c r="AR38" s="5">
        <v>59</v>
      </c>
      <c r="AS38" s="11">
        <f>VLOOKUP(AR38,[1]المرجع!$B$3:$C$12,2)</f>
        <v>2</v>
      </c>
      <c r="AT38" s="12" t="str">
        <f>VLOOKUP(AS38,[1]المرجع!$D$3:$E$12,2)</f>
        <v>د</v>
      </c>
      <c r="AU38" s="13">
        <f t="shared" si="8"/>
        <v>4</v>
      </c>
      <c r="AV38" s="7">
        <v>2</v>
      </c>
      <c r="AW38" s="5">
        <v>55</v>
      </c>
      <c r="AX38" s="11">
        <f>VLOOKUP(AW38,[1]المرجع!$B$3:$C$12,2)</f>
        <v>2</v>
      </c>
      <c r="AY38" s="12" t="str">
        <f>VLOOKUP(AX38,[1]المرجع!$D$3:$E$12,2)</f>
        <v>د</v>
      </c>
      <c r="AZ38" s="13">
        <f t="shared" si="9"/>
        <v>4</v>
      </c>
      <c r="BA38" s="7">
        <v>2</v>
      </c>
      <c r="BB38" s="5">
        <v>70</v>
      </c>
      <c r="BC38" s="11">
        <f>VLOOKUP(BB38,[1]المرجع!$B$3:$C$12,2)</f>
        <v>3</v>
      </c>
      <c r="BD38" s="12" t="str">
        <f>VLOOKUP(BC38,[1]المرجع!$D$3:$E$12,2)</f>
        <v>ج</v>
      </c>
      <c r="BE38" s="13">
        <f t="shared" si="10"/>
        <v>6</v>
      </c>
      <c r="BF38" s="7">
        <v>2</v>
      </c>
      <c r="BG38" s="5">
        <v>35</v>
      </c>
      <c r="BH38" s="11">
        <f>VLOOKUP(BG38,[1]المرجع!$B$3:$C$12,2)</f>
        <v>0</v>
      </c>
      <c r="BI38" s="12" t="str">
        <f>VLOOKUP(BH38,[1]المرجع!$D$3:$E$12,2)</f>
        <v>ه</v>
      </c>
      <c r="BJ38" s="13">
        <f t="shared" si="11"/>
        <v>0</v>
      </c>
      <c r="BK38" s="15">
        <f t="shared" si="12"/>
        <v>64.25</v>
      </c>
      <c r="BL38" s="16">
        <f t="shared" si="13"/>
        <v>23</v>
      </c>
      <c r="BM38" s="17">
        <f t="shared" si="15"/>
        <v>2.7934782608695654</v>
      </c>
      <c r="BN38" s="18" t="str">
        <f>VLOOKUP(BM38,المرجع!$C$1:$E$10,3)</f>
        <v xml:space="preserve">جيد </v>
      </c>
      <c r="BO38" s="19">
        <f t="shared" si="14"/>
        <v>36</v>
      </c>
    </row>
    <row r="39" spans="1:67" ht="28.5" hidden="1">
      <c r="A39" s="2">
        <v>2025385</v>
      </c>
      <c r="B39" s="23" t="s">
        <v>50</v>
      </c>
      <c r="C39" s="7">
        <v>1</v>
      </c>
      <c r="D39" s="5">
        <v>88</v>
      </c>
      <c r="E39" s="11">
        <f>VLOOKUP(D39,[1]المرجع!$B$3:$C$12,2)</f>
        <v>4.5</v>
      </c>
      <c r="F39" s="12" t="str">
        <f>VLOOKUP(E39,[1]المرجع!$D$3:$E$12,2)</f>
        <v>ب+</v>
      </c>
      <c r="G39" s="13">
        <f t="shared" si="0"/>
        <v>4.5</v>
      </c>
      <c r="H39" s="7">
        <v>2</v>
      </c>
      <c r="I39" s="5">
        <v>94</v>
      </c>
      <c r="J39" s="11">
        <f>VLOOKUP(I39,[1]المرجع!$B$3:$C$12,2)</f>
        <v>4.75</v>
      </c>
      <c r="K39" s="12" t="str">
        <f>VLOOKUP(J39,[1]المرجع!$D$3:$E$12,2)</f>
        <v>أ</v>
      </c>
      <c r="L39" s="13">
        <f t="shared" si="1"/>
        <v>9.5</v>
      </c>
      <c r="M39" s="7">
        <v>2</v>
      </c>
      <c r="N39" s="5">
        <v>61</v>
      </c>
      <c r="O39" s="11">
        <f>VLOOKUP(N39,[1]المرجع!$B$3:$C$12,2)</f>
        <v>2</v>
      </c>
      <c r="P39" s="12" t="str">
        <f>VLOOKUP(O39,[1]المرجع!$D$3:$E$12,2)</f>
        <v>د</v>
      </c>
      <c r="Q39" s="13">
        <f t="shared" si="2"/>
        <v>4</v>
      </c>
      <c r="R39" s="7">
        <v>2</v>
      </c>
      <c r="S39" s="5">
        <v>54</v>
      </c>
      <c r="T39" s="11">
        <f>VLOOKUP(S39,[1]المرجع!$B$3:$C$12,2)</f>
        <v>2</v>
      </c>
      <c r="U39" s="12" t="str">
        <f>VLOOKUP(T39,[1]المرجع!$D$3:$E$12,2)</f>
        <v>د</v>
      </c>
      <c r="V39" s="13">
        <f t="shared" si="3"/>
        <v>4</v>
      </c>
      <c r="W39" s="7">
        <v>2</v>
      </c>
      <c r="X39" s="5">
        <v>79</v>
      </c>
      <c r="Y39" s="11">
        <f>VLOOKUP(X39,[1]المرجع!$B$3:$C$12,2)</f>
        <v>3.5</v>
      </c>
      <c r="Z39" s="12" t="str">
        <f>VLOOKUP(Y39,[1]المرجع!$D$3:$E$12,2)</f>
        <v>ج+</v>
      </c>
      <c r="AA39" s="13">
        <f t="shared" si="4"/>
        <v>7</v>
      </c>
      <c r="AB39" s="7">
        <v>2</v>
      </c>
      <c r="AC39" s="5">
        <v>30</v>
      </c>
      <c r="AD39" s="11">
        <f>VLOOKUP(AC39,[1]المرجع!$B$3:$C$12,2)</f>
        <v>0</v>
      </c>
      <c r="AE39" s="12" t="str">
        <f>VLOOKUP(AD39,[1]المرجع!$D$3:$E$12,2)</f>
        <v>ه</v>
      </c>
      <c r="AF39" s="13">
        <f t="shared" si="5"/>
        <v>0</v>
      </c>
      <c r="AG39" s="7">
        <v>2</v>
      </c>
      <c r="AH39" s="5">
        <v>80</v>
      </c>
      <c r="AI39" s="11">
        <f>VLOOKUP(AH39,[1]المرجع!$B$3:$C$12,2)</f>
        <v>4</v>
      </c>
      <c r="AJ39" s="12" t="str">
        <f>VLOOKUP(AI39,[1]المرجع!$D$3:$E$12,2)</f>
        <v>ب</v>
      </c>
      <c r="AK39" s="13">
        <f t="shared" si="6"/>
        <v>8</v>
      </c>
      <c r="AL39" s="7">
        <v>2</v>
      </c>
      <c r="AM39" s="5">
        <v>50</v>
      </c>
      <c r="AN39" s="11">
        <f>VLOOKUP(AM39,[1]المرجع!$B$3:$C$12,2)</f>
        <v>2</v>
      </c>
      <c r="AO39" s="12" t="str">
        <f>VLOOKUP(AN39,[1]المرجع!$D$3:$E$12,2)</f>
        <v>د</v>
      </c>
      <c r="AP39" s="13">
        <f t="shared" si="7"/>
        <v>4</v>
      </c>
      <c r="AQ39" s="7">
        <v>2</v>
      </c>
      <c r="AR39" s="5">
        <v>31</v>
      </c>
      <c r="AS39" s="11">
        <f>VLOOKUP(AR39,[1]المرجع!$B$3:$C$12,2)</f>
        <v>0</v>
      </c>
      <c r="AT39" s="12" t="str">
        <f>VLOOKUP(AS39,[1]المرجع!$D$3:$E$12,2)</f>
        <v>ه</v>
      </c>
      <c r="AU39" s="13">
        <f t="shared" si="8"/>
        <v>0</v>
      </c>
      <c r="AV39" s="7">
        <v>2</v>
      </c>
      <c r="AW39" s="5">
        <v>90</v>
      </c>
      <c r="AX39" s="11">
        <f>VLOOKUP(AW39,[1]المرجع!$B$3:$C$12,2)</f>
        <v>4.75</v>
      </c>
      <c r="AY39" s="12" t="str">
        <f>VLOOKUP(AX39,[1]المرجع!$D$3:$E$12,2)</f>
        <v>أ</v>
      </c>
      <c r="AZ39" s="13">
        <f t="shared" si="9"/>
        <v>9.5</v>
      </c>
      <c r="BA39" s="7">
        <v>2</v>
      </c>
      <c r="BB39" s="5">
        <v>59</v>
      </c>
      <c r="BC39" s="11">
        <f>VLOOKUP(BB39,[1]المرجع!$B$3:$C$12,2)</f>
        <v>2</v>
      </c>
      <c r="BD39" s="12" t="str">
        <f>VLOOKUP(BC39,[1]المرجع!$D$3:$E$12,2)</f>
        <v>د</v>
      </c>
      <c r="BE39" s="13">
        <f t="shared" si="10"/>
        <v>4</v>
      </c>
      <c r="BF39" s="7">
        <v>2</v>
      </c>
      <c r="BG39" s="5">
        <v>54</v>
      </c>
      <c r="BH39" s="11">
        <f>VLOOKUP(BG39,[1]المرجع!$B$3:$C$12,2)</f>
        <v>2</v>
      </c>
      <c r="BI39" s="12" t="str">
        <f>VLOOKUP(BH39,[1]المرجع!$D$3:$E$12,2)</f>
        <v>د</v>
      </c>
      <c r="BJ39" s="13">
        <f t="shared" si="11"/>
        <v>4</v>
      </c>
      <c r="BK39" s="15">
        <f t="shared" si="12"/>
        <v>58.5</v>
      </c>
      <c r="BL39" s="16">
        <f t="shared" si="13"/>
        <v>23</v>
      </c>
      <c r="BM39" s="17">
        <f t="shared" si="15"/>
        <v>2.5434782608695654</v>
      </c>
      <c r="BN39" s="18" t="str">
        <f>VLOOKUP(BM39,المرجع!$C$1:$E$10,3)</f>
        <v xml:space="preserve">مقبول مرتفع </v>
      </c>
      <c r="BO39" s="19">
        <f t="shared" si="14"/>
        <v>37</v>
      </c>
    </row>
    <row r="40" spans="1:67" ht="28.5" hidden="1">
      <c r="A40" s="2">
        <v>2025409</v>
      </c>
      <c r="B40" s="23" t="s">
        <v>52</v>
      </c>
      <c r="C40" s="7">
        <v>1</v>
      </c>
      <c r="D40" s="5">
        <v>86</v>
      </c>
      <c r="E40" s="11">
        <f>VLOOKUP(D40,[1]المرجع!$B$3:$C$12,2)</f>
        <v>4.5</v>
      </c>
      <c r="F40" s="12" t="str">
        <f>VLOOKUP(E40,[1]المرجع!$D$3:$E$12,2)</f>
        <v>ب+</v>
      </c>
      <c r="G40" s="13">
        <f t="shared" si="0"/>
        <v>4.5</v>
      </c>
      <c r="H40" s="7">
        <v>2</v>
      </c>
      <c r="I40" s="5">
        <v>80</v>
      </c>
      <c r="J40" s="11">
        <f>VLOOKUP(I40,[1]المرجع!$B$3:$C$12,2)</f>
        <v>4</v>
      </c>
      <c r="K40" s="12" t="str">
        <f>VLOOKUP(J40,[1]المرجع!$D$3:$E$12,2)</f>
        <v>ب</v>
      </c>
      <c r="L40" s="13">
        <f t="shared" si="1"/>
        <v>8</v>
      </c>
      <c r="M40" s="7">
        <v>2</v>
      </c>
      <c r="N40" s="5">
        <v>98</v>
      </c>
      <c r="O40" s="11">
        <f>VLOOKUP(N40,[1]المرجع!$B$3:$C$12,2)</f>
        <v>5</v>
      </c>
      <c r="P40" s="12" t="str">
        <f>VLOOKUP(O40,[1]المرجع!$D$3:$E$12,2)</f>
        <v xml:space="preserve">أ+ </v>
      </c>
      <c r="Q40" s="13">
        <f t="shared" si="2"/>
        <v>10</v>
      </c>
      <c r="R40" s="7">
        <v>2</v>
      </c>
      <c r="S40" s="5">
        <v>67</v>
      </c>
      <c r="T40" s="11">
        <f>VLOOKUP(S40,[1]المرجع!$B$3:$C$12,2)</f>
        <v>2.5</v>
      </c>
      <c r="U40" s="12" t="str">
        <f>VLOOKUP(T40,[1]المرجع!$D$3:$E$12,2)</f>
        <v>د+</v>
      </c>
      <c r="V40" s="13">
        <f t="shared" si="3"/>
        <v>5</v>
      </c>
      <c r="W40" s="7">
        <v>2</v>
      </c>
      <c r="X40" s="5">
        <v>50</v>
      </c>
      <c r="Y40" s="11">
        <f>VLOOKUP(X40,[1]المرجع!$B$3:$C$12,2)</f>
        <v>2</v>
      </c>
      <c r="Z40" s="12" t="str">
        <f>VLOOKUP(Y40,[1]المرجع!$D$3:$E$12,2)</f>
        <v>د</v>
      </c>
      <c r="AA40" s="13">
        <f t="shared" si="4"/>
        <v>4</v>
      </c>
      <c r="AB40" s="7">
        <v>2</v>
      </c>
      <c r="AC40" s="5">
        <v>60</v>
      </c>
      <c r="AD40" s="11">
        <f>VLOOKUP(AC40,[1]المرجع!$B$3:$C$12,2)</f>
        <v>2</v>
      </c>
      <c r="AE40" s="12" t="str">
        <f>VLOOKUP(AD40,[1]المرجع!$D$3:$E$12,2)</f>
        <v>د</v>
      </c>
      <c r="AF40" s="13">
        <f t="shared" si="5"/>
        <v>4</v>
      </c>
      <c r="AG40" s="7">
        <v>2</v>
      </c>
      <c r="AH40" s="5">
        <v>67</v>
      </c>
      <c r="AI40" s="11">
        <f>VLOOKUP(AH40,[1]المرجع!$B$3:$C$12,2)</f>
        <v>2.5</v>
      </c>
      <c r="AJ40" s="12" t="str">
        <f>VLOOKUP(AI40,[1]المرجع!$D$3:$E$12,2)</f>
        <v>د+</v>
      </c>
      <c r="AK40" s="13">
        <f t="shared" si="6"/>
        <v>5</v>
      </c>
      <c r="AL40" s="7">
        <v>2</v>
      </c>
      <c r="AM40" s="5">
        <v>20</v>
      </c>
      <c r="AN40" s="11">
        <f>VLOOKUP(AM40,[1]المرجع!$B$3:$C$12,2)</f>
        <v>0</v>
      </c>
      <c r="AO40" s="12" t="str">
        <f>VLOOKUP(AN40,[1]المرجع!$D$3:$E$12,2)</f>
        <v>ه</v>
      </c>
      <c r="AP40" s="13">
        <f t="shared" si="7"/>
        <v>0</v>
      </c>
      <c r="AQ40" s="7">
        <v>2</v>
      </c>
      <c r="AR40" s="5">
        <v>76</v>
      </c>
      <c r="AS40" s="11">
        <f>VLOOKUP(AR40,[1]المرجع!$B$3:$C$12,2)</f>
        <v>3.5</v>
      </c>
      <c r="AT40" s="12" t="str">
        <f>VLOOKUP(AS40,[1]المرجع!$D$3:$E$12,2)</f>
        <v>ج+</v>
      </c>
      <c r="AU40" s="13">
        <f t="shared" si="8"/>
        <v>7</v>
      </c>
      <c r="AV40" s="7">
        <v>2</v>
      </c>
      <c r="AW40" s="5">
        <v>76</v>
      </c>
      <c r="AX40" s="11">
        <f>VLOOKUP(AW40,[1]المرجع!$B$3:$C$12,2)</f>
        <v>3.5</v>
      </c>
      <c r="AY40" s="12" t="str">
        <f>VLOOKUP(AX40,[1]المرجع!$D$3:$E$12,2)</f>
        <v>ج+</v>
      </c>
      <c r="AZ40" s="13">
        <f t="shared" si="9"/>
        <v>7</v>
      </c>
      <c r="BA40" s="7">
        <v>2</v>
      </c>
      <c r="BB40" s="5">
        <v>17</v>
      </c>
      <c r="BC40" s="11">
        <f>VLOOKUP(BB40,[1]المرجع!$B$3:$C$12,2)</f>
        <v>0</v>
      </c>
      <c r="BD40" s="12" t="str">
        <f>VLOOKUP(BC40,[1]المرجع!$D$3:$E$12,2)</f>
        <v>ه</v>
      </c>
      <c r="BE40" s="13">
        <f t="shared" si="10"/>
        <v>0</v>
      </c>
      <c r="BF40" s="7">
        <v>2</v>
      </c>
      <c r="BG40" s="5">
        <v>53</v>
      </c>
      <c r="BH40" s="11">
        <f>VLOOKUP(BG40,[1]المرجع!$B$3:$C$12,2)</f>
        <v>2</v>
      </c>
      <c r="BI40" s="12" t="str">
        <f>VLOOKUP(BH40,[1]المرجع!$D$3:$E$12,2)</f>
        <v>د</v>
      </c>
      <c r="BJ40" s="13">
        <f t="shared" si="11"/>
        <v>4</v>
      </c>
      <c r="BK40" s="15">
        <f t="shared" si="12"/>
        <v>58.5</v>
      </c>
      <c r="BL40" s="16">
        <f t="shared" si="13"/>
        <v>23</v>
      </c>
      <c r="BM40" s="17">
        <f t="shared" si="15"/>
        <v>2.5434782608695654</v>
      </c>
      <c r="BN40" s="18" t="str">
        <f>VLOOKUP(BM40,المرجع!$C$1:$E$10,3)</f>
        <v xml:space="preserve">مقبول مرتفع </v>
      </c>
      <c r="BO40" s="19">
        <f t="shared" si="14"/>
        <v>37</v>
      </c>
    </row>
    <row r="41" spans="1:67" ht="28.5" hidden="1">
      <c r="A41" s="2">
        <v>2025307</v>
      </c>
      <c r="B41" s="23" t="s">
        <v>51</v>
      </c>
      <c r="C41" s="7">
        <v>1</v>
      </c>
      <c r="D41" s="5">
        <v>50</v>
      </c>
      <c r="E41" s="11">
        <f>VLOOKUP(D41,[1]المرجع!$B$3:$C$12,2)</f>
        <v>2</v>
      </c>
      <c r="F41" s="12" t="str">
        <f>VLOOKUP(E41,[1]المرجع!$D$3:$E$12,2)</f>
        <v>د</v>
      </c>
      <c r="G41" s="13">
        <f t="shared" si="0"/>
        <v>2</v>
      </c>
      <c r="H41" s="7">
        <v>2</v>
      </c>
      <c r="I41" s="5">
        <v>64</v>
      </c>
      <c r="J41" s="11">
        <f>VLOOKUP(I41,[1]المرجع!$B$3:$C$12,2)</f>
        <v>2</v>
      </c>
      <c r="K41" s="12" t="str">
        <f>VLOOKUP(J41,[1]المرجع!$D$3:$E$12,2)</f>
        <v>د</v>
      </c>
      <c r="L41" s="13">
        <f t="shared" si="1"/>
        <v>4</v>
      </c>
      <c r="M41" s="7">
        <v>2</v>
      </c>
      <c r="N41" s="5">
        <v>79</v>
      </c>
      <c r="O41" s="11">
        <f>VLOOKUP(N41,[1]المرجع!$B$3:$C$12,2)</f>
        <v>3.5</v>
      </c>
      <c r="P41" s="12" t="str">
        <f>VLOOKUP(O41,[1]المرجع!$D$3:$E$12,2)</f>
        <v>ج+</v>
      </c>
      <c r="Q41" s="13">
        <f t="shared" si="2"/>
        <v>7</v>
      </c>
      <c r="R41" s="7">
        <v>2</v>
      </c>
      <c r="S41" s="5">
        <v>73</v>
      </c>
      <c r="T41" s="11">
        <f>VLOOKUP(S41,[1]المرجع!$B$3:$C$12,2)</f>
        <v>3</v>
      </c>
      <c r="U41" s="12" t="str">
        <f>VLOOKUP(T41,[1]المرجع!$D$3:$E$12,2)</f>
        <v>ج</v>
      </c>
      <c r="V41" s="13">
        <f t="shared" si="3"/>
        <v>6</v>
      </c>
      <c r="W41" s="7">
        <v>2</v>
      </c>
      <c r="X41" s="5">
        <v>55</v>
      </c>
      <c r="Y41" s="11">
        <f>VLOOKUP(X41,[1]المرجع!$B$3:$C$12,2)</f>
        <v>2</v>
      </c>
      <c r="Z41" s="12" t="str">
        <f>VLOOKUP(Y41,[1]المرجع!$D$3:$E$12,2)</f>
        <v>د</v>
      </c>
      <c r="AA41" s="13">
        <f t="shared" si="4"/>
        <v>4</v>
      </c>
      <c r="AB41" s="7">
        <v>2</v>
      </c>
      <c r="AC41" s="5">
        <v>38</v>
      </c>
      <c r="AD41" s="11">
        <f>VLOOKUP(AC41,[1]المرجع!$B$3:$C$12,2)</f>
        <v>0</v>
      </c>
      <c r="AE41" s="12" t="str">
        <f>VLOOKUP(AD41,[1]المرجع!$D$3:$E$12,2)</f>
        <v>ه</v>
      </c>
      <c r="AF41" s="13">
        <f t="shared" si="5"/>
        <v>0</v>
      </c>
      <c r="AG41" s="7">
        <v>2</v>
      </c>
      <c r="AH41" s="5">
        <v>93</v>
      </c>
      <c r="AI41" s="11">
        <f>VLOOKUP(AH41,[1]المرجع!$B$3:$C$12,2)</f>
        <v>4.75</v>
      </c>
      <c r="AJ41" s="12" t="str">
        <f>VLOOKUP(AI41,[1]المرجع!$D$3:$E$12,2)</f>
        <v>أ</v>
      </c>
      <c r="AK41" s="13">
        <f t="shared" si="6"/>
        <v>9.5</v>
      </c>
      <c r="AL41" s="7">
        <v>2</v>
      </c>
      <c r="AM41" s="5">
        <v>53</v>
      </c>
      <c r="AN41" s="11">
        <f>VLOOKUP(AM41,[1]المرجع!$B$3:$C$12,2)</f>
        <v>2</v>
      </c>
      <c r="AO41" s="12" t="str">
        <f>VLOOKUP(AN41,[1]المرجع!$D$3:$E$12,2)</f>
        <v>د</v>
      </c>
      <c r="AP41" s="13">
        <f t="shared" si="7"/>
        <v>4</v>
      </c>
      <c r="AQ41" s="7">
        <v>2</v>
      </c>
      <c r="AR41" s="5">
        <v>57</v>
      </c>
      <c r="AS41" s="11">
        <f>VLOOKUP(AR41,[1]المرجع!$B$3:$C$12,2)</f>
        <v>2</v>
      </c>
      <c r="AT41" s="12" t="str">
        <f>VLOOKUP(AS41,[1]المرجع!$D$3:$E$12,2)</f>
        <v>د</v>
      </c>
      <c r="AU41" s="13">
        <f t="shared" si="8"/>
        <v>4</v>
      </c>
      <c r="AV41" s="7">
        <v>2</v>
      </c>
      <c r="AW41" s="5">
        <v>55</v>
      </c>
      <c r="AX41" s="11">
        <f>VLOOKUP(AW41,[1]المرجع!$B$3:$C$12,2)</f>
        <v>2</v>
      </c>
      <c r="AY41" s="12" t="str">
        <f>VLOOKUP(AX41,[1]المرجع!$D$3:$E$12,2)</f>
        <v>د</v>
      </c>
      <c r="AZ41" s="13">
        <f t="shared" si="9"/>
        <v>4</v>
      </c>
      <c r="BA41" s="7">
        <v>2</v>
      </c>
      <c r="BB41" s="5">
        <v>86</v>
      </c>
      <c r="BC41" s="11">
        <f>VLOOKUP(BB41,[1]المرجع!$B$3:$C$12,2)</f>
        <v>4.5</v>
      </c>
      <c r="BD41" s="12" t="str">
        <f>VLOOKUP(BC41,[1]المرجع!$D$3:$E$12,2)</f>
        <v>ب+</v>
      </c>
      <c r="BE41" s="13">
        <f t="shared" si="10"/>
        <v>9</v>
      </c>
      <c r="BF41" s="7">
        <v>2</v>
      </c>
      <c r="BG41" s="5">
        <v>62</v>
      </c>
      <c r="BH41" s="11">
        <f>VLOOKUP(BG41,[1]المرجع!$B$3:$C$12,2)</f>
        <v>2</v>
      </c>
      <c r="BI41" s="12" t="str">
        <f>VLOOKUP(BH41,[1]المرجع!$D$3:$E$12,2)</f>
        <v>د</v>
      </c>
      <c r="BJ41" s="13">
        <f t="shared" si="11"/>
        <v>4</v>
      </c>
      <c r="BK41" s="15">
        <f t="shared" si="12"/>
        <v>57.5</v>
      </c>
      <c r="BL41" s="16">
        <f t="shared" si="13"/>
        <v>23</v>
      </c>
      <c r="BM41" s="17">
        <f t="shared" si="15"/>
        <v>2.5</v>
      </c>
      <c r="BN41" s="18" t="str">
        <f>VLOOKUP(BM41,المرجع!$C$1:$E$10,3)</f>
        <v xml:space="preserve">مقبول مرتفع </v>
      </c>
      <c r="BO41" s="19">
        <f t="shared" si="14"/>
        <v>39</v>
      </c>
    </row>
    <row r="42" spans="1:67" ht="28.5" hidden="1">
      <c r="A42" s="2">
        <v>2025427</v>
      </c>
      <c r="B42" s="23" t="s">
        <v>53</v>
      </c>
      <c r="C42" s="7">
        <v>1</v>
      </c>
      <c r="D42" s="5">
        <v>51</v>
      </c>
      <c r="E42" s="11">
        <f>VLOOKUP(D42,[1]المرجع!$B$3:$C$12,2)</f>
        <v>2</v>
      </c>
      <c r="F42" s="12" t="str">
        <f>VLOOKUP(E42,[1]المرجع!$D$3:$E$12,2)</f>
        <v>د</v>
      </c>
      <c r="G42" s="13">
        <f t="shared" si="0"/>
        <v>2</v>
      </c>
      <c r="H42" s="7">
        <v>2</v>
      </c>
      <c r="I42" s="5">
        <v>59</v>
      </c>
      <c r="J42" s="11">
        <f>VLOOKUP(I42,[1]المرجع!$B$3:$C$12,2)</f>
        <v>2</v>
      </c>
      <c r="K42" s="12" t="str">
        <f>VLOOKUP(J42,[1]المرجع!$D$3:$E$12,2)</f>
        <v>د</v>
      </c>
      <c r="L42" s="13">
        <f t="shared" si="1"/>
        <v>4</v>
      </c>
      <c r="M42" s="7">
        <v>2</v>
      </c>
      <c r="N42" s="5">
        <v>72</v>
      </c>
      <c r="O42" s="11">
        <f>VLOOKUP(N42,[1]المرجع!$B$3:$C$12,2)</f>
        <v>3</v>
      </c>
      <c r="P42" s="12" t="str">
        <f>VLOOKUP(O42,[1]المرجع!$D$3:$E$12,2)</f>
        <v>ج</v>
      </c>
      <c r="Q42" s="13">
        <f t="shared" si="2"/>
        <v>6</v>
      </c>
      <c r="R42" s="7">
        <v>2</v>
      </c>
      <c r="S42" s="5">
        <v>70</v>
      </c>
      <c r="T42" s="11">
        <f>VLOOKUP(S42,[1]المرجع!$B$3:$C$12,2)</f>
        <v>3</v>
      </c>
      <c r="U42" s="12" t="str">
        <f>VLOOKUP(T42,[1]المرجع!$D$3:$E$12,2)</f>
        <v>ج</v>
      </c>
      <c r="V42" s="13">
        <f t="shared" si="3"/>
        <v>6</v>
      </c>
      <c r="W42" s="7">
        <v>2</v>
      </c>
      <c r="X42" s="5">
        <v>77</v>
      </c>
      <c r="Y42" s="11">
        <f>VLOOKUP(X42,[1]المرجع!$B$3:$C$12,2)</f>
        <v>3.5</v>
      </c>
      <c r="Z42" s="12" t="str">
        <f>VLOOKUP(Y42,[1]المرجع!$D$3:$E$12,2)</f>
        <v>ج+</v>
      </c>
      <c r="AA42" s="13">
        <f t="shared" si="4"/>
        <v>7</v>
      </c>
      <c r="AB42" s="7">
        <v>2</v>
      </c>
      <c r="AC42" s="5">
        <v>29</v>
      </c>
      <c r="AD42" s="11">
        <f>VLOOKUP(AC42,[1]المرجع!$B$3:$C$12,2)</f>
        <v>0</v>
      </c>
      <c r="AE42" s="12" t="str">
        <f>VLOOKUP(AD42,[1]المرجع!$D$3:$E$12,2)</f>
        <v>ه</v>
      </c>
      <c r="AF42" s="13">
        <f t="shared" si="5"/>
        <v>0</v>
      </c>
      <c r="AG42" s="7">
        <v>2</v>
      </c>
      <c r="AH42" s="5">
        <v>97</v>
      </c>
      <c r="AI42" s="11">
        <f>VLOOKUP(AH42,[1]المرجع!$B$3:$C$12,2)</f>
        <v>5</v>
      </c>
      <c r="AJ42" s="12" t="str">
        <f>VLOOKUP(AI42,[1]المرجع!$D$3:$E$12,2)</f>
        <v xml:space="preserve">أ+ </v>
      </c>
      <c r="AK42" s="13">
        <f t="shared" si="6"/>
        <v>10</v>
      </c>
      <c r="AL42" s="7">
        <v>2</v>
      </c>
      <c r="AM42" s="5">
        <v>25</v>
      </c>
      <c r="AN42" s="11">
        <f>VLOOKUP(AM42,[1]المرجع!$B$3:$C$12,2)</f>
        <v>0</v>
      </c>
      <c r="AO42" s="12" t="str">
        <f>VLOOKUP(AN42,[1]المرجع!$D$3:$E$12,2)</f>
        <v>ه</v>
      </c>
      <c r="AP42" s="13">
        <f t="shared" si="7"/>
        <v>0</v>
      </c>
      <c r="AQ42" s="7">
        <v>2</v>
      </c>
      <c r="AR42" s="5">
        <v>74</v>
      </c>
      <c r="AS42" s="11">
        <f>VLOOKUP(AR42,[1]المرجع!$B$3:$C$12,2)</f>
        <v>3</v>
      </c>
      <c r="AT42" s="12" t="str">
        <f>VLOOKUP(AS42,[1]المرجع!$D$3:$E$12,2)</f>
        <v>ج</v>
      </c>
      <c r="AU42" s="13">
        <f t="shared" si="8"/>
        <v>6</v>
      </c>
      <c r="AV42" s="7">
        <v>2</v>
      </c>
      <c r="AW42" s="5">
        <v>27</v>
      </c>
      <c r="AX42" s="11">
        <f>VLOOKUP(AW42,[1]المرجع!$B$3:$C$12,2)</f>
        <v>0</v>
      </c>
      <c r="AY42" s="12" t="str">
        <f>VLOOKUP(AX42,[1]المرجع!$D$3:$E$12,2)</f>
        <v>ه</v>
      </c>
      <c r="AZ42" s="13">
        <f t="shared" si="9"/>
        <v>0</v>
      </c>
      <c r="BA42" s="7">
        <v>2</v>
      </c>
      <c r="BB42" s="5">
        <v>50</v>
      </c>
      <c r="BC42" s="11">
        <f>VLOOKUP(BB42,[1]المرجع!$B$3:$C$12,2)</f>
        <v>2</v>
      </c>
      <c r="BD42" s="12" t="str">
        <f>VLOOKUP(BC42,[1]المرجع!$D$3:$E$12,2)</f>
        <v>د</v>
      </c>
      <c r="BE42" s="13">
        <f t="shared" si="10"/>
        <v>4</v>
      </c>
      <c r="BF42" s="7">
        <v>2</v>
      </c>
      <c r="BG42" s="5">
        <v>50</v>
      </c>
      <c r="BH42" s="11">
        <f>VLOOKUP(BG42,[1]المرجع!$B$3:$C$12,2)</f>
        <v>2</v>
      </c>
      <c r="BI42" s="12" t="str">
        <f>VLOOKUP(BH42,[1]المرجع!$D$3:$E$12,2)</f>
        <v>د</v>
      </c>
      <c r="BJ42" s="13">
        <f t="shared" si="11"/>
        <v>4</v>
      </c>
      <c r="BK42" s="15">
        <f t="shared" si="12"/>
        <v>49</v>
      </c>
      <c r="BL42" s="16">
        <f t="shared" si="13"/>
        <v>23</v>
      </c>
      <c r="BM42" s="17">
        <f t="shared" si="15"/>
        <v>2.1304347826086958</v>
      </c>
      <c r="BN42" s="18" t="str">
        <f>VLOOKUP(BM42,المرجع!$C$1:$E$10,3)</f>
        <v xml:space="preserve">مقبول مرتفع </v>
      </c>
      <c r="BO42" s="19">
        <f t="shared" si="14"/>
        <v>40</v>
      </c>
    </row>
    <row r="43" spans="1:67" ht="28.5" hidden="1">
      <c r="A43" s="2">
        <v>2025390</v>
      </c>
      <c r="B43" s="23" t="s">
        <v>54</v>
      </c>
      <c r="C43" s="7">
        <v>1</v>
      </c>
      <c r="D43" s="5">
        <v>50</v>
      </c>
      <c r="E43" s="11">
        <f>VLOOKUP(D43,[1]المرجع!$B$3:$C$12,2)</f>
        <v>2</v>
      </c>
      <c r="F43" s="12" t="str">
        <f>VLOOKUP(E43,[1]المرجع!$D$3:$E$12,2)</f>
        <v>د</v>
      </c>
      <c r="G43" s="13">
        <f t="shared" si="0"/>
        <v>2</v>
      </c>
      <c r="H43" s="7">
        <v>2</v>
      </c>
      <c r="I43" s="5">
        <v>68</v>
      </c>
      <c r="J43" s="11">
        <f>VLOOKUP(I43,[1]المرجع!$B$3:$C$12,2)</f>
        <v>2.5</v>
      </c>
      <c r="K43" s="12" t="str">
        <f>VLOOKUP(J43,[1]المرجع!$D$3:$E$12,2)</f>
        <v>د+</v>
      </c>
      <c r="L43" s="13">
        <f t="shared" si="1"/>
        <v>5</v>
      </c>
      <c r="M43" s="7">
        <v>2</v>
      </c>
      <c r="N43" s="5">
        <v>61</v>
      </c>
      <c r="O43" s="11">
        <f>VLOOKUP(N43,[1]المرجع!$B$3:$C$12,2)</f>
        <v>2</v>
      </c>
      <c r="P43" s="12" t="str">
        <f>VLOOKUP(O43,[1]المرجع!$D$3:$E$12,2)</f>
        <v>د</v>
      </c>
      <c r="Q43" s="13">
        <f t="shared" si="2"/>
        <v>4</v>
      </c>
      <c r="R43" s="7">
        <v>2</v>
      </c>
      <c r="S43" s="5">
        <v>50</v>
      </c>
      <c r="T43" s="11">
        <f>VLOOKUP(S43,[1]المرجع!$B$3:$C$12,2)</f>
        <v>2</v>
      </c>
      <c r="U43" s="12" t="str">
        <f>VLOOKUP(T43,[1]المرجع!$D$3:$E$12,2)</f>
        <v>د</v>
      </c>
      <c r="V43" s="13">
        <f t="shared" si="3"/>
        <v>4</v>
      </c>
      <c r="W43" s="7">
        <v>2</v>
      </c>
      <c r="X43" s="5">
        <v>55</v>
      </c>
      <c r="Y43" s="11">
        <f>VLOOKUP(X43,[1]المرجع!$B$3:$C$12,2)</f>
        <v>2</v>
      </c>
      <c r="Z43" s="12" t="str">
        <f>VLOOKUP(Y43,[1]المرجع!$D$3:$E$12,2)</f>
        <v>د</v>
      </c>
      <c r="AA43" s="13">
        <f t="shared" si="4"/>
        <v>4</v>
      </c>
      <c r="AB43" s="7">
        <v>2</v>
      </c>
      <c r="AC43" s="5">
        <v>30</v>
      </c>
      <c r="AD43" s="11">
        <f>VLOOKUP(AC43,[1]المرجع!$B$3:$C$12,2)</f>
        <v>0</v>
      </c>
      <c r="AE43" s="12" t="str">
        <f>VLOOKUP(AD43,[1]المرجع!$D$3:$E$12,2)</f>
        <v>ه</v>
      </c>
      <c r="AF43" s="13">
        <f t="shared" si="5"/>
        <v>0</v>
      </c>
      <c r="AG43" s="7">
        <v>2</v>
      </c>
      <c r="AH43" s="5">
        <v>80</v>
      </c>
      <c r="AI43" s="11">
        <f>VLOOKUP(AH43,[1]المرجع!$B$3:$C$12,2)</f>
        <v>4</v>
      </c>
      <c r="AJ43" s="12" t="str">
        <f>VLOOKUP(AI43,[1]المرجع!$D$3:$E$12,2)</f>
        <v>ب</v>
      </c>
      <c r="AK43" s="13">
        <f t="shared" si="6"/>
        <v>8</v>
      </c>
      <c r="AL43" s="7">
        <v>2</v>
      </c>
      <c r="AM43" s="5">
        <v>50</v>
      </c>
      <c r="AN43" s="11">
        <f>VLOOKUP(AM43,[1]المرجع!$B$3:$C$12,2)</f>
        <v>2</v>
      </c>
      <c r="AO43" s="12" t="str">
        <f>VLOOKUP(AN43,[1]المرجع!$D$3:$E$12,2)</f>
        <v>د</v>
      </c>
      <c r="AP43" s="13">
        <f t="shared" si="7"/>
        <v>4</v>
      </c>
      <c r="AQ43" s="7">
        <v>2</v>
      </c>
      <c r="AR43" s="5">
        <v>35</v>
      </c>
      <c r="AS43" s="11">
        <f>VLOOKUP(AR43,[1]المرجع!$B$3:$C$12,2)</f>
        <v>0</v>
      </c>
      <c r="AT43" s="12" t="str">
        <f>VLOOKUP(AS43,[1]المرجع!$D$3:$E$12,2)</f>
        <v>ه</v>
      </c>
      <c r="AU43" s="13">
        <f t="shared" si="8"/>
        <v>0</v>
      </c>
      <c r="AV43" s="7">
        <v>2</v>
      </c>
      <c r="AW43" s="5">
        <v>57</v>
      </c>
      <c r="AX43" s="11">
        <f>VLOOKUP(AW43,[1]المرجع!$B$3:$C$12,2)</f>
        <v>2</v>
      </c>
      <c r="AY43" s="12" t="str">
        <f>VLOOKUP(AX43,[1]المرجع!$D$3:$E$12,2)</f>
        <v>د</v>
      </c>
      <c r="AZ43" s="13">
        <f t="shared" si="9"/>
        <v>4</v>
      </c>
      <c r="BA43" s="7">
        <v>2</v>
      </c>
      <c r="BB43" s="5">
        <v>58</v>
      </c>
      <c r="BC43" s="11">
        <f>VLOOKUP(BB43,[1]المرجع!$B$3:$C$12,2)</f>
        <v>2</v>
      </c>
      <c r="BD43" s="12" t="str">
        <f>VLOOKUP(BC43,[1]المرجع!$D$3:$E$12,2)</f>
        <v>د</v>
      </c>
      <c r="BE43" s="13">
        <f t="shared" si="10"/>
        <v>4</v>
      </c>
      <c r="BF43" s="7">
        <v>2</v>
      </c>
      <c r="BG43" s="5">
        <v>77</v>
      </c>
      <c r="BH43" s="11">
        <f>VLOOKUP(BG43,[1]المرجع!$B$3:$C$12,2)</f>
        <v>3.5</v>
      </c>
      <c r="BI43" s="12" t="str">
        <f>VLOOKUP(BH43,[1]المرجع!$D$3:$E$12,2)</f>
        <v>ج+</v>
      </c>
      <c r="BJ43" s="13">
        <f t="shared" si="11"/>
        <v>7</v>
      </c>
      <c r="BK43" s="15">
        <f t="shared" si="12"/>
        <v>46</v>
      </c>
      <c r="BL43" s="16">
        <f t="shared" si="13"/>
        <v>23</v>
      </c>
      <c r="BM43" s="17">
        <f t="shared" si="15"/>
        <v>2</v>
      </c>
      <c r="BN43" s="18" t="str">
        <f>VLOOKUP(BM43,المرجع!$C$1:$E$10,3)</f>
        <v>مقبول</v>
      </c>
      <c r="BO43" s="19">
        <f t="shared" si="14"/>
        <v>41</v>
      </c>
    </row>
    <row r="44" spans="1:67" ht="28.5" hidden="1">
      <c r="A44" s="2">
        <v>2025340</v>
      </c>
      <c r="B44" s="23" t="s">
        <v>55</v>
      </c>
      <c r="C44" s="7">
        <v>1</v>
      </c>
      <c r="D44" s="5">
        <v>50</v>
      </c>
      <c r="E44" s="11">
        <f>VLOOKUP(D44,[1]المرجع!$B$3:$C$12,2)</f>
        <v>2</v>
      </c>
      <c r="F44" s="12" t="str">
        <f>VLOOKUP(E44,[1]المرجع!$D$3:$E$12,2)</f>
        <v>د</v>
      </c>
      <c r="G44" s="13">
        <f t="shared" si="0"/>
        <v>2</v>
      </c>
      <c r="H44" s="7">
        <v>2</v>
      </c>
      <c r="I44" s="5">
        <v>55</v>
      </c>
      <c r="J44" s="11">
        <f>VLOOKUP(I44,[1]المرجع!$B$3:$C$12,2)</f>
        <v>2</v>
      </c>
      <c r="K44" s="12" t="str">
        <f>VLOOKUP(J44,[1]المرجع!$D$3:$E$12,2)</f>
        <v>د</v>
      </c>
      <c r="L44" s="13">
        <f t="shared" si="1"/>
        <v>4</v>
      </c>
      <c r="M44" s="7">
        <v>2</v>
      </c>
      <c r="N44" s="5">
        <v>58</v>
      </c>
      <c r="O44" s="11">
        <f>VLOOKUP(N44,[1]المرجع!$B$3:$C$12,2)</f>
        <v>2</v>
      </c>
      <c r="P44" s="12" t="str">
        <f>VLOOKUP(O44,[1]المرجع!$D$3:$E$12,2)</f>
        <v>د</v>
      </c>
      <c r="Q44" s="13">
        <f t="shared" si="2"/>
        <v>4</v>
      </c>
      <c r="R44" s="7">
        <v>2</v>
      </c>
      <c r="S44" s="5">
        <v>51</v>
      </c>
      <c r="T44" s="11">
        <f>VLOOKUP(S44,[1]المرجع!$B$3:$C$12,2)</f>
        <v>2</v>
      </c>
      <c r="U44" s="12" t="str">
        <f>VLOOKUP(T44,[1]المرجع!$D$3:$E$12,2)</f>
        <v>د</v>
      </c>
      <c r="V44" s="13">
        <f t="shared" si="3"/>
        <v>4</v>
      </c>
      <c r="W44" s="7">
        <v>2</v>
      </c>
      <c r="X44" s="5">
        <v>65</v>
      </c>
      <c r="Y44" s="11">
        <f>VLOOKUP(X44,[1]المرجع!$B$3:$C$12,2)</f>
        <v>2.5</v>
      </c>
      <c r="Z44" s="12" t="str">
        <f>VLOOKUP(Y44,[1]المرجع!$D$3:$E$12,2)</f>
        <v>د+</v>
      </c>
      <c r="AA44" s="13">
        <f t="shared" si="4"/>
        <v>5</v>
      </c>
      <c r="AB44" s="7">
        <v>2</v>
      </c>
      <c r="AC44" s="5">
        <v>33</v>
      </c>
      <c r="AD44" s="11">
        <f>VLOOKUP(AC44,[1]المرجع!$B$3:$C$12,2)</f>
        <v>0</v>
      </c>
      <c r="AE44" s="12" t="str">
        <f>VLOOKUP(AD44,[1]المرجع!$D$3:$E$12,2)</f>
        <v>ه</v>
      </c>
      <c r="AF44" s="13">
        <f t="shared" si="5"/>
        <v>0</v>
      </c>
      <c r="AG44" s="7">
        <v>2</v>
      </c>
      <c r="AH44" s="5">
        <v>50</v>
      </c>
      <c r="AI44" s="11">
        <f>VLOOKUP(AH44,[1]المرجع!$B$3:$C$12,2)</f>
        <v>2</v>
      </c>
      <c r="AJ44" s="12" t="str">
        <f>VLOOKUP(AI44,[1]المرجع!$D$3:$E$12,2)</f>
        <v>د</v>
      </c>
      <c r="AK44" s="13">
        <f t="shared" si="6"/>
        <v>4</v>
      </c>
      <c r="AL44" s="7">
        <v>2</v>
      </c>
      <c r="AM44" s="5">
        <v>50</v>
      </c>
      <c r="AN44" s="11">
        <f>VLOOKUP(AM44,[1]المرجع!$B$3:$C$12,2)</f>
        <v>2</v>
      </c>
      <c r="AO44" s="12" t="str">
        <f>VLOOKUP(AN44,[1]المرجع!$D$3:$E$12,2)</f>
        <v>د</v>
      </c>
      <c r="AP44" s="13">
        <f t="shared" si="7"/>
        <v>4</v>
      </c>
      <c r="AQ44" s="7">
        <v>2</v>
      </c>
      <c r="AR44" s="5">
        <v>13</v>
      </c>
      <c r="AS44" s="11">
        <f>VLOOKUP(AR44,[1]المرجع!$B$3:$C$12,2)</f>
        <v>0</v>
      </c>
      <c r="AT44" s="12" t="str">
        <f>VLOOKUP(AS44,[1]المرجع!$D$3:$E$12,2)</f>
        <v>ه</v>
      </c>
      <c r="AU44" s="13">
        <f t="shared" si="8"/>
        <v>0</v>
      </c>
      <c r="AV44" s="7">
        <v>2</v>
      </c>
      <c r="AW44" s="5">
        <v>50</v>
      </c>
      <c r="AX44" s="11">
        <f>VLOOKUP(AW44,[1]المرجع!$B$3:$C$12,2)</f>
        <v>2</v>
      </c>
      <c r="AY44" s="12" t="str">
        <f>VLOOKUP(AX44,[1]المرجع!$D$3:$E$12,2)</f>
        <v>د</v>
      </c>
      <c r="AZ44" s="13">
        <f t="shared" si="9"/>
        <v>4</v>
      </c>
      <c r="BA44" s="7">
        <v>2</v>
      </c>
      <c r="BB44" s="5">
        <v>26</v>
      </c>
      <c r="BC44" s="11">
        <f>VLOOKUP(BB44,[1]المرجع!$B$3:$C$12,2)</f>
        <v>0</v>
      </c>
      <c r="BD44" s="12" t="str">
        <f>VLOOKUP(BC44,[1]المرجع!$D$3:$E$12,2)</f>
        <v>ه</v>
      </c>
      <c r="BE44" s="13">
        <f t="shared" si="10"/>
        <v>0</v>
      </c>
      <c r="BF44" s="7">
        <v>2</v>
      </c>
      <c r="BG44" s="5">
        <v>61</v>
      </c>
      <c r="BH44" s="11">
        <f>VLOOKUP(BG44,[1]المرجع!$B$3:$C$12,2)</f>
        <v>2</v>
      </c>
      <c r="BI44" s="12" t="str">
        <f>VLOOKUP(BH44,[1]المرجع!$D$3:$E$12,2)</f>
        <v>د</v>
      </c>
      <c r="BJ44" s="13">
        <f t="shared" si="11"/>
        <v>4</v>
      </c>
      <c r="BK44" s="15">
        <f t="shared" si="12"/>
        <v>35</v>
      </c>
      <c r="BL44" s="16">
        <f t="shared" si="13"/>
        <v>23</v>
      </c>
      <c r="BM44" s="17">
        <f t="shared" si="15"/>
        <v>1.5217391304347827</v>
      </c>
      <c r="BN44" s="18" t="str">
        <f>VLOOKUP(BM44,المرجع!$C$1:$E$10,3)</f>
        <v>راسب</v>
      </c>
      <c r="BO44" s="19">
        <f t="shared" si="14"/>
        <v>42</v>
      </c>
    </row>
    <row r="45" spans="1:67" ht="28.5" hidden="1">
      <c r="A45" s="2">
        <v>2025335</v>
      </c>
      <c r="B45" s="23" t="s">
        <v>56</v>
      </c>
      <c r="C45" s="7">
        <v>1</v>
      </c>
      <c r="D45" s="5">
        <v>87</v>
      </c>
      <c r="E45" s="11">
        <f>VLOOKUP(D45,[1]المرجع!$B$3:$C$12,2)</f>
        <v>4.5</v>
      </c>
      <c r="F45" s="12" t="str">
        <f>VLOOKUP(E45,[1]المرجع!$D$3:$E$12,2)</f>
        <v>ب+</v>
      </c>
      <c r="G45" s="13">
        <f t="shared" si="0"/>
        <v>4.5</v>
      </c>
      <c r="H45" s="7">
        <v>2</v>
      </c>
      <c r="I45" s="5">
        <v>50</v>
      </c>
      <c r="J45" s="11">
        <f>VLOOKUP(I45,[1]المرجع!$B$3:$C$12,2)</f>
        <v>2</v>
      </c>
      <c r="K45" s="12" t="str">
        <f>VLOOKUP(J45,[1]المرجع!$D$3:$E$12,2)</f>
        <v>د</v>
      </c>
      <c r="L45" s="13">
        <f t="shared" si="1"/>
        <v>4</v>
      </c>
      <c r="M45" s="7">
        <v>2</v>
      </c>
      <c r="N45" s="5">
        <v>29</v>
      </c>
      <c r="O45" s="11">
        <f>VLOOKUP(N45,[1]المرجع!$B$3:$C$12,2)</f>
        <v>0</v>
      </c>
      <c r="P45" s="12" t="str">
        <f>VLOOKUP(O45,[1]المرجع!$D$3:$E$12,2)</f>
        <v>ه</v>
      </c>
      <c r="Q45" s="13">
        <f t="shared" si="2"/>
        <v>0</v>
      </c>
      <c r="R45" s="7">
        <v>2</v>
      </c>
      <c r="S45" s="5">
        <v>50</v>
      </c>
      <c r="T45" s="11">
        <f>VLOOKUP(S45,[1]المرجع!$B$3:$C$12,2)</f>
        <v>2</v>
      </c>
      <c r="U45" s="12" t="str">
        <f>VLOOKUP(T45,[1]المرجع!$D$3:$E$12,2)</f>
        <v>د</v>
      </c>
      <c r="V45" s="13">
        <f t="shared" si="3"/>
        <v>4</v>
      </c>
      <c r="W45" s="7">
        <v>2</v>
      </c>
      <c r="X45" s="5">
        <v>70</v>
      </c>
      <c r="Y45" s="11">
        <f>VLOOKUP(X45,[1]المرجع!$B$3:$C$12,2)</f>
        <v>3</v>
      </c>
      <c r="Z45" s="12" t="str">
        <f>VLOOKUP(Y45,[1]المرجع!$D$3:$E$12,2)</f>
        <v>ج</v>
      </c>
      <c r="AA45" s="13">
        <f t="shared" si="4"/>
        <v>6</v>
      </c>
      <c r="AB45" s="7">
        <v>2</v>
      </c>
      <c r="AC45" s="5">
        <v>28</v>
      </c>
      <c r="AD45" s="11">
        <f>VLOOKUP(AC45,[1]المرجع!$B$3:$C$12,2)</f>
        <v>0</v>
      </c>
      <c r="AE45" s="12" t="str">
        <f>VLOOKUP(AD45,[1]المرجع!$D$3:$E$12,2)</f>
        <v>ه</v>
      </c>
      <c r="AF45" s="13">
        <f t="shared" si="5"/>
        <v>0</v>
      </c>
      <c r="AG45" s="7">
        <v>2</v>
      </c>
      <c r="AH45" s="5">
        <v>50</v>
      </c>
      <c r="AI45" s="11">
        <f>VLOOKUP(AH45,[1]المرجع!$B$3:$C$12,2)</f>
        <v>2</v>
      </c>
      <c r="AJ45" s="12" t="str">
        <f>VLOOKUP(AI45,[1]المرجع!$D$3:$E$12,2)</f>
        <v>د</v>
      </c>
      <c r="AK45" s="13">
        <f t="shared" si="6"/>
        <v>4</v>
      </c>
      <c r="AL45" s="7">
        <v>2</v>
      </c>
      <c r="AM45" s="5">
        <v>50</v>
      </c>
      <c r="AN45" s="11">
        <f>VLOOKUP(AM45,[1]المرجع!$B$3:$C$12,2)</f>
        <v>2</v>
      </c>
      <c r="AO45" s="12" t="str">
        <f>VLOOKUP(AN45,[1]المرجع!$D$3:$E$12,2)</f>
        <v>د</v>
      </c>
      <c r="AP45" s="13">
        <f t="shared" si="7"/>
        <v>4</v>
      </c>
      <c r="AQ45" s="7">
        <v>2</v>
      </c>
      <c r="AR45" s="5">
        <v>22</v>
      </c>
      <c r="AS45" s="11">
        <f>VLOOKUP(AR45,[1]المرجع!$B$3:$C$12,2)</f>
        <v>0</v>
      </c>
      <c r="AT45" s="12" t="str">
        <f>VLOOKUP(AS45,[1]المرجع!$D$3:$E$12,2)</f>
        <v>ه</v>
      </c>
      <c r="AU45" s="13">
        <f t="shared" si="8"/>
        <v>0</v>
      </c>
      <c r="AV45" s="7">
        <v>2</v>
      </c>
      <c r="AW45" s="5">
        <v>50</v>
      </c>
      <c r="AX45" s="11">
        <f>VLOOKUP(AW45,[1]المرجع!$B$3:$C$12,2)</f>
        <v>2</v>
      </c>
      <c r="AY45" s="12" t="str">
        <f>VLOOKUP(AX45,[1]المرجع!$D$3:$E$12,2)</f>
        <v>د</v>
      </c>
      <c r="AZ45" s="13">
        <f t="shared" si="9"/>
        <v>4</v>
      </c>
      <c r="BA45" s="7">
        <v>2</v>
      </c>
      <c r="BB45" s="5">
        <v>33</v>
      </c>
      <c r="BC45" s="11">
        <f>VLOOKUP(BB45,[1]المرجع!$B$3:$C$12,2)</f>
        <v>0</v>
      </c>
      <c r="BD45" s="12" t="str">
        <f>VLOOKUP(BC45,[1]المرجع!$D$3:$E$12,2)</f>
        <v>ه</v>
      </c>
      <c r="BE45" s="13">
        <f t="shared" si="10"/>
        <v>0</v>
      </c>
      <c r="BF45" s="7">
        <v>2</v>
      </c>
      <c r="BG45" s="5">
        <v>25</v>
      </c>
      <c r="BH45" s="11">
        <f>VLOOKUP(BG45,[1]المرجع!$B$3:$C$12,2)</f>
        <v>0</v>
      </c>
      <c r="BI45" s="12" t="str">
        <f>VLOOKUP(BH45,[1]المرجع!$D$3:$E$12,2)</f>
        <v>ه</v>
      </c>
      <c r="BJ45" s="13">
        <f t="shared" si="11"/>
        <v>0</v>
      </c>
      <c r="BK45" s="15">
        <f t="shared" si="12"/>
        <v>30.5</v>
      </c>
      <c r="BL45" s="16">
        <f t="shared" si="13"/>
        <v>23</v>
      </c>
      <c r="BM45" s="17">
        <f t="shared" si="15"/>
        <v>1.326086956521739</v>
      </c>
      <c r="BN45" s="18" t="str">
        <f>VLOOKUP(BM45,المرجع!$C$1:$E$10,3)</f>
        <v>راسب</v>
      </c>
      <c r="BO45" s="19">
        <f t="shared" si="14"/>
        <v>43</v>
      </c>
    </row>
    <row r="46" spans="1:67" ht="28.5" hidden="1">
      <c r="A46" s="2">
        <v>2025372</v>
      </c>
      <c r="B46" s="23" t="s">
        <v>58</v>
      </c>
      <c r="C46" s="7">
        <v>1</v>
      </c>
      <c r="D46" s="5">
        <v>50</v>
      </c>
      <c r="E46" s="11">
        <f>VLOOKUP(D46,[1]المرجع!$B$3:$C$12,2)</f>
        <v>2</v>
      </c>
      <c r="F46" s="12" t="str">
        <f>VLOOKUP(E46,[1]المرجع!$D$3:$E$12,2)</f>
        <v>د</v>
      </c>
      <c r="G46" s="13">
        <f t="shared" si="0"/>
        <v>2</v>
      </c>
      <c r="H46" s="7">
        <v>2</v>
      </c>
      <c r="I46" s="5">
        <v>30</v>
      </c>
      <c r="J46" s="11">
        <f>VLOOKUP(I46,[1]المرجع!$B$3:$C$12,2)</f>
        <v>0</v>
      </c>
      <c r="K46" s="12" t="str">
        <f>VLOOKUP(J46,[1]المرجع!$D$3:$E$12,2)</f>
        <v>ه</v>
      </c>
      <c r="L46" s="13">
        <f t="shared" si="1"/>
        <v>0</v>
      </c>
      <c r="M46" s="7">
        <v>2</v>
      </c>
      <c r="N46" s="5">
        <v>50</v>
      </c>
      <c r="O46" s="11">
        <f>VLOOKUP(N46,[1]المرجع!$B$3:$C$12,2)</f>
        <v>2</v>
      </c>
      <c r="P46" s="12" t="str">
        <f>VLOOKUP(O46,[1]المرجع!$D$3:$E$12,2)</f>
        <v>د</v>
      </c>
      <c r="Q46" s="13">
        <f t="shared" si="2"/>
        <v>4</v>
      </c>
      <c r="R46" s="7">
        <v>2</v>
      </c>
      <c r="S46" s="5">
        <v>50</v>
      </c>
      <c r="T46" s="11">
        <f>VLOOKUP(S46,[1]المرجع!$B$3:$C$12,2)</f>
        <v>2</v>
      </c>
      <c r="U46" s="12" t="str">
        <f>VLOOKUP(T46,[1]المرجع!$D$3:$E$12,2)</f>
        <v>د</v>
      </c>
      <c r="V46" s="13">
        <f t="shared" si="3"/>
        <v>4</v>
      </c>
      <c r="W46" s="7">
        <v>2</v>
      </c>
      <c r="X46" s="5">
        <v>50</v>
      </c>
      <c r="Y46" s="11">
        <f>VLOOKUP(X46,[1]المرجع!$B$3:$C$12,2)</f>
        <v>2</v>
      </c>
      <c r="Z46" s="12" t="str">
        <f>VLOOKUP(Y46,[1]المرجع!$D$3:$E$12,2)</f>
        <v>د</v>
      </c>
      <c r="AA46" s="13">
        <f t="shared" si="4"/>
        <v>4</v>
      </c>
      <c r="AB46" s="7">
        <v>2</v>
      </c>
      <c r="AC46" s="5">
        <v>11</v>
      </c>
      <c r="AD46" s="11">
        <f>VLOOKUP(AC46,[1]المرجع!$B$3:$C$12,2)</f>
        <v>0</v>
      </c>
      <c r="AE46" s="12" t="str">
        <f>VLOOKUP(AD46,[1]المرجع!$D$3:$E$12,2)</f>
        <v>ه</v>
      </c>
      <c r="AF46" s="13">
        <f t="shared" si="5"/>
        <v>0</v>
      </c>
      <c r="AG46" s="7">
        <v>2</v>
      </c>
      <c r="AH46" s="5">
        <v>50</v>
      </c>
      <c r="AI46" s="11">
        <f>VLOOKUP(AH46,[1]المرجع!$B$3:$C$12,2)</f>
        <v>2</v>
      </c>
      <c r="AJ46" s="12" t="str">
        <f>VLOOKUP(AI46,[1]المرجع!$D$3:$E$12,2)</f>
        <v>د</v>
      </c>
      <c r="AK46" s="13">
        <f t="shared" si="6"/>
        <v>4</v>
      </c>
      <c r="AL46" s="7">
        <v>2</v>
      </c>
      <c r="AM46" s="5">
        <v>50</v>
      </c>
      <c r="AN46" s="11">
        <f>VLOOKUP(AM46,[1]المرجع!$B$3:$C$12,2)</f>
        <v>2</v>
      </c>
      <c r="AO46" s="12" t="str">
        <f>VLOOKUP(AN46,[1]المرجع!$D$3:$E$12,2)</f>
        <v>د</v>
      </c>
      <c r="AP46" s="13">
        <f t="shared" si="7"/>
        <v>4</v>
      </c>
      <c r="AQ46" s="7">
        <v>2</v>
      </c>
      <c r="AR46" s="5">
        <v>15</v>
      </c>
      <c r="AS46" s="11">
        <f>VLOOKUP(AR46,[1]المرجع!$B$3:$C$12,2)</f>
        <v>0</v>
      </c>
      <c r="AT46" s="12" t="str">
        <f>VLOOKUP(AS46,[1]المرجع!$D$3:$E$12,2)</f>
        <v>ه</v>
      </c>
      <c r="AU46" s="13">
        <f t="shared" si="8"/>
        <v>0</v>
      </c>
      <c r="AV46" s="7">
        <v>2</v>
      </c>
      <c r="AW46" s="5">
        <v>20</v>
      </c>
      <c r="AX46" s="11">
        <f>VLOOKUP(AW46,[1]المرجع!$B$3:$C$12,2)</f>
        <v>0</v>
      </c>
      <c r="AY46" s="12" t="str">
        <f>VLOOKUP(AX46,[1]المرجع!$D$3:$E$12,2)</f>
        <v>ه</v>
      </c>
      <c r="AZ46" s="13">
        <f t="shared" si="9"/>
        <v>0</v>
      </c>
      <c r="BA46" s="7">
        <v>2</v>
      </c>
      <c r="BB46" s="5">
        <v>50</v>
      </c>
      <c r="BC46" s="11">
        <f>VLOOKUP(BB46,[1]المرجع!$B$3:$C$12,2)</f>
        <v>2</v>
      </c>
      <c r="BD46" s="12" t="str">
        <f>VLOOKUP(BC46,[1]المرجع!$D$3:$E$12,2)</f>
        <v>د</v>
      </c>
      <c r="BE46" s="13">
        <f t="shared" si="10"/>
        <v>4</v>
      </c>
      <c r="BF46" s="7">
        <v>2</v>
      </c>
      <c r="BG46" s="5">
        <v>28</v>
      </c>
      <c r="BH46" s="11">
        <f>VLOOKUP(BG46,[1]المرجع!$B$3:$C$12,2)</f>
        <v>0</v>
      </c>
      <c r="BI46" s="12" t="str">
        <f>VLOOKUP(BH46,[1]المرجع!$D$3:$E$12,2)</f>
        <v>ه</v>
      </c>
      <c r="BJ46" s="13">
        <f t="shared" si="11"/>
        <v>0</v>
      </c>
      <c r="BK46" s="15">
        <f t="shared" si="12"/>
        <v>26</v>
      </c>
      <c r="BL46" s="16">
        <f t="shared" si="13"/>
        <v>23</v>
      </c>
      <c r="BM46" s="17">
        <f t="shared" si="15"/>
        <v>1.1304347826086956</v>
      </c>
      <c r="BN46" s="18" t="str">
        <f>VLOOKUP(BM46,المرجع!$C$1:$E$10,3)</f>
        <v>راسب</v>
      </c>
      <c r="BO46" s="19">
        <f t="shared" si="14"/>
        <v>44</v>
      </c>
    </row>
    <row r="47" spans="1:67" ht="28.5" hidden="1">
      <c r="A47" s="2">
        <v>2025382</v>
      </c>
      <c r="B47" s="23" t="s">
        <v>57</v>
      </c>
      <c r="C47" s="7">
        <v>1</v>
      </c>
      <c r="D47" s="5">
        <v>59</v>
      </c>
      <c r="E47" s="11">
        <f>VLOOKUP(D47,[1]المرجع!$B$3:$C$12,2)</f>
        <v>2</v>
      </c>
      <c r="F47" s="12" t="str">
        <f>VLOOKUP(E47,[1]المرجع!$D$3:$E$12,2)</f>
        <v>د</v>
      </c>
      <c r="G47" s="13">
        <f t="shared" si="0"/>
        <v>2</v>
      </c>
      <c r="H47" s="7">
        <v>2</v>
      </c>
      <c r="I47" s="5">
        <v>68</v>
      </c>
      <c r="J47" s="11">
        <f>VLOOKUP(I47,[1]المرجع!$B$3:$C$12,2)</f>
        <v>2.5</v>
      </c>
      <c r="K47" s="12" t="str">
        <f>VLOOKUP(J47,[1]المرجع!$D$3:$E$12,2)</f>
        <v>د+</v>
      </c>
      <c r="L47" s="13">
        <f t="shared" si="1"/>
        <v>5</v>
      </c>
      <c r="M47" s="7">
        <v>2</v>
      </c>
      <c r="N47" s="5">
        <v>25</v>
      </c>
      <c r="O47" s="11">
        <f>VLOOKUP(N47,[1]المرجع!$B$3:$C$12,2)</f>
        <v>0</v>
      </c>
      <c r="P47" s="12" t="str">
        <f>VLOOKUP(O47,[1]المرجع!$D$3:$E$12,2)</f>
        <v>ه</v>
      </c>
      <c r="Q47" s="13">
        <f t="shared" si="2"/>
        <v>0</v>
      </c>
      <c r="R47" s="7">
        <v>2</v>
      </c>
      <c r="S47" s="5">
        <v>50</v>
      </c>
      <c r="T47" s="11">
        <f>VLOOKUP(S47,[1]المرجع!$B$3:$C$12,2)</f>
        <v>2</v>
      </c>
      <c r="U47" s="12" t="str">
        <f>VLOOKUP(T47,[1]المرجع!$D$3:$E$12,2)</f>
        <v>د</v>
      </c>
      <c r="V47" s="13">
        <f t="shared" si="3"/>
        <v>4</v>
      </c>
      <c r="W47" s="7">
        <v>2</v>
      </c>
      <c r="X47" s="5">
        <v>34</v>
      </c>
      <c r="Y47" s="11">
        <f>VLOOKUP(X47,[1]المرجع!$B$3:$C$12,2)</f>
        <v>0</v>
      </c>
      <c r="Z47" s="12" t="str">
        <f>VLOOKUP(Y47,[1]المرجع!$D$3:$E$12,2)</f>
        <v>ه</v>
      </c>
      <c r="AA47" s="13">
        <f t="shared" si="4"/>
        <v>0</v>
      </c>
      <c r="AB47" s="7">
        <v>2</v>
      </c>
      <c r="AC47" s="5">
        <v>33</v>
      </c>
      <c r="AD47" s="11">
        <f>VLOOKUP(AC47,[1]المرجع!$B$3:$C$12,2)</f>
        <v>0</v>
      </c>
      <c r="AE47" s="12" t="str">
        <f>VLOOKUP(AD47,[1]المرجع!$D$3:$E$12,2)</f>
        <v>ه</v>
      </c>
      <c r="AF47" s="13">
        <f t="shared" si="5"/>
        <v>0</v>
      </c>
      <c r="AG47" s="7">
        <v>2</v>
      </c>
      <c r="AH47" s="5">
        <v>35</v>
      </c>
      <c r="AI47" s="11">
        <f>VLOOKUP(AH47,[1]المرجع!$B$3:$C$12,2)</f>
        <v>0</v>
      </c>
      <c r="AJ47" s="12" t="str">
        <f>VLOOKUP(AI47,[1]المرجع!$D$3:$E$12,2)</f>
        <v>ه</v>
      </c>
      <c r="AK47" s="13">
        <f t="shared" si="6"/>
        <v>0</v>
      </c>
      <c r="AL47" s="7">
        <v>2</v>
      </c>
      <c r="AM47" s="5">
        <v>50</v>
      </c>
      <c r="AN47" s="11">
        <f>VLOOKUP(AM47,[1]المرجع!$B$3:$C$12,2)</f>
        <v>2</v>
      </c>
      <c r="AO47" s="12" t="str">
        <f>VLOOKUP(AN47,[1]المرجع!$D$3:$E$12,2)</f>
        <v>د</v>
      </c>
      <c r="AP47" s="13">
        <f t="shared" si="7"/>
        <v>4</v>
      </c>
      <c r="AQ47" s="7">
        <v>2</v>
      </c>
      <c r="AR47" s="5">
        <v>5</v>
      </c>
      <c r="AS47" s="11">
        <f>VLOOKUP(AR47,[1]المرجع!$B$3:$C$12,2)</f>
        <v>0</v>
      </c>
      <c r="AT47" s="12" t="str">
        <f>VLOOKUP(AS47,[1]المرجع!$D$3:$E$12,2)</f>
        <v>ه</v>
      </c>
      <c r="AU47" s="13">
        <f t="shared" si="8"/>
        <v>0</v>
      </c>
      <c r="AV47" s="7">
        <v>2</v>
      </c>
      <c r="AW47" s="5">
        <v>37</v>
      </c>
      <c r="AX47" s="11">
        <f>VLOOKUP(AW47,[1]المرجع!$B$3:$C$12,2)</f>
        <v>0</v>
      </c>
      <c r="AY47" s="12" t="str">
        <f>VLOOKUP(AX47,[1]المرجع!$D$3:$E$12,2)</f>
        <v>ه</v>
      </c>
      <c r="AZ47" s="13">
        <f t="shared" si="9"/>
        <v>0</v>
      </c>
      <c r="BA47" s="7">
        <v>2</v>
      </c>
      <c r="BB47" s="5">
        <v>25</v>
      </c>
      <c r="BC47" s="11">
        <f>VLOOKUP(BB47,[1]المرجع!$B$3:$C$12,2)</f>
        <v>0</v>
      </c>
      <c r="BD47" s="12" t="str">
        <f>VLOOKUP(BC47,[1]المرجع!$D$3:$E$12,2)</f>
        <v>ه</v>
      </c>
      <c r="BE47" s="13">
        <f t="shared" si="10"/>
        <v>0</v>
      </c>
      <c r="BF47" s="7">
        <v>2</v>
      </c>
      <c r="BG47" s="5">
        <v>37</v>
      </c>
      <c r="BH47" s="11">
        <f>VLOOKUP(BG47,[1]المرجع!$B$3:$C$12,2)</f>
        <v>0</v>
      </c>
      <c r="BI47" s="12" t="str">
        <f>VLOOKUP(BH47,[1]المرجع!$D$3:$E$12,2)</f>
        <v>ه</v>
      </c>
      <c r="BJ47" s="13">
        <f t="shared" si="11"/>
        <v>0</v>
      </c>
      <c r="BK47" s="15">
        <f t="shared" si="12"/>
        <v>15</v>
      </c>
      <c r="BL47" s="16">
        <f t="shared" si="13"/>
        <v>23</v>
      </c>
      <c r="BM47" s="17">
        <f t="shared" si="15"/>
        <v>0.65217391304347827</v>
      </c>
      <c r="BN47" s="18" t="str">
        <f>VLOOKUP(BM47,المرجع!$C$1:$E$10,3)</f>
        <v>راسب</v>
      </c>
      <c r="BO47" s="19">
        <f t="shared" si="14"/>
        <v>45</v>
      </c>
    </row>
    <row r="48" spans="1:67" ht="28.5" hidden="1">
      <c r="A48" s="2">
        <v>2025357</v>
      </c>
      <c r="B48" s="23" t="s">
        <v>59</v>
      </c>
      <c r="C48" s="7">
        <v>1</v>
      </c>
      <c r="D48" s="5">
        <v>19</v>
      </c>
      <c r="E48" s="11">
        <f>VLOOKUP(D48,[1]المرجع!$B$3:$C$12,2)</f>
        <v>0</v>
      </c>
      <c r="F48" s="12" t="str">
        <f>VLOOKUP(E48,[1]المرجع!$D$3:$E$12,2)</f>
        <v>ه</v>
      </c>
      <c r="G48" s="13">
        <f t="shared" si="0"/>
        <v>0</v>
      </c>
      <c r="H48" s="7">
        <v>2</v>
      </c>
      <c r="I48" s="5">
        <v>24</v>
      </c>
      <c r="J48" s="11">
        <f>VLOOKUP(I48,[1]المرجع!$B$3:$C$12,2)</f>
        <v>0</v>
      </c>
      <c r="K48" s="12" t="str">
        <f>VLOOKUP(J48,[1]المرجع!$D$3:$E$12,2)</f>
        <v>ه</v>
      </c>
      <c r="L48" s="13">
        <f t="shared" si="1"/>
        <v>0</v>
      </c>
      <c r="M48" s="7">
        <v>2</v>
      </c>
      <c r="N48" s="5">
        <v>57</v>
      </c>
      <c r="O48" s="11">
        <f>VLOOKUP(N48,[1]المرجع!$B$3:$C$12,2)</f>
        <v>2</v>
      </c>
      <c r="P48" s="12" t="str">
        <f>VLOOKUP(O48,[1]المرجع!$D$3:$E$12,2)</f>
        <v>د</v>
      </c>
      <c r="Q48" s="13">
        <f t="shared" si="2"/>
        <v>4</v>
      </c>
      <c r="R48" s="7">
        <v>2</v>
      </c>
      <c r="S48" s="5">
        <v>86</v>
      </c>
      <c r="T48" s="11">
        <f>VLOOKUP(S48,[1]المرجع!$B$3:$C$12,2)</f>
        <v>4.5</v>
      </c>
      <c r="U48" s="12" t="str">
        <f>VLOOKUP(T48,[1]المرجع!$D$3:$E$12,2)</f>
        <v>ب+</v>
      </c>
      <c r="V48" s="13">
        <f t="shared" si="3"/>
        <v>9</v>
      </c>
      <c r="W48" s="7">
        <v>2</v>
      </c>
      <c r="X48" s="5">
        <v>29</v>
      </c>
      <c r="Y48" s="11">
        <f>VLOOKUP(X48,[1]المرجع!$B$3:$C$12,2)</f>
        <v>0</v>
      </c>
      <c r="Z48" s="12" t="str">
        <f>VLOOKUP(Y48,[1]المرجع!$D$3:$E$12,2)</f>
        <v>ه</v>
      </c>
      <c r="AA48" s="13">
        <f t="shared" si="4"/>
        <v>0</v>
      </c>
      <c r="AB48" s="7">
        <v>2</v>
      </c>
      <c r="AC48" s="5">
        <v>18</v>
      </c>
      <c r="AD48" s="11">
        <f>VLOOKUP(AC48,[1]المرجع!$B$3:$C$12,2)</f>
        <v>0</v>
      </c>
      <c r="AE48" s="12" t="str">
        <f>VLOOKUP(AD48,[1]المرجع!$D$3:$E$12,2)</f>
        <v>ه</v>
      </c>
      <c r="AF48" s="13">
        <f t="shared" si="5"/>
        <v>0</v>
      </c>
      <c r="AG48" s="7">
        <v>2</v>
      </c>
      <c r="AH48" s="5">
        <v>30</v>
      </c>
      <c r="AI48" s="11">
        <f>VLOOKUP(AH48,[1]المرجع!$B$3:$C$12,2)</f>
        <v>0</v>
      </c>
      <c r="AJ48" s="12" t="str">
        <f>VLOOKUP(AI48,[1]المرجع!$D$3:$E$12,2)</f>
        <v>ه</v>
      </c>
      <c r="AK48" s="13">
        <f t="shared" si="6"/>
        <v>0</v>
      </c>
      <c r="AL48" s="7">
        <v>2</v>
      </c>
      <c r="AM48" s="5">
        <v>0</v>
      </c>
      <c r="AN48" s="11">
        <f>VLOOKUP(AM48,[1]المرجع!$B$3:$C$12,2)</f>
        <v>0</v>
      </c>
      <c r="AO48" s="12" t="str">
        <f>VLOOKUP(AN48,[1]المرجع!$D$3:$E$12,2)</f>
        <v>ه</v>
      </c>
      <c r="AP48" s="13">
        <f t="shared" si="7"/>
        <v>0</v>
      </c>
      <c r="AQ48" s="7">
        <v>2</v>
      </c>
      <c r="AR48" s="5">
        <v>27</v>
      </c>
      <c r="AS48" s="11">
        <f>VLOOKUP(AR48,[1]المرجع!$B$3:$C$12,2)</f>
        <v>0</v>
      </c>
      <c r="AT48" s="12" t="str">
        <f>VLOOKUP(AS48,[1]المرجع!$D$3:$E$12,2)</f>
        <v>ه</v>
      </c>
      <c r="AU48" s="13">
        <f t="shared" si="8"/>
        <v>0</v>
      </c>
      <c r="AV48" s="7">
        <v>2</v>
      </c>
      <c r="AW48" s="5">
        <v>0</v>
      </c>
      <c r="AX48" s="11">
        <f>VLOOKUP(AW48,[1]المرجع!$B$3:$C$12,2)</f>
        <v>0</v>
      </c>
      <c r="AY48" s="12" t="str">
        <f>VLOOKUP(AX48,[1]المرجع!$D$3:$E$12,2)</f>
        <v>ه</v>
      </c>
      <c r="AZ48" s="13">
        <f t="shared" si="9"/>
        <v>0</v>
      </c>
      <c r="BA48" s="7">
        <v>2</v>
      </c>
      <c r="BB48" s="5">
        <v>22</v>
      </c>
      <c r="BC48" s="11">
        <f>VLOOKUP(BB48,[1]المرجع!$B$3:$C$12,2)</f>
        <v>0</v>
      </c>
      <c r="BD48" s="12" t="str">
        <f>VLOOKUP(BC48,[1]المرجع!$D$3:$E$12,2)</f>
        <v>ه</v>
      </c>
      <c r="BE48" s="13">
        <f t="shared" si="10"/>
        <v>0</v>
      </c>
      <c r="BF48" s="7">
        <v>2</v>
      </c>
      <c r="BG48" s="5">
        <v>38</v>
      </c>
      <c r="BH48" s="11">
        <f>VLOOKUP(BG48,[1]المرجع!$B$3:$C$12,2)</f>
        <v>0</v>
      </c>
      <c r="BI48" s="12" t="str">
        <f>VLOOKUP(BH48,[1]المرجع!$D$3:$E$12,2)</f>
        <v>ه</v>
      </c>
      <c r="BJ48" s="13">
        <f t="shared" si="11"/>
        <v>0</v>
      </c>
      <c r="BK48" s="15">
        <f t="shared" si="12"/>
        <v>13</v>
      </c>
      <c r="BL48" s="16">
        <f t="shared" si="13"/>
        <v>23</v>
      </c>
      <c r="BM48" s="17">
        <f t="shared" si="15"/>
        <v>0.56521739130434778</v>
      </c>
      <c r="BN48" s="18" t="str">
        <f>VLOOKUP(BM48,المرجع!$C$1:$E$10,3)</f>
        <v>راسب</v>
      </c>
      <c r="BO48" s="19">
        <f t="shared" si="14"/>
        <v>46</v>
      </c>
    </row>
    <row r="49" spans="2:3" ht="14.5">
      <c r="B49"/>
      <c r="C49"/>
    </row>
    <row r="50" spans="2:3" ht="14.5">
      <c r="B50"/>
      <c r="C50"/>
    </row>
    <row r="51" spans="2:3" ht="14.5">
      <c r="B51"/>
      <c r="C51"/>
    </row>
    <row r="52" spans="2:3" ht="14.5">
      <c r="B52"/>
      <c r="C52"/>
    </row>
    <row r="53" spans="2:3" ht="14.5">
      <c r="B53"/>
      <c r="C53"/>
    </row>
    <row r="54" spans="2:3" ht="14.5">
      <c r="B54"/>
      <c r="C54"/>
    </row>
    <row r="55" spans="2:3" ht="14.5">
      <c r="B55"/>
      <c r="C55"/>
    </row>
    <row r="56" spans="2:3" ht="14.5">
      <c r="B56"/>
      <c r="C56"/>
    </row>
    <row r="57" spans="2:3" ht="14.5">
      <c r="B57"/>
      <c r="C57"/>
    </row>
    <row r="58" spans="2:3" ht="14.5">
      <c r="B58"/>
      <c r="C58"/>
    </row>
    <row r="59" spans="2:3" ht="14.5">
      <c r="B59"/>
      <c r="C59"/>
    </row>
    <row r="60" spans="2:3" ht="14.5">
      <c r="B60"/>
      <c r="C60"/>
    </row>
    <row r="61" spans="2:3" ht="14.5">
      <c r="B61"/>
      <c r="C61"/>
    </row>
    <row r="62" spans="2:3" ht="14.5">
      <c r="B62"/>
      <c r="C62"/>
    </row>
    <row r="63" spans="2:3" ht="14.5">
      <c r="B63"/>
      <c r="C63"/>
    </row>
    <row r="64" spans="2:3" ht="14.5">
      <c r="B64"/>
      <c r="C64"/>
    </row>
    <row r="65" spans="2:3" ht="14.5">
      <c r="B65"/>
      <c r="C65"/>
    </row>
    <row r="66" spans="2:3" ht="14.5">
      <c r="B66"/>
      <c r="C66"/>
    </row>
    <row r="67" spans="2:3" ht="14.5">
      <c r="B67"/>
      <c r="C67"/>
    </row>
    <row r="68" spans="2:3" ht="14.5">
      <c r="B68"/>
      <c r="C68"/>
    </row>
    <row r="69" spans="2:3" ht="14.5">
      <c r="B69"/>
      <c r="C69"/>
    </row>
    <row r="70" spans="2:3" ht="14.5">
      <c r="B70"/>
      <c r="C70"/>
    </row>
    <row r="71" spans="2:3" ht="14.5">
      <c r="B71"/>
      <c r="C71"/>
    </row>
    <row r="72" spans="2:3" ht="14.5">
      <c r="B72"/>
      <c r="C72"/>
    </row>
    <row r="73" spans="2:3" ht="14.5">
      <c r="B73"/>
      <c r="C73"/>
    </row>
    <row r="74" spans="2:3" ht="14.5">
      <c r="B74"/>
      <c r="C74"/>
    </row>
    <row r="75" spans="2:3" ht="14.5">
      <c r="B75"/>
      <c r="C75"/>
    </row>
    <row r="76" spans="2:3" ht="14.5">
      <c r="B76"/>
      <c r="C76"/>
    </row>
    <row r="77" spans="2:3" ht="14.5">
      <c r="B77"/>
      <c r="C77"/>
    </row>
    <row r="78" spans="2:3" ht="14.5">
      <c r="B78"/>
      <c r="C78"/>
    </row>
    <row r="79" spans="2:3" ht="14.5">
      <c r="B79"/>
      <c r="C79"/>
    </row>
    <row r="80" spans="2:3" ht="14.5">
      <c r="B80"/>
      <c r="C80"/>
    </row>
    <row r="81" spans="2:3" ht="14.5">
      <c r="B81"/>
      <c r="C81"/>
    </row>
    <row r="82" spans="2:3" ht="14.5">
      <c r="B82"/>
      <c r="C82"/>
    </row>
    <row r="83" spans="2:3" ht="14.5">
      <c r="B83"/>
      <c r="C83"/>
    </row>
    <row r="84" spans="2:3" ht="14.5">
      <c r="B84"/>
      <c r="C84"/>
    </row>
    <row r="85" spans="2:3" ht="14.5">
      <c r="B85"/>
      <c r="C85"/>
    </row>
    <row r="86" spans="2:3" ht="14.5">
      <c r="B86"/>
      <c r="C86"/>
    </row>
    <row r="87" spans="2:3" ht="14.5">
      <c r="B87"/>
      <c r="C87"/>
    </row>
    <row r="88" spans="2:3" ht="14.5">
      <c r="B88"/>
      <c r="C88"/>
    </row>
    <row r="89" spans="2:3" ht="14.5">
      <c r="B89"/>
      <c r="C89"/>
    </row>
    <row r="90" spans="2:3" ht="14.5">
      <c r="B90"/>
      <c r="C90"/>
    </row>
    <row r="91" spans="2:3" ht="14.5">
      <c r="B91"/>
      <c r="C91"/>
    </row>
    <row r="92" spans="2:3" ht="14.5">
      <c r="B92"/>
      <c r="C92"/>
    </row>
    <row r="93" spans="2:3" ht="14.5">
      <c r="B93"/>
      <c r="C93"/>
    </row>
    <row r="94" spans="2:3" ht="14.5">
      <c r="B94"/>
      <c r="C94"/>
    </row>
    <row r="95" spans="2:3" ht="14.5">
      <c r="B95"/>
      <c r="C95"/>
    </row>
    <row r="96" spans="2:3" ht="14.5">
      <c r="B96"/>
      <c r="C96"/>
    </row>
    <row r="97" spans="2:3" ht="14.5">
      <c r="B97"/>
      <c r="C97"/>
    </row>
    <row r="98" spans="2:3" ht="14.5">
      <c r="B98"/>
      <c r="C98"/>
    </row>
    <row r="99" spans="2:3" ht="14.5">
      <c r="B99"/>
      <c r="C99"/>
    </row>
    <row r="100" spans="2:3" ht="14.5">
      <c r="B100"/>
      <c r="C100"/>
    </row>
    <row r="101" spans="2:3" ht="14.5">
      <c r="B101"/>
      <c r="C101"/>
    </row>
    <row r="102" spans="2:3" ht="14.5">
      <c r="B102"/>
      <c r="C102"/>
    </row>
    <row r="103" spans="2:3" ht="14.5">
      <c r="B103"/>
      <c r="C103"/>
    </row>
    <row r="104" spans="2:3" ht="14.5">
      <c r="B104"/>
      <c r="C104"/>
    </row>
    <row r="105" spans="2:3" ht="14.5">
      <c r="B105"/>
      <c r="C105"/>
    </row>
    <row r="106" spans="2:3" ht="14.5">
      <c r="B106"/>
      <c r="C106"/>
    </row>
    <row r="107" spans="2:3" ht="14.5">
      <c r="B107"/>
      <c r="C107"/>
    </row>
  </sheetData>
  <autoFilter ref="A2:BO48" xr:uid="{00000000-0001-0000-0000-000000000000}">
    <filterColumn colId="1">
      <filters>
        <filter val="إبراهيم مودي غماني"/>
      </filters>
    </filterColumn>
    <sortState xmlns:xlrd2="http://schemas.microsoft.com/office/spreadsheetml/2017/richdata2" ref="A3:BO48">
      <sortCondition ref="BO2:BO48"/>
    </sortState>
  </autoFilter>
  <conditionalFormatting sqref="BN2">
    <cfRule type="containsText" dxfId="2" priority="1" operator="containsText" text="راسب">
      <formula>NOT(ISERROR(SEARCH("راسب",BN2)))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FED2-2DF5-48C9-BE82-C140DE61BE1C}">
  <sheetPr>
    <tabColor rgb="FFFF0000"/>
  </sheetPr>
  <dimension ref="A1:E10"/>
  <sheetViews>
    <sheetView rightToLeft="1" workbookViewId="0">
      <selection activeCell="C10" sqref="C10"/>
    </sheetView>
  </sheetViews>
  <sheetFormatPr defaultRowHeight="14.5"/>
  <cols>
    <col min="5" max="5" width="11.26953125" bestFit="1" customWidth="1"/>
  </cols>
  <sheetData>
    <row r="1" spans="1:5" ht="49.5">
      <c r="A1" s="20" t="s">
        <v>83</v>
      </c>
      <c r="B1" s="20" t="s">
        <v>60</v>
      </c>
      <c r="C1" s="20" t="s">
        <v>84</v>
      </c>
      <c r="D1" s="20" t="s">
        <v>85</v>
      </c>
      <c r="E1" s="20" t="s">
        <v>13</v>
      </c>
    </row>
    <row r="2" spans="1:5" ht="29.5">
      <c r="A2" s="21">
        <v>0</v>
      </c>
      <c r="B2" s="21">
        <v>0</v>
      </c>
      <c r="C2" s="21">
        <v>0</v>
      </c>
      <c r="D2" s="22" t="s">
        <v>70</v>
      </c>
      <c r="E2" s="21" t="s">
        <v>82</v>
      </c>
    </row>
    <row r="3" spans="1:5" ht="29.5">
      <c r="A3" s="21">
        <v>50</v>
      </c>
      <c r="B3" s="21">
        <v>2</v>
      </c>
      <c r="C3" s="21">
        <v>2</v>
      </c>
      <c r="D3" s="22" t="s">
        <v>69</v>
      </c>
      <c r="E3" s="21" t="s">
        <v>86</v>
      </c>
    </row>
    <row r="4" spans="1:5" ht="29.5">
      <c r="A4" s="21">
        <v>65</v>
      </c>
      <c r="B4" s="21">
        <v>2.5</v>
      </c>
      <c r="C4" s="21">
        <v>2.1</v>
      </c>
      <c r="D4" s="22" t="s">
        <v>65</v>
      </c>
      <c r="E4" s="21" t="s">
        <v>81</v>
      </c>
    </row>
    <row r="5" spans="1:5" ht="29.5">
      <c r="A5" s="21">
        <v>70</v>
      </c>
      <c r="B5" s="21">
        <v>3</v>
      </c>
      <c r="C5" s="21">
        <v>2.6</v>
      </c>
      <c r="D5" s="22" t="s">
        <v>66</v>
      </c>
      <c r="E5" s="21" t="s">
        <v>80</v>
      </c>
    </row>
    <row r="6" spans="1:5" ht="29.5">
      <c r="A6" s="21">
        <v>75</v>
      </c>
      <c r="B6" s="21">
        <v>3.5</v>
      </c>
      <c r="C6" s="21">
        <v>3.1</v>
      </c>
      <c r="D6" s="22" t="s">
        <v>68</v>
      </c>
      <c r="E6" s="21" t="s">
        <v>79</v>
      </c>
    </row>
    <row r="7" spans="1:5" ht="29.5">
      <c r="A7" s="21">
        <v>80</v>
      </c>
      <c r="B7" s="21">
        <v>4</v>
      </c>
      <c r="C7" s="21">
        <v>3.6</v>
      </c>
      <c r="D7" s="22" t="s">
        <v>64</v>
      </c>
      <c r="E7" s="21" t="s">
        <v>78</v>
      </c>
    </row>
    <row r="8" spans="1:5" ht="29.5">
      <c r="A8" s="21">
        <v>85</v>
      </c>
      <c r="B8" s="21">
        <v>4.5</v>
      </c>
      <c r="C8" s="21">
        <v>4.0999999999999996</v>
      </c>
      <c r="D8" s="22" t="s">
        <v>63</v>
      </c>
      <c r="E8" s="21" t="s">
        <v>77</v>
      </c>
    </row>
    <row r="9" spans="1:5" ht="29.5">
      <c r="A9" s="21">
        <v>90</v>
      </c>
      <c r="B9" s="21">
        <v>4.75</v>
      </c>
      <c r="C9" s="21">
        <v>4.5999999999999996</v>
      </c>
      <c r="D9" s="22" t="s">
        <v>67</v>
      </c>
      <c r="E9" s="21" t="s">
        <v>76</v>
      </c>
    </row>
    <row r="10" spans="1:5" ht="29.5">
      <c r="A10" s="21">
        <v>95</v>
      </c>
      <c r="B10" s="21">
        <v>5</v>
      </c>
      <c r="C10" s="21">
        <v>4.76</v>
      </c>
      <c r="D10" s="22" t="s">
        <v>62</v>
      </c>
      <c r="E10" s="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6C6B-02BC-456B-8928-ED086D6CBFC6}">
  <dimension ref="A1:H29"/>
  <sheetViews>
    <sheetView rightToLeft="1" tabSelected="1" view="pageLayout" topLeftCell="A35" zoomScaleNormal="100" workbookViewId="0">
      <selection activeCell="D6" sqref="D6:H6"/>
    </sheetView>
  </sheetViews>
  <sheetFormatPr defaultRowHeight="14.5"/>
  <cols>
    <col min="2" max="2" width="22.08984375" bestFit="1" customWidth="1"/>
    <col min="3" max="3" width="9.08984375" customWidth="1"/>
    <col min="4" max="4" width="6.90625" bestFit="1" customWidth="1"/>
  </cols>
  <sheetData>
    <row r="1" spans="1:8">
      <c r="A1" s="46"/>
      <c r="B1" s="47"/>
      <c r="C1" s="47"/>
      <c r="D1" s="47"/>
      <c r="E1" s="47"/>
      <c r="F1" s="47"/>
      <c r="G1" s="47"/>
      <c r="H1" s="48"/>
    </row>
    <row r="2" spans="1:8">
      <c r="A2" s="49"/>
      <c r="H2" s="50"/>
    </row>
    <row r="3" spans="1:8">
      <c r="A3" s="49"/>
      <c r="H3" s="50"/>
    </row>
    <row r="4" spans="1:8">
      <c r="A4" s="49"/>
      <c r="H4" s="50"/>
    </row>
    <row r="5" spans="1:8" ht="28.5">
      <c r="A5" s="92" t="s">
        <v>135</v>
      </c>
      <c r="B5" s="93"/>
      <c r="C5" s="94"/>
      <c r="D5" s="95">
        <v>2025458</v>
      </c>
      <c r="E5" s="96"/>
      <c r="F5" s="96"/>
      <c r="G5" s="96"/>
      <c r="H5" s="97"/>
    </row>
    <row r="6" spans="1:8" ht="30">
      <c r="A6" s="92" t="s">
        <v>136</v>
      </c>
      <c r="B6" s="93"/>
      <c r="C6" s="94"/>
      <c r="D6" s="98" t="str">
        <f>_xlfn.XLOOKUP($D$5,ورقة1!A3:A48,ورقة1!B3:B48)</f>
        <v xml:space="preserve">بونا أبوبكر توري </v>
      </c>
      <c r="E6" s="99"/>
      <c r="F6" s="99"/>
      <c r="G6" s="99"/>
      <c r="H6" s="100"/>
    </row>
    <row r="7" spans="1:8" ht="25.5">
      <c r="A7" s="92" t="s">
        <v>137</v>
      </c>
      <c r="B7" s="93"/>
      <c r="C7" s="94"/>
      <c r="D7" s="101" t="s">
        <v>138</v>
      </c>
      <c r="E7" s="102"/>
      <c r="F7" s="102"/>
      <c r="G7" s="102"/>
      <c r="H7" s="103"/>
    </row>
    <row r="8" spans="1:8" ht="16" thickBot="1">
      <c r="A8" s="74" t="s">
        <v>139</v>
      </c>
      <c r="B8" s="75"/>
      <c r="C8" s="76"/>
      <c r="D8" s="77" t="s">
        <v>156</v>
      </c>
      <c r="E8" s="78"/>
      <c r="F8" s="78"/>
      <c r="G8" s="78"/>
      <c r="H8" s="79"/>
    </row>
    <row r="9" spans="1:8" ht="24.65" customHeight="1">
      <c r="A9" s="80" t="s">
        <v>140</v>
      </c>
      <c r="B9" s="83" t="s">
        <v>141</v>
      </c>
      <c r="C9" s="83"/>
      <c r="D9" s="83"/>
      <c r="E9" s="83"/>
      <c r="F9" s="83"/>
      <c r="G9" s="83"/>
      <c r="H9" s="84"/>
    </row>
    <row r="10" spans="1:8" ht="21" customHeight="1">
      <c r="A10" s="81"/>
      <c r="B10" s="85" t="s">
        <v>142</v>
      </c>
      <c r="C10" s="85"/>
      <c r="D10" s="86"/>
      <c r="E10" s="87" t="s">
        <v>143</v>
      </c>
      <c r="F10" s="89" t="s">
        <v>13</v>
      </c>
      <c r="G10" s="89"/>
      <c r="H10" s="90" t="s">
        <v>144</v>
      </c>
    </row>
    <row r="11" spans="1:8" ht="25.75" customHeight="1" thickBot="1">
      <c r="A11" s="82"/>
      <c r="B11" s="24" t="s">
        <v>145</v>
      </c>
      <c r="C11" s="25" t="s">
        <v>146</v>
      </c>
      <c r="D11" s="25" t="s">
        <v>147</v>
      </c>
      <c r="E11" s="88"/>
      <c r="F11" s="26" t="s">
        <v>148</v>
      </c>
      <c r="G11" s="27" t="s">
        <v>149</v>
      </c>
      <c r="H11" s="91"/>
    </row>
    <row r="12" spans="1:8" ht="22.25" customHeight="1">
      <c r="A12" s="28" t="str">
        <f>_xlfn.UNICHAR(ROW()-11+9311)</f>
        <v>①</v>
      </c>
      <c r="B12" s="43" t="s">
        <v>2</v>
      </c>
      <c r="C12" s="51" t="s">
        <v>157</v>
      </c>
      <c r="D12" s="29">
        <f>_xlfn.XLOOKUP($D$5,ورقة1!A3:A48,ورقة1!C3:C48)</f>
        <v>1</v>
      </c>
      <c r="E12" s="52">
        <f>_xlfn.XLOOKUP($D$5,ورقة1!A3:A48,ورقة1!D3:D48)</f>
        <v>98</v>
      </c>
      <c r="F12" s="30">
        <f>_xlfn.XLOOKUP($D$5,ورقة1!A3:A48,ورقة1!E3:E48)</f>
        <v>5</v>
      </c>
      <c r="G12" s="31" t="str">
        <f>_xlfn.XLOOKUP($D$5,ورقة1!A3:A48,ورقة1!F3:F48)</f>
        <v xml:space="preserve">أ+ </v>
      </c>
      <c r="H12" s="53">
        <f>_xlfn.XLOOKUP($D$5,ورقة1!A3:A48,ورقة1!G3:G48)</f>
        <v>5</v>
      </c>
    </row>
    <row r="13" spans="1:8" ht="22.25" customHeight="1">
      <c r="A13" s="28" t="str">
        <f t="shared" ref="A13:A23" si="0">_xlfn.UNICHAR(ROW()-11+9311)</f>
        <v>②</v>
      </c>
      <c r="B13" s="44" t="s">
        <v>159</v>
      </c>
      <c r="C13" s="51" t="s">
        <v>158</v>
      </c>
      <c r="D13" s="32">
        <f>_xlfn.XLOOKUP($D$5,ورقة1!A3:A48,ورقة1!H3:H48)</f>
        <v>2</v>
      </c>
      <c r="E13" s="52">
        <f>_xlfn.XLOOKUP($D$5,ورقة1!A3:A48,ورقة1!I3:I48)</f>
        <v>54</v>
      </c>
      <c r="F13" s="30">
        <f>_xlfn.XLOOKUP($D$5,ورقة1!A3:A48,ورقة1!J3:J48)</f>
        <v>2</v>
      </c>
      <c r="G13" s="31" t="str">
        <f>_xlfn.XLOOKUP($D$5,ورقة1!A3:A48,ورقة1!K3:K48)</f>
        <v>د</v>
      </c>
      <c r="H13" s="53">
        <f>_xlfn.XLOOKUP($D$5,ورقة1!A3:A48,ورقة1!L3:L48)</f>
        <v>4</v>
      </c>
    </row>
    <row r="14" spans="1:8" ht="22.25" customHeight="1">
      <c r="A14" s="28" t="str">
        <f t="shared" si="0"/>
        <v>③</v>
      </c>
      <c r="B14" s="44" t="s">
        <v>4</v>
      </c>
      <c r="C14" s="51" t="s">
        <v>160</v>
      </c>
      <c r="D14" s="29">
        <f>_xlfn.XLOOKUP($D$5,ورقة1!A3:A48,ورقة1!M3:M48)</f>
        <v>2</v>
      </c>
      <c r="E14" s="52">
        <f>_xlfn.XLOOKUP($D$5,ورقة1!A3:A48,ورقة1!N3:N48)</f>
        <v>94</v>
      </c>
      <c r="F14" s="30">
        <f>_xlfn.XLOOKUP($D$5,ورقة1!A3:A48,ورقة1!O3:O48)</f>
        <v>4.75</v>
      </c>
      <c r="G14" s="33" t="str">
        <f>_xlfn.XLOOKUP($D$5,ورقة1!A3:A48,ورقة1!P3:P48)</f>
        <v>أ</v>
      </c>
      <c r="H14" s="53">
        <f>_xlfn.XLOOKUP($D$5,ورقة1!A3:A48,ورقة1!Q3:Q48)</f>
        <v>9.5</v>
      </c>
    </row>
    <row r="15" spans="1:8" ht="22.25" customHeight="1">
      <c r="A15" s="28" t="str">
        <f t="shared" si="0"/>
        <v>④</v>
      </c>
      <c r="B15" s="44" t="s">
        <v>5</v>
      </c>
      <c r="C15" s="51" t="s">
        <v>161</v>
      </c>
      <c r="D15" s="29">
        <f>_xlfn.XLOOKUP($D$5,ورقة1!A3:A48,ورقة1!R3:R48)</f>
        <v>2</v>
      </c>
      <c r="E15" s="52">
        <f>_xlfn.XLOOKUP($D$5,ورقة1!A3:A48,ورقة1!S3:S48)</f>
        <v>80</v>
      </c>
      <c r="F15" s="30">
        <f>_xlfn.XLOOKUP($D$5,ورقة1!A3:A48,ورقة1!T3:T48)</f>
        <v>4</v>
      </c>
      <c r="G15" s="31" t="str">
        <f>_xlfn.XLOOKUP($D$5,ورقة1!A3:A48,ورقة1!U3:U48)</f>
        <v>ب</v>
      </c>
      <c r="H15" s="53">
        <f>_xlfn.XLOOKUP($D$5,ورقة1!A3:A48,ورقة1!V3:V48)</f>
        <v>8</v>
      </c>
    </row>
    <row r="16" spans="1:8" ht="22.25" customHeight="1">
      <c r="A16" s="28" t="str">
        <f t="shared" si="0"/>
        <v>⑤</v>
      </c>
      <c r="B16" s="44" t="s">
        <v>6</v>
      </c>
      <c r="C16" s="51" t="s">
        <v>160</v>
      </c>
      <c r="D16" s="29">
        <f>_xlfn.XLOOKUP($D$5,ورقة1!A3:A48,ورقة1!W3:W48)</f>
        <v>2</v>
      </c>
      <c r="E16" s="52">
        <f>_xlfn.XLOOKUP($D$5,ورقة1!A3:A48,ورقة1!X3:X48)</f>
        <v>80</v>
      </c>
      <c r="F16" s="30">
        <f>_xlfn.XLOOKUP($D$5,ورقة1!A3:A48,ورقة1!Y3:Y48)</f>
        <v>4</v>
      </c>
      <c r="G16" s="31" t="str">
        <f>_xlfn.XLOOKUP($D$5,ورقة1!A3:A48,ورقة1!Z3:Z48)</f>
        <v>ب</v>
      </c>
      <c r="H16" s="53">
        <f>_xlfn.XLOOKUP($D$5,ورقة1!A3:A48,ورقة1!AA3:AA48)</f>
        <v>8</v>
      </c>
    </row>
    <row r="17" spans="1:8" ht="22.25" customHeight="1">
      <c r="A17" s="28" t="str">
        <f t="shared" si="0"/>
        <v>⑥</v>
      </c>
      <c r="B17" s="44" t="s">
        <v>7</v>
      </c>
      <c r="C17" s="51" t="s">
        <v>157</v>
      </c>
      <c r="D17" s="29">
        <f>_xlfn.XLOOKUP($D$5,ورقة1!A3:A48,ورقة1!AB3:AB48)</f>
        <v>2</v>
      </c>
      <c r="E17" s="52">
        <f>_xlfn.XLOOKUP($D$5,ورقة1!A3:A48,ورقة1!AC3:AC48)</f>
        <v>84</v>
      </c>
      <c r="F17" s="30">
        <f>_xlfn.XLOOKUP($D$5,ورقة1!A3:A48,ورقة1!AD3:AD48)</f>
        <v>4</v>
      </c>
      <c r="G17" s="31" t="str">
        <f>_xlfn.XLOOKUP($D$5,ورقة1!A3:A48,ورقة1!AE3:AE48)</f>
        <v>ب</v>
      </c>
      <c r="H17" s="53">
        <f>_xlfn.XLOOKUP($D$5,ورقة1!A3:A48,ورقة1!AF3:AF48)</f>
        <v>8</v>
      </c>
    </row>
    <row r="18" spans="1:8" ht="22.25" customHeight="1">
      <c r="A18" s="28" t="str">
        <f t="shared" si="0"/>
        <v>⑦</v>
      </c>
      <c r="B18" s="44" t="s">
        <v>8</v>
      </c>
      <c r="C18" s="51" t="s">
        <v>160</v>
      </c>
      <c r="D18" s="29">
        <f>_xlfn.XLOOKUP($D$5,ورقة1!A3:A48,ورقة1!AG3:AG48)</f>
        <v>2</v>
      </c>
      <c r="E18" s="52">
        <f>_xlfn.XLOOKUP($D$5,ورقة1!A3:A48,ورقة1!AH3:AH48)</f>
        <v>99</v>
      </c>
      <c r="F18" s="30">
        <f>_xlfn.XLOOKUP($D$5,ورقة1!A3:A48,ورقة1!AI3:AI48)</f>
        <v>5</v>
      </c>
      <c r="G18" s="31" t="str">
        <f>_xlfn.XLOOKUP($D$5,ورقة1!A3:A48,ورقة1!AJ3:AJ48)</f>
        <v xml:space="preserve">أ+ </v>
      </c>
      <c r="H18" s="53">
        <f>_xlfn.XLOOKUP($D$5,ورقة1!A3:A48,ورقة1!AK3:AK48)</f>
        <v>10</v>
      </c>
    </row>
    <row r="19" spans="1:8" ht="22.25" customHeight="1">
      <c r="A19" s="28" t="str">
        <f t="shared" si="0"/>
        <v>⑧</v>
      </c>
      <c r="B19" s="44" t="s">
        <v>9</v>
      </c>
      <c r="C19" s="51" t="s">
        <v>162</v>
      </c>
      <c r="D19" s="29">
        <f>_xlfn.XLOOKUP($D$5,ورقة1!A3:A48,ورقة1!AL3:AL48)</f>
        <v>2</v>
      </c>
      <c r="E19" s="52">
        <f>_xlfn.XLOOKUP($D$5,ورقة1!A3:A48,ورقة1!AM3:AM48)</f>
        <v>37</v>
      </c>
      <c r="F19" s="30">
        <f>_xlfn.XLOOKUP($D$5,ورقة1!A3:A48,ورقة1!AN3:AN48)</f>
        <v>0</v>
      </c>
      <c r="G19" s="31" t="str">
        <f>_xlfn.XLOOKUP($D$5,ورقة1!A3:A48,ورقة1!AO3:AO48)</f>
        <v>ه</v>
      </c>
      <c r="H19" s="53">
        <f>_xlfn.XLOOKUP($D$5,ورقة1!A3:A48,ورقة1!AP3:AP48)</f>
        <v>0</v>
      </c>
    </row>
    <row r="20" spans="1:8" ht="22.25" customHeight="1">
      <c r="A20" s="28" t="str">
        <f t="shared" si="0"/>
        <v>⑨</v>
      </c>
      <c r="B20" s="44" t="s">
        <v>155</v>
      </c>
      <c r="C20" s="51" t="s">
        <v>160</v>
      </c>
      <c r="D20" s="29">
        <f>_xlfn.XLOOKUP($D$5,ورقة1!A3:A48,ورقة1!AQ3:AQ48)</f>
        <v>2</v>
      </c>
      <c r="E20" s="52">
        <f>_xlfn.XLOOKUP($D$5,ورقة1!A3:A48,ورقة1!AR3:AR48)</f>
        <v>97</v>
      </c>
      <c r="F20" s="30">
        <f>_xlfn.XLOOKUP($D$5,ورقة1!A3:A48,ورقة1!AS3:AS48)</f>
        <v>5</v>
      </c>
      <c r="G20" s="31" t="str">
        <f>_xlfn.XLOOKUP($D$5,ورقة1!A3:A48,ورقة1!AT3:AT48)</f>
        <v xml:space="preserve">أ+ </v>
      </c>
      <c r="H20" s="53">
        <f>_xlfn.XLOOKUP($D$5,ورقة1!A3:A48,ورقة1!AU3:AU48)</f>
        <v>10</v>
      </c>
    </row>
    <row r="21" spans="1:8" ht="22.25" customHeight="1">
      <c r="A21" s="28" t="str">
        <f t="shared" si="0"/>
        <v>⑩</v>
      </c>
      <c r="B21" s="44" t="s">
        <v>10</v>
      </c>
      <c r="C21" s="51" t="s">
        <v>163</v>
      </c>
      <c r="D21" s="29">
        <f>_xlfn.XLOOKUP($D$5,ورقة1!A3:A48,ورقة1!AV3:AV48)</f>
        <v>2</v>
      </c>
      <c r="E21" s="52">
        <f>_xlfn.XLOOKUP($D$5,ورقة1!A3:A48,ورقة1!AW3:AW48)</f>
        <v>60</v>
      </c>
      <c r="F21" s="30">
        <f>_xlfn.XLOOKUP($D$5,ورقة1!A3:A48,ورقة1!AX3:AX48)</f>
        <v>2</v>
      </c>
      <c r="G21" s="31" t="str">
        <f>_xlfn.XLOOKUP($D$5,ورقة1!A3:A48,ورقة1!AY3:AY48)</f>
        <v>د</v>
      </c>
      <c r="H21" s="53">
        <f>_xlfn.XLOOKUP($D$5,ورقة1!A3:A48,ورقة1!AZ3:AZ48)</f>
        <v>4</v>
      </c>
    </row>
    <row r="22" spans="1:8" ht="22.25" customHeight="1">
      <c r="A22" s="28" t="str">
        <f t="shared" si="0"/>
        <v>⑪</v>
      </c>
      <c r="B22" s="44" t="s">
        <v>11</v>
      </c>
      <c r="C22" s="51" t="s">
        <v>164</v>
      </c>
      <c r="D22" s="29">
        <f>_xlfn.XLOOKUP($D$5,ورقة1!A3:A48,ورقة1!BA3:BA48)</f>
        <v>2</v>
      </c>
      <c r="E22" s="52">
        <f>_xlfn.XLOOKUP($D$5,ورقة1!A3:A48,ورقة1!BB3:BB48)</f>
        <v>97</v>
      </c>
      <c r="F22" s="30">
        <f>_xlfn.XLOOKUP($D$5,ورقة1!A3:A48,ورقة1!BC3:BC48)</f>
        <v>5</v>
      </c>
      <c r="G22" s="31" t="str">
        <f>_xlfn.XLOOKUP($D$5,ورقة1!A3:A48,ورقة1!BD3:BD48)</f>
        <v xml:space="preserve">أ+ </v>
      </c>
      <c r="H22" s="53">
        <f>_xlfn.XLOOKUP($D$5,ورقة1!A3:A48,ورقة1!BE3:BE48)</f>
        <v>10</v>
      </c>
    </row>
    <row r="23" spans="1:8" ht="22.25" customHeight="1" thickBot="1">
      <c r="A23" s="28" t="str">
        <f t="shared" si="0"/>
        <v>⑫</v>
      </c>
      <c r="B23" s="45" t="s">
        <v>12</v>
      </c>
      <c r="C23" s="51" t="s">
        <v>164</v>
      </c>
      <c r="D23" s="34">
        <f>_xlfn.XLOOKUP($D$5,ورقة1!A3:A48,ورقة1!BF3:BF48)</f>
        <v>2</v>
      </c>
      <c r="E23" s="35">
        <f>_xlfn.XLOOKUP($D$5,ورقة1!A3:A48,ورقة1!BG3:BG48)</f>
        <v>80</v>
      </c>
      <c r="F23" s="36">
        <f>_xlfn.XLOOKUP($D$5,ورقة1!A3:A48,ورقة1!BH3:BH48)</f>
        <v>4</v>
      </c>
      <c r="G23" s="37" t="str">
        <f>_xlfn.XLOOKUP($D$5,ورقة1!A3:A48,ورقة1!BI3:BI48)</f>
        <v>ب</v>
      </c>
      <c r="H23" s="54">
        <f>_xlfn.XLOOKUP($D$5,ورقة1!A3:A48,ورقة1!BJ3:BJ48)</f>
        <v>8</v>
      </c>
    </row>
    <row r="24" spans="1:8" ht="27.65" customHeight="1">
      <c r="A24" s="69" t="s">
        <v>150</v>
      </c>
      <c r="B24" s="70"/>
      <c r="C24" s="71"/>
      <c r="D24" s="38">
        <f>SUM(D12:D23)</f>
        <v>23</v>
      </c>
      <c r="E24" s="39"/>
      <c r="F24" s="39"/>
      <c r="G24" s="39"/>
      <c r="H24" s="40">
        <f>SUM(H12:H23)</f>
        <v>84.5</v>
      </c>
    </row>
    <row r="25" spans="1:8" ht="28.25" customHeight="1">
      <c r="A25" s="72" t="s">
        <v>151</v>
      </c>
      <c r="B25" s="73"/>
      <c r="C25" s="41"/>
      <c r="D25" s="63">
        <f>_xlfn.XLOOKUP($D$5,ورقة1!A3:A48,ورقة1!BM3:BM48)</f>
        <v>3.6739130434782608</v>
      </c>
      <c r="E25" s="64"/>
      <c r="F25" s="64"/>
      <c r="G25" s="64"/>
      <c r="H25" s="65"/>
    </row>
    <row r="26" spans="1:8" ht="28.25" customHeight="1">
      <c r="A26" s="72" t="s">
        <v>152</v>
      </c>
      <c r="B26" s="73"/>
      <c r="C26" s="41"/>
      <c r="D26" s="66">
        <f>_xlfn.XLOOKUP($D$5,ورقة1!A3:A48,ورقة1!BM3:BM48)</f>
        <v>3.6739130434782608</v>
      </c>
      <c r="E26" s="67"/>
      <c r="F26" s="67"/>
      <c r="G26" s="67"/>
      <c r="H26" s="68"/>
    </row>
    <row r="27" spans="1:8" ht="28.25" customHeight="1">
      <c r="A27" s="72" t="s">
        <v>153</v>
      </c>
      <c r="B27" s="73"/>
      <c r="C27" s="41"/>
      <c r="D27" s="60" t="str">
        <f>_xlfn.XLOOKUP($D$5,ورقة1!A3:A48,ورقة1!BN3:BN48)</f>
        <v xml:space="preserve">جيد جدا </v>
      </c>
      <c r="E27" s="61"/>
      <c r="F27" s="61"/>
      <c r="G27" s="61"/>
      <c r="H27" s="62"/>
    </row>
    <row r="28" spans="1:8" ht="28.25" customHeight="1" thickBot="1">
      <c r="A28" s="55" t="s">
        <v>154</v>
      </c>
      <c r="B28" s="56"/>
      <c r="C28" s="42"/>
      <c r="D28" s="57">
        <f>_xlfn.XLOOKUP($D$5,ورقة1!A3:A48,ورقة1!BO3:BO48)</f>
        <v>16</v>
      </c>
      <c r="E28" s="58"/>
      <c r="F28" s="58"/>
      <c r="G28" s="58"/>
      <c r="H28" s="59"/>
    </row>
    <row r="29" spans="1:8" ht="6.65" hidden="1" customHeight="1">
      <c r="A29" s="49"/>
      <c r="H29" s="50"/>
    </row>
  </sheetData>
  <mergeCells count="23">
    <mergeCell ref="A5:C5"/>
    <mergeCell ref="D5:H5"/>
    <mergeCell ref="A6:C6"/>
    <mergeCell ref="D6:H6"/>
    <mergeCell ref="A7:C7"/>
    <mergeCell ref="D7:H7"/>
    <mergeCell ref="D8:H8"/>
    <mergeCell ref="A9:A11"/>
    <mergeCell ref="B9:H9"/>
    <mergeCell ref="B10:D10"/>
    <mergeCell ref="E10:E11"/>
    <mergeCell ref="F10:G10"/>
    <mergeCell ref="H10:H11"/>
    <mergeCell ref="A24:C24"/>
    <mergeCell ref="A25:B25"/>
    <mergeCell ref="A26:B26"/>
    <mergeCell ref="A27:B27"/>
    <mergeCell ref="A8:C8"/>
    <mergeCell ref="A28:B28"/>
    <mergeCell ref="D28:H28"/>
    <mergeCell ref="D27:H27"/>
    <mergeCell ref="D25:H25"/>
    <mergeCell ref="D26:H26"/>
  </mergeCells>
  <conditionalFormatting sqref="E12:E23">
    <cfRule type="cellIs" dxfId="1" priority="2" operator="lessThan">
      <formula>50</formula>
    </cfRule>
  </conditionalFormatting>
  <conditionalFormatting sqref="G12:G23">
    <cfRule type="containsText" dxfId="0" priority="1" operator="containsText" text="ه">
      <formula>NOT(ISERROR(SEARCH("ه",G12)))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7F51D8-C687-4C14-9DAE-4DEBF46EEB05}">
          <x14:formula1>
            <xm:f>ورقة1!$A$3:$A$48</xm:f>
          </x14:formula1>
          <xm:sqref>D5:H5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المرجع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Abdouramane Jaibo</cp:lastModifiedBy>
  <cp:lastPrinted>2026-04-12T12:05:31Z</cp:lastPrinted>
  <dcterms:created xsi:type="dcterms:W3CDTF">2015-06-05T18:17:20Z</dcterms:created>
  <dcterms:modified xsi:type="dcterms:W3CDTF">2026-06-14T23:15:42Z</dcterms:modified>
</cp:coreProperties>
</file>