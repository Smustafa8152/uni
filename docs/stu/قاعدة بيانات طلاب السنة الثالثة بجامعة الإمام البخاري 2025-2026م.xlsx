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جامعة الإمام البخاري\2026-25 العام الجامعي\قاعدة البيانات للعام الجامعي 2025-2026\"/>
    </mc:Choice>
  </mc:AlternateContent>
  <bookViews>
    <workbookView xWindow="-120" yWindow="-120" windowWidth="20730" windowHeight="11160" tabRatio="583"/>
  </bookViews>
  <sheets>
    <sheet name="Sheet182" sheetId="1" r:id="rId1"/>
  </sheets>
  <definedNames>
    <definedName name="_xlnm._FilterDatabase" localSheetId="0" hidden="1">Sheet182!$A$1:$AB$66</definedName>
    <definedName name="ديالو">Sheet182!$U$2</definedName>
    <definedName name="لاسن">Sheet182!$N$12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7" i="1" l="1"/>
  <c r="I11" i="1"/>
  <c r="I6" i="1"/>
  <c r="H6" i="1"/>
  <c r="I61" i="1" l="1"/>
  <c r="I56" i="1"/>
  <c r="H56" i="1"/>
  <c r="H52" i="1"/>
  <c r="I26" i="1"/>
  <c r="I4" i="1"/>
</calcChain>
</file>

<file path=xl/comments1.xml><?xml version="1.0" encoding="utf-8"?>
<comments xmlns="http://schemas.openxmlformats.org/spreadsheetml/2006/main">
  <authors>
    <author>abdo</author>
  </authors>
  <commentList>
    <comment ref="C57" authorId="0" shapeId="0">
      <text>
        <r>
          <rPr>
            <b/>
            <sz val="9"/>
            <color indexed="81"/>
            <rFont val="Tahoma"/>
            <family val="2"/>
          </rPr>
          <t>abdo:</t>
        </r>
        <r>
          <rPr>
            <sz val="9"/>
            <color indexed="81"/>
            <rFont val="Tahoma"/>
            <family val="2"/>
          </rPr>
          <t xml:space="preserve">
ما تاريخ الميلاد الصحيح للطالب؟؟؟؟؟؟؟</t>
        </r>
      </text>
    </comment>
  </commentList>
</comments>
</file>

<file path=xl/sharedStrings.xml><?xml version="1.0" encoding="utf-8"?>
<sst xmlns="http://schemas.openxmlformats.org/spreadsheetml/2006/main" count="1258" uniqueCount="363">
  <si>
    <t>الاسم باللغة العربية</t>
  </si>
  <si>
    <t>تاريخ الميلاد</t>
  </si>
  <si>
    <t>الجنسية باللغة العربية</t>
  </si>
  <si>
    <t>نوع الهوية</t>
  </si>
  <si>
    <t>عنوان البريد الإلكتروني</t>
  </si>
  <si>
    <t>رقم الهاتف</t>
  </si>
  <si>
    <t>محل الإقامة</t>
  </si>
  <si>
    <t>أعلى مستوى تعليمي قبل التقدم للدراسة</t>
  </si>
  <si>
    <t>اسم الشهادة</t>
  </si>
  <si>
    <t>اسم الجهة الدراسية</t>
  </si>
  <si>
    <t>سنة التخرج</t>
  </si>
  <si>
    <t>المستوى أو الفصل الدراسي الحالي</t>
  </si>
  <si>
    <t>بنت موسى سماري</t>
  </si>
  <si>
    <t>غامبية</t>
  </si>
  <si>
    <t>جواز سفر</t>
  </si>
  <si>
    <t>sumarehbintou057@gmial.com</t>
  </si>
  <si>
    <t>غامبيا</t>
  </si>
  <si>
    <t>الثانوية</t>
  </si>
  <si>
    <t>شهادة إتمام الدراسة الثانوية</t>
  </si>
  <si>
    <t>معهد الإمام مالك الإسلامي</t>
  </si>
  <si>
    <t>إدريس جبريل توري</t>
  </si>
  <si>
    <t>غامبي</t>
  </si>
  <si>
    <t>idtouray15@gmail.com</t>
  </si>
  <si>
    <t>سنجابا سلي جوب</t>
  </si>
  <si>
    <t>المعهد الإسلامي بتلندن كنجا</t>
  </si>
  <si>
    <t>ممتاز</t>
  </si>
  <si>
    <t>معهد النور الإسلامي بكانفنغ</t>
  </si>
  <si>
    <t>كيندو محمد</t>
  </si>
  <si>
    <t>A3243300</t>
  </si>
  <si>
    <t>kindomohamad300@gmail.com</t>
  </si>
  <si>
    <t>باتوكونكو</t>
  </si>
  <si>
    <t>معهد ابن تيمية</t>
  </si>
  <si>
    <t>بوركينا فاسو</t>
  </si>
  <si>
    <t>عائشة يعقوب توري</t>
  </si>
  <si>
    <t>المعهد الإسلامي بتلند كنجا</t>
  </si>
  <si>
    <t>غوث إبراهيم كمارا</t>
  </si>
  <si>
    <t>camarakawsu230823@gmail.com</t>
  </si>
  <si>
    <t>Advance diplom in Education</t>
  </si>
  <si>
    <t>كانفغ الجنوبي</t>
  </si>
  <si>
    <t>معهد النور الإسلامي</t>
  </si>
  <si>
    <t>أَمِي بابا جاورا</t>
  </si>
  <si>
    <t>وستفيل</t>
  </si>
  <si>
    <t>غيني بيساوي</t>
  </si>
  <si>
    <t>تلند</t>
  </si>
  <si>
    <t>عمر الأمين درامي</t>
  </si>
  <si>
    <t>PC225742</t>
  </si>
  <si>
    <t>omardrammeh775@gmail.com</t>
  </si>
  <si>
    <t>فاطمة شيخ تونكارا</t>
  </si>
  <si>
    <t>fatimatunkara965@gmail.com</t>
  </si>
  <si>
    <t>يوسف ديالو</t>
  </si>
  <si>
    <t>عاجي</t>
  </si>
  <si>
    <t>dialloisouf27@gmail.com</t>
  </si>
  <si>
    <t>معهد زمزم الإسلامي</t>
  </si>
  <si>
    <t>ساحل العاج</t>
  </si>
  <si>
    <t>سيلا يعقوب</t>
  </si>
  <si>
    <t>معهد دار التقوى</t>
  </si>
  <si>
    <t>سياكا تراوري</t>
  </si>
  <si>
    <t>CI003334019</t>
  </si>
  <si>
    <t>traoresarata0779455237@gmail.com</t>
  </si>
  <si>
    <t>دار الحديث في بواكي</t>
  </si>
  <si>
    <t>77 . 66</t>
  </si>
  <si>
    <t>غوث كوني</t>
  </si>
  <si>
    <t>kngaoussou66@gmail.com</t>
  </si>
  <si>
    <t>كواسي يحيى بن تيمية كوفي</t>
  </si>
  <si>
    <t>kouassiibnoutaymya@gmail.com</t>
  </si>
  <si>
    <t>مدرسة دار العلوم</t>
  </si>
  <si>
    <t>بوركيني</t>
  </si>
  <si>
    <t>معهد عبد الله بن مسعود</t>
  </si>
  <si>
    <t>معهد دار النعيم</t>
  </si>
  <si>
    <t>هارون كوياتي</t>
  </si>
  <si>
    <t>آدما سنكارا</t>
  </si>
  <si>
    <t>B12154328</t>
  </si>
  <si>
    <t>adamsankaracom@gmail.com</t>
  </si>
  <si>
    <t>عبد الوهاب نيكيما</t>
  </si>
  <si>
    <t>محمد باه</t>
  </si>
  <si>
    <t>mbah39037@gmail.com</t>
  </si>
  <si>
    <t>مدرسة التربية الإسلامية</t>
  </si>
  <si>
    <t>عبد الوهاب بناو</t>
  </si>
  <si>
    <t>A3193981</t>
  </si>
  <si>
    <t>baanaoabdoulwahab@gmail.com</t>
  </si>
  <si>
    <t>معهد أهل السنة المحمدية</t>
  </si>
  <si>
    <t>idajangum1989@gmail.com</t>
  </si>
  <si>
    <t>برفوت</t>
  </si>
  <si>
    <t>مدرسة عمر بن الخطاب - كانفن</t>
  </si>
  <si>
    <t>ياربانغا رقية</t>
  </si>
  <si>
    <t>BF384003005001112554</t>
  </si>
  <si>
    <t>yarbangarokia44@gmail.com</t>
  </si>
  <si>
    <t>معهد التربية الإسلامية</t>
  </si>
  <si>
    <t>أبو بكر محمد كمارا</t>
  </si>
  <si>
    <t>PC612407</t>
  </si>
  <si>
    <t>abubacarrc62@gmil com</t>
  </si>
  <si>
    <t>سنغالي</t>
  </si>
  <si>
    <t>أبو بكر محمد تونكارا</t>
  </si>
  <si>
    <t>PC759185</t>
  </si>
  <si>
    <t>abubacarrtunkara265@gmail.com</t>
  </si>
  <si>
    <t>سيركندا</t>
  </si>
  <si>
    <t>نغسان كونان دانييل</t>
  </si>
  <si>
    <t>C2000757</t>
  </si>
  <si>
    <t>Ouattarailiyas6@gmail.com</t>
  </si>
  <si>
    <t>عثمان فاكيبا سواني</t>
  </si>
  <si>
    <t>Pc094881</t>
  </si>
  <si>
    <t>Ousmansawaneh753@gmali.com</t>
  </si>
  <si>
    <t>تانجي</t>
  </si>
  <si>
    <t>عبد الله المام جكني</t>
  </si>
  <si>
    <t>Pc 224590</t>
  </si>
  <si>
    <t>المدرسة الثنائية بجار سوما</t>
  </si>
  <si>
    <t>٢٠٢٢/ ٢٠٢٣</t>
  </si>
  <si>
    <t>محمد دمبا</t>
  </si>
  <si>
    <t>A02721058</t>
  </si>
  <si>
    <t>Fadilmhm@gmail.com</t>
  </si>
  <si>
    <t>حصة العرينان</t>
  </si>
  <si>
    <t>Ahmadfaye62@gmail.com</t>
  </si>
  <si>
    <t>يونا</t>
  </si>
  <si>
    <t>Pc675427</t>
  </si>
  <si>
    <t>abdallahatunkara37@gmail.com</t>
  </si>
  <si>
    <t>فاجكندا</t>
  </si>
  <si>
    <t>كولولي</t>
  </si>
  <si>
    <t>إبراهيم بنغلي سيلا</t>
  </si>
  <si>
    <t>ebrimas823@gmail.com</t>
  </si>
  <si>
    <t>دبا كندا</t>
  </si>
  <si>
    <t>Pc649471</t>
  </si>
  <si>
    <t>Dembojagana6231941@gmail.com</t>
  </si>
  <si>
    <t>Pc171247</t>
  </si>
  <si>
    <t>طيبة</t>
  </si>
  <si>
    <t>مدرسة أبي بكر الصديق</t>
  </si>
  <si>
    <t>موزمبيقي</t>
  </si>
  <si>
    <t>AB1015582</t>
  </si>
  <si>
    <t>abuaussesalafi@gmail.com</t>
  </si>
  <si>
    <t>جكرجا إلبودو</t>
  </si>
  <si>
    <t>2022/ 2023</t>
  </si>
  <si>
    <t>يوندوم القديم</t>
  </si>
  <si>
    <t>معهد حصة العرينان</t>
  </si>
  <si>
    <t>عبد الكبير سيسي</t>
  </si>
  <si>
    <t>بوسومبالا</t>
  </si>
  <si>
    <t>محمد سمبر دكوري</t>
  </si>
  <si>
    <t>الأمين جيري جات</t>
  </si>
  <si>
    <t>Pc160463</t>
  </si>
  <si>
    <t>pc721039</t>
  </si>
  <si>
    <t>drammehfamily10@gmail.com</t>
  </si>
  <si>
    <t>غونجور</t>
  </si>
  <si>
    <t>عاتقة قطر أنيبل غلامسين</t>
  </si>
  <si>
    <t>موزمبيقية</t>
  </si>
  <si>
    <t>AB0924911</t>
  </si>
  <si>
    <t>aticacatar86@gmail.com</t>
  </si>
  <si>
    <t>المدرسة العربية الإسلامية العليا</t>
  </si>
  <si>
    <t>C00233271</t>
  </si>
  <si>
    <t>muhamaducamara2021@gmail.com</t>
  </si>
  <si>
    <t>توجيرن كومبو</t>
  </si>
  <si>
    <t>waggehmuhammed17@gmail.com</t>
  </si>
  <si>
    <t>تبوكتو</t>
  </si>
  <si>
    <t>Salifoseidi2005@gmail.com</t>
  </si>
  <si>
    <t>المعهد الإسلامي - بريكاما</t>
  </si>
  <si>
    <t>عيسى تنبون دافي</t>
  </si>
  <si>
    <t>محمد شيخ توري</t>
  </si>
  <si>
    <t>جابا</t>
  </si>
  <si>
    <t>ديالو إبراهيم</t>
  </si>
  <si>
    <t>A3323586</t>
  </si>
  <si>
    <t>dialloibrahim7760@gmail.com</t>
  </si>
  <si>
    <t>جنبور</t>
  </si>
  <si>
    <t>سعيد خليل كربلي</t>
  </si>
  <si>
    <t>جوسوان الجديد</t>
  </si>
  <si>
    <t>نيما سليمان كبا</t>
  </si>
  <si>
    <t>لند كونا</t>
  </si>
  <si>
    <t>برسوبي</t>
  </si>
  <si>
    <t>محمد الحمد جامي</t>
  </si>
  <si>
    <t>٨٦.٨</t>
  </si>
  <si>
    <t>عبد الله شريف كجيرا</t>
  </si>
  <si>
    <t>بريكاما</t>
  </si>
  <si>
    <t>٨٧.٩</t>
  </si>
  <si>
    <t>جبريل شيخ دنفا</t>
  </si>
  <si>
    <t>gibirldamhpa8@gmail.com</t>
  </si>
  <si>
    <t>زينب شيخ أحمد تيجان بلدي</t>
  </si>
  <si>
    <t>Zainabbaldeh 05@gmail.com</t>
  </si>
  <si>
    <t>بانجولندن</t>
  </si>
  <si>
    <t>المعهد الإسلامي بتلندن</t>
  </si>
  <si>
    <t>Pc145814</t>
  </si>
  <si>
    <t>مريم كندا</t>
  </si>
  <si>
    <t>يحيى محمد سيسي</t>
  </si>
  <si>
    <t>ajajaceesay@gmail.com</t>
  </si>
  <si>
    <t>جميل بروان</t>
  </si>
  <si>
    <t>بريطاني</t>
  </si>
  <si>
    <t>بريطانيا</t>
  </si>
  <si>
    <t>لاسن صمبا ماني</t>
  </si>
  <si>
    <t>مالك داود كجابي</t>
  </si>
  <si>
    <t>بشير مانغا</t>
  </si>
  <si>
    <t>صورة شخصية حديثة للطالب مع كتابة الاسم كاملًا</t>
  </si>
  <si>
    <t>مستمر</t>
  </si>
  <si>
    <t>أيد سليمان جانغوم</t>
  </si>
  <si>
    <t>بشير فابلا غسام</t>
  </si>
  <si>
    <t>جيد</t>
  </si>
  <si>
    <t>سيراليون</t>
  </si>
  <si>
    <t xml:space="preserve">جيد </t>
  </si>
  <si>
    <t>مقبول</t>
  </si>
  <si>
    <t>مستمرة</t>
  </si>
  <si>
    <t>فاطمة صغرى محمد جابي</t>
  </si>
  <si>
    <t>الحسين مري ساحو</t>
  </si>
  <si>
    <t>دمبو ملامين جغنا</t>
  </si>
  <si>
    <t>علي سليمان جالو</t>
  </si>
  <si>
    <t>PC219202</t>
  </si>
  <si>
    <t>إبراهيم محمود درامي</t>
  </si>
  <si>
    <t>PC222525</t>
  </si>
  <si>
    <t>PC233610</t>
  </si>
  <si>
    <t>PC303064</t>
  </si>
  <si>
    <t>Amiejawara2000@yahoo.com</t>
  </si>
  <si>
    <t>PC767048</t>
  </si>
  <si>
    <t>28/11/2003</t>
  </si>
  <si>
    <t>سانشابا سولاي جوب</t>
  </si>
  <si>
    <t>لا يوجد</t>
  </si>
  <si>
    <t xml:space="preserve">كسترود  </t>
  </si>
  <si>
    <t>17/02/1989</t>
  </si>
  <si>
    <t>الهوية الوطنية</t>
  </si>
  <si>
    <t>بوسمبالا هول تاون</t>
  </si>
  <si>
    <t>29/12/2003</t>
  </si>
  <si>
    <t>PC265553</t>
  </si>
  <si>
    <t>PC774367</t>
  </si>
  <si>
    <t>fatimahj2580@gmail.com</t>
  </si>
  <si>
    <t>16/02/2005</t>
  </si>
  <si>
    <t>atouray1302@gmail.com</t>
  </si>
  <si>
    <t>راسب</t>
  </si>
  <si>
    <t>جمباجيلي</t>
  </si>
  <si>
    <t>PC202465</t>
  </si>
  <si>
    <t>18/05/2000</t>
  </si>
  <si>
    <t>PC113173</t>
  </si>
  <si>
    <t>كلية غامبيا</t>
  </si>
  <si>
    <t>أمير ركارد نيامبوسي</t>
  </si>
  <si>
    <t>20/09/1996</t>
  </si>
  <si>
    <t>syllayadmoufti@gmail.com</t>
  </si>
  <si>
    <t>20/06/2006</t>
  </si>
  <si>
    <t>CI005439691</t>
  </si>
  <si>
    <t>aronakouyate@gmail.com</t>
  </si>
  <si>
    <t>CI005918678</t>
  </si>
  <si>
    <t>nikiemawaha2000@gmail.com</t>
  </si>
  <si>
    <t>31/12/2003</t>
  </si>
  <si>
    <t>abdouliegeken.comh1@gmail</t>
  </si>
  <si>
    <t>PC259355</t>
  </si>
  <si>
    <t>20AD76620</t>
  </si>
  <si>
    <t>CI004945238</t>
  </si>
  <si>
    <t>24/01/2001</t>
  </si>
  <si>
    <t>13/ 12/ 2001</t>
  </si>
  <si>
    <t>28/03/1992</t>
  </si>
  <si>
    <t>jammehmuhammad28@gmail.com</t>
  </si>
  <si>
    <t>20/03/2001</t>
  </si>
  <si>
    <t>16/10/2005</t>
  </si>
  <si>
    <t>C00331888</t>
  </si>
  <si>
    <t>abdalaicassama@gmail.com</t>
  </si>
  <si>
    <t>22/03/2002</t>
  </si>
  <si>
    <t>basirugassama8@gmail.com</t>
  </si>
  <si>
    <t>C00319399</t>
  </si>
  <si>
    <t>malangjabertanjie@gmail.com</t>
  </si>
  <si>
    <t>PC229007</t>
  </si>
  <si>
    <t>26/12/2002</t>
  </si>
  <si>
    <t>PC223326</t>
  </si>
  <si>
    <t>kaneabdallah13@gmail.com</t>
  </si>
  <si>
    <t>25/04/2001</t>
  </si>
  <si>
    <t>16/12/2002</t>
  </si>
  <si>
    <t>suaiboudrammeh700@gmail.com</t>
  </si>
  <si>
    <t>jattalamin6782041@gmail.com</t>
  </si>
  <si>
    <t>جوجستاون</t>
  </si>
  <si>
    <t>المعهد الإسلامي بتلد كنجا</t>
  </si>
  <si>
    <t>zakariailboudo191@gmail.com</t>
  </si>
  <si>
    <t>PC228842</t>
  </si>
  <si>
    <t>mahamadoudukuray13@gmail.com</t>
  </si>
  <si>
    <t>20/01/2000</t>
  </si>
  <si>
    <t>معهد أهل الصفة ببرفوت</t>
  </si>
  <si>
    <t>25/11/2002</t>
  </si>
  <si>
    <t>C00437225</t>
  </si>
  <si>
    <t>ensadafe4@gmail.com</t>
  </si>
  <si>
    <t>25/10/1999</t>
  </si>
  <si>
    <t>PC266156</t>
  </si>
  <si>
    <t>masirehtouray25@gmail.com</t>
  </si>
  <si>
    <t>ER273912</t>
  </si>
  <si>
    <t>alhusailousaho007@gmail.com</t>
  </si>
  <si>
    <t>محمد سمبالا سيلا</t>
  </si>
  <si>
    <t>17/07/2000</t>
  </si>
  <si>
    <t>saidoukrubally05@gmail.com</t>
  </si>
  <si>
    <t>معهد عمر بن الخطاب</t>
  </si>
  <si>
    <t>mangabashir17@gmail.com</t>
  </si>
  <si>
    <t>أكاديمية ولورث</t>
  </si>
  <si>
    <t>jemellbrown@gmail.com</t>
  </si>
  <si>
    <t>بيرن</t>
  </si>
  <si>
    <t>المعهد الإسلامي ببركاما</t>
  </si>
  <si>
    <t>معهد ابن تيمية الإسلامي</t>
  </si>
  <si>
    <t>95,27</t>
  </si>
  <si>
    <t>salimunjie87@icloud.com</t>
  </si>
  <si>
    <t>27/2/2000</t>
  </si>
  <si>
    <t>PC146909</t>
  </si>
  <si>
    <t>فاراتو</t>
  </si>
  <si>
    <t>معهد العلوم الإسلامية والعربية</t>
  </si>
  <si>
    <t>kujabimalick745@gmail.com</t>
  </si>
  <si>
    <t>معهد كندافي كولي</t>
  </si>
  <si>
    <t>bdalkbyrsysy92@gmail.com</t>
  </si>
  <si>
    <t>14/03/2001</t>
  </si>
  <si>
    <t>PC789558</t>
  </si>
  <si>
    <t>16/03/2003</t>
  </si>
  <si>
    <t>PC142050</t>
  </si>
  <si>
    <t>alassanmanneh06@icloud.com</t>
  </si>
  <si>
    <t>alieujallow111@icloud.com</t>
  </si>
  <si>
    <t>رقم جواز السفر/ رقم الهوية</t>
  </si>
  <si>
    <t>رقم الواتساب</t>
  </si>
  <si>
    <t>الدولة المقيم (المقيمة) بها باللغة العربية</t>
  </si>
  <si>
    <t>المعدل العام/ المعدل التراكمي للمواد الدراسية</t>
  </si>
  <si>
    <t>المعدل التراكمي للسنة الأولى</t>
  </si>
  <si>
    <t>ملاحظات الشئون الطلابية حول الطالب (الطالبة)</t>
  </si>
  <si>
    <t>درجات الطالب (الطالبة) في المستوى الدراسي الأول</t>
  </si>
  <si>
    <t>درجات الطالب (الطالبة) في المستوى الدراسي الثاني</t>
  </si>
  <si>
    <t>درجات الطالب (الطالبة) في المستوى الدراسي الثالث</t>
  </si>
  <si>
    <t>الدولة التي حصل (حصلت) منها على الشهادة</t>
  </si>
  <si>
    <t>جيد جدًّا</t>
  </si>
  <si>
    <t>مركز التضامن للدراسات الإسلامية</t>
  </si>
  <si>
    <t>الدبلوم المتقدم</t>
  </si>
  <si>
    <t>2021 - 2022</t>
  </si>
  <si>
    <t xml:space="preserve">٢٠٢٢ - ٢٠٢٣  </t>
  </si>
  <si>
    <t>عبد الله شيخ كسام</t>
  </si>
  <si>
    <t>تانجي مدينة</t>
  </si>
  <si>
    <t xml:space="preserve"> 2022 - 2023</t>
  </si>
  <si>
    <t>حالة الطالب (الطالبة): مستمر (مستمرة) - منسحب (منسحبة) - مؤجل (مؤجلة)</t>
  </si>
  <si>
    <t>2019/ 2020</t>
  </si>
  <si>
    <t>2021/ 2022</t>
  </si>
  <si>
    <t>31/ 12/ 2003</t>
  </si>
  <si>
    <t>23/ 12/ 2006</t>
  </si>
  <si>
    <t>22/ 12/ 2006</t>
  </si>
  <si>
    <t>2022 - 2023</t>
  </si>
  <si>
    <t>2020/ 2021</t>
  </si>
  <si>
    <t>لاتريا</t>
  </si>
  <si>
    <t>لاتركندا جامان</t>
  </si>
  <si>
    <t>رقم الطالب (الطالبة) الجامعي</t>
  </si>
  <si>
    <t>2018/ 2019</t>
  </si>
  <si>
    <t>نيمافولا كندي</t>
  </si>
  <si>
    <t>٢٠١٨/ ٢٠١٩</t>
  </si>
  <si>
    <t>مالا يحىي سيدي</t>
  </si>
  <si>
    <t>نورة العبودي بتانجي</t>
  </si>
  <si>
    <t>أحمد عبد القادر فاي</t>
  </si>
  <si>
    <t>عبد الله الحسن تونكاري</t>
  </si>
  <si>
    <t>عبد الله أحمد كندي</t>
  </si>
  <si>
    <t>شعيب عمر درامي</t>
  </si>
  <si>
    <t>مدرسة أهل الصفة الإسلامية في برفوت</t>
  </si>
  <si>
    <t xml:space="preserve"> 2022/ 2023</t>
  </si>
  <si>
    <t>مدرسة النور الإسلامية الشاملة ببرفوت</t>
  </si>
  <si>
    <t>2017/ 2018</t>
  </si>
  <si>
    <t>محمد سالو كمارا</t>
  </si>
  <si>
    <t>مدرسة نورة العبودي بتانجي</t>
  </si>
  <si>
    <t>محمد مودي واغي</t>
  </si>
  <si>
    <t>صالح مالا سيدي</t>
  </si>
  <si>
    <t>معهد التوفيق الإسلامي ببريكاما</t>
  </si>
  <si>
    <t>2015/ 2016</t>
  </si>
  <si>
    <t>سالم محمد أنجاي</t>
  </si>
  <si>
    <t>2018 /2019</t>
  </si>
  <si>
    <t>حبيبة أبو جوارا</t>
  </si>
  <si>
    <t>معهد أبي بكر الصديق</t>
  </si>
  <si>
    <t>٢٠١٦/ ٢٠١٧</t>
  </si>
  <si>
    <t>مدرسة عمر بن الخطاب ببريكاما</t>
  </si>
  <si>
    <t>معهد النور الإسلامي بكانفن</t>
  </si>
  <si>
    <t>سيراليوني</t>
  </si>
  <si>
    <t>سيريكندا</t>
  </si>
  <si>
    <t xml:space="preserve"> </t>
  </si>
  <si>
    <t>درجات الطالب (الطالبة) في المستوى الدراسي الرابع</t>
  </si>
  <si>
    <t>المعدل التراكمي للسنة الثانية</t>
  </si>
  <si>
    <t>الكلية</t>
  </si>
  <si>
    <t>الحديث والدراسات الإسلامية</t>
  </si>
  <si>
    <t>الخامس</t>
  </si>
  <si>
    <t>جيد جدا</t>
  </si>
  <si>
    <t>ج</t>
  </si>
  <si>
    <t xml:space="preserve"> جيد جدا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</si>
</sst>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2000401]0.#"/>
    <numFmt numFmtId="165" formatCode="mm\ dd\ yy"/>
  </numFmts>
  <fonts count="12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u/>
      <sz val="10"/>
      <color theme="10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3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164" fontId="1" fillId="0" borderId="3" xfId="0" applyNumberFormat="1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right" vertical="center" wrapText="1" readingOrder="2"/>
    </xf>
    <xf numFmtId="0" fontId="3" fillId="0" borderId="0" xfId="0" applyFont="1" applyAlignment="1">
      <alignment horizontal="right" vertical="center" wrapText="1" readingOrder="2"/>
    </xf>
    <xf numFmtId="0" fontId="3" fillId="0" borderId="0" xfId="0" applyFont="1" applyAlignment="1">
      <alignment horizontal="right" vertical="center" wrapText="1" readingOrder="2"/>
    </xf>
    <xf numFmtId="0" fontId="4" fillId="0" borderId="0" xfId="0" applyFont="1" applyAlignment="1">
      <alignment horizontal="right" readingOrder="2"/>
    </xf>
    <xf numFmtId="0" fontId="5" fillId="3" borderId="5" xfId="0" applyFont="1" applyFill="1" applyBorder="1" applyAlignment="1">
      <alignment horizontal="center" wrapText="1" readingOrder="2"/>
    </xf>
    <xf numFmtId="0" fontId="6" fillId="0" borderId="0" xfId="0" applyFont="1" applyAlignment="1">
      <alignment horizontal="right" readingOrder="2"/>
    </xf>
    <xf numFmtId="0" fontId="5" fillId="3" borderId="5" xfId="0" applyFont="1" applyFill="1" applyBorder="1" applyAlignment="1">
      <alignment horizontal="center" wrapText="1" readingOrder="2"/>
    </xf>
    <xf numFmtId="11" fontId="5" fillId="3" borderId="5" xfId="0" applyNumberFormat="1" applyFont="1" applyFill="1" applyBorder="1" applyAlignment="1">
      <alignment horizontal="center" wrapText="1" readingOrder="2"/>
    </xf>
    <xf numFmtId="14" fontId="5" fillId="3" borderId="5" xfId="0" applyNumberFormat="1" applyFont="1" applyFill="1" applyBorder="1" applyAlignment="1">
      <alignment horizontal="center" wrapText="1" readingOrder="2"/>
    </xf>
    <xf numFmtId="0" fontId="5" fillId="3" borderId="5" xfId="0" applyFont="1" applyFill="1" applyBorder="1" applyAlignment="1">
      <alignment horizontal="center" wrapText="1" readingOrder="2"/>
    </xf>
    <xf numFmtId="165" fontId="5" fillId="3" borderId="5" xfId="0" applyNumberFormat="1" applyFont="1" applyFill="1" applyBorder="1" applyAlignment="1">
      <alignment horizontal="center" wrapText="1" readingOrder="2"/>
    </xf>
    <xf numFmtId="0" fontId="5" fillId="3" borderId="5" xfId="0" applyFont="1" applyFill="1" applyBorder="1" applyAlignment="1">
      <alignment horizontal="center" wrapText="1" readingOrder="2"/>
    </xf>
    <xf numFmtId="0" fontId="1" fillId="3" borderId="5" xfId="0" applyFont="1" applyFill="1" applyBorder="1" applyAlignment="1">
      <alignment horizontal="center" wrapText="1" readingOrder="2"/>
    </xf>
    <xf numFmtId="0" fontId="1" fillId="3" borderId="5" xfId="0" applyFont="1" applyFill="1" applyBorder="1" applyAlignment="1">
      <alignment horizontal="center" wrapText="1" readingOrder="2"/>
    </xf>
    <xf numFmtId="0" fontId="1" fillId="3" borderId="5" xfId="0" applyFont="1" applyFill="1" applyBorder="1" applyAlignment="1">
      <alignment horizontal="center" wrapText="1" readingOrder="2"/>
    </xf>
    <xf numFmtId="165" fontId="1" fillId="3" borderId="5" xfId="0" applyNumberFormat="1" applyFont="1" applyFill="1" applyBorder="1" applyAlignment="1">
      <alignment horizontal="center" wrapText="1" readingOrder="2"/>
    </xf>
    <xf numFmtId="0" fontId="1" fillId="3" borderId="5" xfId="0" applyFont="1" applyFill="1" applyBorder="1" applyAlignment="1">
      <alignment horizontal="center" wrapText="1" readingOrder="2"/>
    </xf>
    <xf numFmtId="11" fontId="1" fillId="3" borderId="5" xfId="0" applyNumberFormat="1" applyFont="1" applyFill="1" applyBorder="1" applyAlignment="1">
      <alignment horizontal="center" wrapText="1" readingOrder="2"/>
    </xf>
    <xf numFmtId="0" fontId="7" fillId="0" borderId="0" xfId="0" applyFont="1" applyAlignment="1">
      <alignment horizontal="right" readingOrder="2"/>
    </xf>
    <xf numFmtId="0" fontId="8" fillId="3" borderId="5" xfId="0" applyFont="1" applyFill="1" applyBorder="1" applyAlignment="1">
      <alignment horizontal="center" wrapText="1" readingOrder="2"/>
    </xf>
    <xf numFmtId="0" fontId="9" fillId="3" borderId="5" xfId="1" applyFill="1" applyBorder="1" applyAlignment="1">
      <alignment horizontal="center" wrapText="1" readingOrder="2"/>
    </xf>
    <xf numFmtId="14" fontId="1" fillId="3" borderId="5" xfId="0" applyNumberFormat="1" applyFont="1" applyFill="1" applyBorder="1" applyAlignment="1">
      <alignment horizontal="center" wrapText="1" readingOrder="2"/>
    </xf>
    <xf numFmtId="0" fontId="2" fillId="4" borderId="2" xfId="0" applyFont="1" applyFill="1" applyBorder="1" applyAlignment="1">
      <alignment horizontal="center" vertical="center" wrapText="1" readingOrder="2"/>
    </xf>
    <xf numFmtId="0" fontId="4" fillId="5" borderId="0" xfId="0" applyFont="1" applyFill="1" applyAlignment="1">
      <alignment horizontal="right" readingOrder="2"/>
    </xf>
    <xf numFmtId="14" fontId="2" fillId="0" borderId="2" xfId="0" applyNumberFormat="1" applyFont="1" applyBorder="1" applyAlignment="1">
      <alignment horizontal="center" vertical="center" wrapText="1" readingOrder="2"/>
    </xf>
    <xf numFmtId="14" fontId="4" fillId="0" borderId="0" xfId="0" applyNumberFormat="1" applyFont="1" applyAlignment="1">
      <alignment horizontal="right" readingOrder="2"/>
    </xf>
    <xf numFmtId="14" fontId="0" fillId="0" borderId="0" xfId="0" applyNumberFormat="1" applyFont="1" applyAlignment="1"/>
    <xf numFmtId="0" fontId="4" fillId="0" borderId="0" xfId="0" applyFont="1" applyFill="1" applyAlignment="1">
      <alignment horizontal="right" readingOrder="2"/>
    </xf>
  </cellXfs>
  <cellStyles count="2">
    <cellStyle name="Normal" xfId="0" builtinId="0"/>
    <cellStyle name="ارتباط تشعبي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yllayadmoufti@gmail.com" TargetMode="External"/><Relationship Id="rId13" Type="http://schemas.openxmlformats.org/officeDocument/2006/relationships/hyperlink" Target="mailto:abdouliegeken.comh1@gmail" TargetMode="External"/><Relationship Id="rId18" Type="http://schemas.openxmlformats.org/officeDocument/2006/relationships/hyperlink" Target="mailto:jammehmuhammad28@gmail.com" TargetMode="External"/><Relationship Id="rId26" Type="http://schemas.openxmlformats.org/officeDocument/2006/relationships/hyperlink" Target="mailto:zakariailboudo191@gmail.com" TargetMode="External"/><Relationship Id="rId39" Type="http://schemas.openxmlformats.org/officeDocument/2006/relationships/hyperlink" Target="mailto:alassanmanneh06@icloud.com" TargetMode="External"/><Relationship Id="rId3" Type="http://schemas.openxmlformats.org/officeDocument/2006/relationships/hyperlink" Target="mailto:Amiejawara2000@yahoo.com" TargetMode="External"/><Relationship Id="rId21" Type="http://schemas.openxmlformats.org/officeDocument/2006/relationships/hyperlink" Target="mailto:malangjabertanjie@gmail.com" TargetMode="External"/><Relationship Id="rId34" Type="http://schemas.openxmlformats.org/officeDocument/2006/relationships/hyperlink" Target="mailto:Fadilmhm@gmail.com" TargetMode="External"/><Relationship Id="rId42" Type="http://schemas.openxmlformats.org/officeDocument/2006/relationships/vmlDrawing" Target="../drawings/vmlDrawing1.vml"/><Relationship Id="rId7" Type="http://schemas.openxmlformats.org/officeDocument/2006/relationships/hyperlink" Target="mailto:idtouray15@gmail.com" TargetMode="External"/><Relationship Id="rId12" Type="http://schemas.openxmlformats.org/officeDocument/2006/relationships/hyperlink" Target="mailto:baanaoabdoulwahab@gmail.com" TargetMode="External"/><Relationship Id="rId17" Type="http://schemas.openxmlformats.org/officeDocument/2006/relationships/hyperlink" Target="mailto:alhusailousaho007@gmail.com" TargetMode="External"/><Relationship Id="rId25" Type="http://schemas.openxmlformats.org/officeDocument/2006/relationships/hyperlink" Target="mailto:jattalamin6782041@gmail.com" TargetMode="External"/><Relationship Id="rId33" Type="http://schemas.openxmlformats.org/officeDocument/2006/relationships/hyperlink" Target="mailto:mangabashir17@gmail.com" TargetMode="External"/><Relationship Id="rId38" Type="http://schemas.openxmlformats.org/officeDocument/2006/relationships/hyperlink" Target="mailto:bdalkbyrsysy92@gmail.com" TargetMode="External"/><Relationship Id="rId2" Type="http://schemas.openxmlformats.org/officeDocument/2006/relationships/hyperlink" Target="mailto:sumarehbintou057@gmial.com" TargetMode="External"/><Relationship Id="rId16" Type="http://schemas.openxmlformats.org/officeDocument/2006/relationships/hyperlink" Target="mailto:ajajaceesay@gmail.com" TargetMode="External"/><Relationship Id="rId20" Type="http://schemas.openxmlformats.org/officeDocument/2006/relationships/hyperlink" Target="mailto:basirugassama8@gmail.com" TargetMode="External"/><Relationship Id="rId29" Type="http://schemas.openxmlformats.org/officeDocument/2006/relationships/hyperlink" Target="mailto:ensadafe4@gmail.com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mailto:jemellbrown@gmail.com" TargetMode="External"/><Relationship Id="rId6" Type="http://schemas.openxmlformats.org/officeDocument/2006/relationships/hyperlink" Target="mailto:atouray1302@gmail.com" TargetMode="External"/><Relationship Id="rId11" Type="http://schemas.openxmlformats.org/officeDocument/2006/relationships/hyperlink" Target="mailto:mbah39037@gmail.com" TargetMode="External"/><Relationship Id="rId24" Type="http://schemas.openxmlformats.org/officeDocument/2006/relationships/hyperlink" Target="mailto:suaiboudrammeh700@gmail.com" TargetMode="External"/><Relationship Id="rId32" Type="http://schemas.openxmlformats.org/officeDocument/2006/relationships/hyperlink" Target="mailto:saidoukrubally05@gmail.com" TargetMode="External"/><Relationship Id="rId37" Type="http://schemas.openxmlformats.org/officeDocument/2006/relationships/hyperlink" Target="mailto:kujabimalick745@gmail.com" TargetMode="External"/><Relationship Id="rId40" Type="http://schemas.openxmlformats.org/officeDocument/2006/relationships/hyperlink" Target="mailto:alieujallow111@icloud.com" TargetMode="External"/><Relationship Id="rId5" Type="http://schemas.openxmlformats.org/officeDocument/2006/relationships/hyperlink" Target="mailto:idajangum1989@gmail.com" TargetMode="External"/><Relationship Id="rId15" Type="http://schemas.openxmlformats.org/officeDocument/2006/relationships/hyperlink" Target="mailto:kouassiibnoutaymya@gmail.com" TargetMode="External"/><Relationship Id="rId23" Type="http://schemas.openxmlformats.org/officeDocument/2006/relationships/hyperlink" Target="mailto:kaneabdallah13@gmail.com" TargetMode="External"/><Relationship Id="rId28" Type="http://schemas.openxmlformats.org/officeDocument/2006/relationships/hyperlink" Target="mailto:drammehfamily10@gmail.com" TargetMode="External"/><Relationship Id="rId36" Type="http://schemas.openxmlformats.org/officeDocument/2006/relationships/hyperlink" Target="mailto:salimunjie87@icloud.com" TargetMode="External"/><Relationship Id="rId10" Type="http://schemas.openxmlformats.org/officeDocument/2006/relationships/hyperlink" Target="mailto:nikiemawaha2000@gmail.com" TargetMode="External"/><Relationship Id="rId19" Type="http://schemas.openxmlformats.org/officeDocument/2006/relationships/hyperlink" Target="mailto:abdalaicassama@gmail.com" TargetMode="External"/><Relationship Id="rId31" Type="http://schemas.openxmlformats.org/officeDocument/2006/relationships/hyperlink" Target="mailto:masirehtouray25@gmail.com" TargetMode="External"/><Relationship Id="rId4" Type="http://schemas.openxmlformats.org/officeDocument/2006/relationships/hyperlink" Target="mailto:fatimahj2580@gmail.com" TargetMode="External"/><Relationship Id="rId9" Type="http://schemas.openxmlformats.org/officeDocument/2006/relationships/hyperlink" Target="mailto:aronakouyate@gmail.com" TargetMode="External"/><Relationship Id="rId14" Type="http://schemas.openxmlformats.org/officeDocument/2006/relationships/hyperlink" Target="mailto:abdallahatunkara37@gmail.com" TargetMode="External"/><Relationship Id="rId22" Type="http://schemas.openxmlformats.org/officeDocument/2006/relationships/hyperlink" Target="mailto:Ahmadfaye62@gmail.com" TargetMode="External"/><Relationship Id="rId27" Type="http://schemas.openxmlformats.org/officeDocument/2006/relationships/hyperlink" Target="mailto:mahamadoudukuray13@gmail.com" TargetMode="External"/><Relationship Id="rId30" Type="http://schemas.openxmlformats.org/officeDocument/2006/relationships/hyperlink" Target="mailto:muhamaducamara2021@gmail.com" TargetMode="External"/><Relationship Id="rId35" Type="http://schemas.openxmlformats.org/officeDocument/2006/relationships/hyperlink" Target="mailto:dialloibrahim7760@gmail.com" TargetMode="External"/><Relationship Id="rId43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D946"/>
  <sheetViews>
    <sheetView rightToLeft="1" tabSelected="1" topLeftCell="O1" zoomScaleNormal="100" workbookViewId="0">
      <pane ySplit="1" topLeftCell="A14" activePane="bottomLeft" state="frozen"/>
      <selection pane="bottomLeft" activeCell="O56" sqref="O56"/>
    </sheetView>
  </sheetViews>
  <sheetFormatPr defaultColWidth="12.5703125" defaultRowHeight="15.75" customHeight="1" x14ac:dyDescent="0.2"/>
  <cols>
    <col min="2" max="2" width="18.85546875" customWidth="1"/>
    <col min="3" max="3" width="12.5703125" style="31"/>
    <col min="5" max="5" width="20.7109375" customWidth="1"/>
    <col min="8" max="8" width="15.7109375" customWidth="1"/>
    <col min="9" max="9" width="21.5703125" customWidth="1"/>
    <col min="27" max="27" width="18.42578125" customWidth="1"/>
    <col min="28" max="28" width="23" customWidth="1"/>
  </cols>
  <sheetData>
    <row r="1" spans="1:30" ht="48" customHeight="1" thickBot="1" x14ac:dyDescent="0.25">
      <c r="A1" s="1" t="s">
        <v>325</v>
      </c>
      <c r="B1" s="2" t="s">
        <v>0</v>
      </c>
      <c r="C1" s="29" t="s">
        <v>1</v>
      </c>
      <c r="D1" s="2" t="s">
        <v>2</v>
      </c>
      <c r="E1" s="2" t="s">
        <v>297</v>
      </c>
      <c r="F1" s="2" t="s">
        <v>3</v>
      </c>
      <c r="G1" s="2" t="s">
        <v>4</v>
      </c>
      <c r="H1" s="2" t="s">
        <v>5</v>
      </c>
      <c r="I1" s="2" t="s">
        <v>298</v>
      </c>
      <c r="J1" s="2" t="s">
        <v>299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300</v>
      </c>
      <c r="Q1" s="2" t="s">
        <v>306</v>
      </c>
      <c r="R1" s="2" t="s">
        <v>357</v>
      </c>
      <c r="S1" s="3" t="s">
        <v>315</v>
      </c>
      <c r="T1" s="4" t="s">
        <v>11</v>
      </c>
      <c r="U1" s="5" t="s">
        <v>303</v>
      </c>
      <c r="V1" s="5" t="s">
        <v>304</v>
      </c>
      <c r="W1" s="6" t="s">
        <v>301</v>
      </c>
      <c r="X1" s="5" t="s">
        <v>305</v>
      </c>
      <c r="Y1" s="5" t="s">
        <v>355</v>
      </c>
      <c r="Z1" s="7" t="s">
        <v>356</v>
      </c>
      <c r="AA1" s="6" t="s">
        <v>302</v>
      </c>
      <c r="AB1" s="27" t="s">
        <v>185</v>
      </c>
      <c r="AC1" s="7"/>
      <c r="AD1" s="7"/>
    </row>
    <row r="2" spans="1:30" ht="38.25" x14ac:dyDescent="0.2">
      <c r="A2" s="8">
        <v>2023035</v>
      </c>
      <c r="B2" s="9" t="s">
        <v>12</v>
      </c>
      <c r="C2" s="13">
        <v>38445</v>
      </c>
      <c r="D2" s="9" t="s">
        <v>13</v>
      </c>
      <c r="E2" s="9" t="s">
        <v>204</v>
      </c>
      <c r="F2" s="9" t="s">
        <v>14</v>
      </c>
      <c r="G2" s="25" t="s">
        <v>15</v>
      </c>
      <c r="H2" s="9">
        <v>2735090</v>
      </c>
      <c r="I2" s="9">
        <v>2735090</v>
      </c>
      <c r="J2" s="9" t="s">
        <v>16</v>
      </c>
      <c r="K2" s="9" t="s">
        <v>43</v>
      </c>
      <c r="L2" s="9" t="s">
        <v>17</v>
      </c>
      <c r="M2" s="9" t="s">
        <v>18</v>
      </c>
      <c r="N2" s="9" t="s">
        <v>19</v>
      </c>
      <c r="O2" s="9" t="s">
        <v>129</v>
      </c>
      <c r="P2" s="9">
        <v>97.68</v>
      </c>
      <c r="Q2" s="9" t="s">
        <v>16</v>
      </c>
      <c r="R2" s="16" t="s">
        <v>358</v>
      </c>
      <c r="S2" s="8" t="s">
        <v>193</v>
      </c>
      <c r="T2" s="8" t="s">
        <v>359</v>
      </c>
      <c r="U2" s="23" t="s">
        <v>25</v>
      </c>
      <c r="V2" s="23" t="s">
        <v>25</v>
      </c>
      <c r="W2" s="8">
        <v>93.3</v>
      </c>
      <c r="X2" s="8" t="s">
        <v>25</v>
      </c>
      <c r="Y2" s="8" t="s">
        <v>25</v>
      </c>
      <c r="Z2" s="8">
        <v>96.7</v>
      </c>
      <c r="AA2" s="23"/>
      <c r="AB2" s="8" t="s">
        <v>354</v>
      </c>
      <c r="AC2" s="10"/>
      <c r="AD2" s="10"/>
    </row>
    <row r="3" spans="1:30" ht="25.5" x14ac:dyDescent="0.2">
      <c r="A3" s="8">
        <v>2023017</v>
      </c>
      <c r="B3" s="9" t="s">
        <v>20</v>
      </c>
      <c r="C3" s="13" t="s">
        <v>221</v>
      </c>
      <c r="D3" s="9" t="s">
        <v>21</v>
      </c>
      <c r="E3" s="9" t="s">
        <v>220</v>
      </c>
      <c r="F3" s="9" t="s">
        <v>14</v>
      </c>
      <c r="G3" s="25" t="s">
        <v>22</v>
      </c>
      <c r="H3" s="9">
        <v>7676201</v>
      </c>
      <c r="I3" s="16">
        <v>7676201</v>
      </c>
      <c r="J3" s="9" t="s">
        <v>16</v>
      </c>
      <c r="K3" s="9" t="s">
        <v>23</v>
      </c>
      <c r="L3" s="9" t="s">
        <v>17</v>
      </c>
      <c r="M3" s="9" t="s">
        <v>18</v>
      </c>
      <c r="N3" s="9" t="s">
        <v>24</v>
      </c>
      <c r="O3" s="9">
        <v>2019</v>
      </c>
      <c r="P3" s="9">
        <v>86.61</v>
      </c>
      <c r="Q3" s="9" t="s">
        <v>16</v>
      </c>
      <c r="R3" s="16" t="s">
        <v>358</v>
      </c>
      <c r="S3" s="8" t="s">
        <v>186</v>
      </c>
      <c r="T3" s="8" t="s">
        <v>359</v>
      </c>
      <c r="U3" s="23" t="s">
        <v>307</v>
      </c>
      <c r="V3" s="23" t="s">
        <v>25</v>
      </c>
      <c r="W3" s="8">
        <v>78</v>
      </c>
      <c r="X3" s="8" t="s">
        <v>307</v>
      </c>
      <c r="Y3" s="8" t="s">
        <v>360</v>
      </c>
      <c r="Z3" s="8">
        <v>88.2</v>
      </c>
      <c r="AA3" s="23"/>
      <c r="AB3" s="10"/>
      <c r="AC3" s="10"/>
      <c r="AD3" s="10"/>
    </row>
    <row r="4" spans="1:30" ht="38.25" x14ac:dyDescent="0.2">
      <c r="A4" s="8">
        <v>2023090</v>
      </c>
      <c r="B4" s="16" t="s">
        <v>27</v>
      </c>
      <c r="C4" s="13">
        <v>38353</v>
      </c>
      <c r="D4" s="16" t="s">
        <v>66</v>
      </c>
      <c r="E4" s="16" t="s">
        <v>28</v>
      </c>
      <c r="F4" s="16" t="s">
        <v>14</v>
      </c>
      <c r="G4" s="16" t="s">
        <v>29</v>
      </c>
      <c r="H4" s="16">
        <v>6123711</v>
      </c>
      <c r="I4" s="16">
        <f>22664983181</f>
        <v>22664983181</v>
      </c>
      <c r="J4" s="16" t="s">
        <v>16</v>
      </c>
      <c r="K4" s="16" t="s">
        <v>30</v>
      </c>
      <c r="L4" s="16" t="s">
        <v>17</v>
      </c>
      <c r="M4" s="16" t="s">
        <v>18</v>
      </c>
      <c r="N4" s="16" t="s">
        <v>31</v>
      </c>
      <c r="O4" s="16">
        <v>2022</v>
      </c>
      <c r="P4" s="16">
        <v>90.9</v>
      </c>
      <c r="Q4" s="16" t="s">
        <v>32</v>
      </c>
      <c r="R4" s="16" t="s">
        <v>358</v>
      </c>
      <c r="S4" s="8" t="s">
        <v>186</v>
      </c>
      <c r="T4" s="8" t="s">
        <v>359</v>
      </c>
      <c r="U4" s="8" t="s">
        <v>25</v>
      </c>
      <c r="V4" s="8" t="s">
        <v>25</v>
      </c>
      <c r="W4" s="8">
        <v>84.3</v>
      </c>
      <c r="X4" s="8" t="s">
        <v>307</v>
      </c>
      <c r="Y4" s="8" t="s">
        <v>360</v>
      </c>
      <c r="Z4" s="8">
        <v>85.7</v>
      </c>
      <c r="AA4" s="23"/>
      <c r="AB4" s="10"/>
      <c r="AC4" s="10"/>
      <c r="AD4" s="10"/>
    </row>
    <row r="5" spans="1:30" ht="25.5" x14ac:dyDescent="0.2">
      <c r="A5" s="8">
        <v>2023055</v>
      </c>
      <c r="B5" s="9" t="s">
        <v>33</v>
      </c>
      <c r="C5" s="13" t="s">
        <v>205</v>
      </c>
      <c r="D5" s="9" t="s">
        <v>13</v>
      </c>
      <c r="E5" s="16">
        <v>281103020002</v>
      </c>
      <c r="F5" s="9" t="s">
        <v>210</v>
      </c>
      <c r="G5" s="25" t="s">
        <v>217</v>
      </c>
      <c r="H5" s="9">
        <v>3727144</v>
      </c>
      <c r="I5" s="16">
        <v>3727144</v>
      </c>
      <c r="J5" s="9" t="s">
        <v>16</v>
      </c>
      <c r="K5" s="9" t="s">
        <v>206</v>
      </c>
      <c r="L5" s="9" t="s">
        <v>17</v>
      </c>
      <c r="M5" s="9" t="s">
        <v>18</v>
      </c>
      <c r="N5" s="16" t="s">
        <v>308</v>
      </c>
      <c r="O5" s="9" t="s">
        <v>311</v>
      </c>
      <c r="P5" s="16">
        <v>7607</v>
      </c>
      <c r="Q5" s="9" t="s">
        <v>16</v>
      </c>
      <c r="R5" s="16" t="s">
        <v>358</v>
      </c>
      <c r="S5" s="8" t="s">
        <v>193</v>
      </c>
      <c r="T5" s="8" t="s">
        <v>359</v>
      </c>
      <c r="U5" s="23" t="s">
        <v>191</v>
      </c>
      <c r="V5" s="23" t="s">
        <v>25</v>
      </c>
      <c r="W5" s="8">
        <v>78.5</v>
      </c>
      <c r="X5" s="8" t="s">
        <v>307</v>
      </c>
      <c r="Y5" s="8" t="s">
        <v>360</v>
      </c>
      <c r="Z5" s="8">
        <v>87.1</v>
      </c>
      <c r="AA5" s="23"/>
      <c r="AB5" s="10"/>
      <c r="AC5" s="10"/>
      <c r="AD5" s="10"/>
    </row>
    <row r="6" spans="1:30" ht="38.25" x14ac:dyDescent="0.2">
      <c r="A6" s="8">
        <v>2023079</v>
      </c>
      <c r="B6" s="9" t="s">
        <v>35</v>
      </c>
      <c r="C6" s="13">
        <v>33979</v>
      </c>
      <c r="D6" s="9" t="s">
        <v>21</v>
      </c>
      <c r="E6" s="9" t="s">
        <v>222</v>
      </c>
      <c r="F6" s="9" t="s">
        <v>14</v>
      </c>
      <c r="G6" s="9" t="s">
        <v>36</v>
      </c>
      <c r="H6" s="11">
        <f>2205352395</f>
        <v>2205352395</v>
      </c>
      <c r="I6" s="16">
        <f>2205352395</f>
        <v>2205352395</v>
      </c>
      <c r="J6" s="9" t="s">
        <v>16</v>
      </c>
      <c r="K6" s="9" t="s">
        <v>154</v>
      </c>
      <c r="L6" s="9" t="s">
        <v>309</v>
      </c>
      <c r="M6" s="9" t="s">
        <v>37</v>
      </c>
      <c r="N6" s="16" t="s">
        <v>223</v>
      </c>
      <c r="O6" s="16">
        <v>2019</v>
      </c>
      <c r="P6" s="16">
        <v>3.39</v>
      </c>
      <c r="Q6" s="9" t="s">
        <v>16</v>
      </c>
      <c r="R6" s="16" t="s">
        <v>358</v>
      </c>
      <c r="S6" s="8" t="s">
        <v>186</v>
      </c>
      <c r="T6" s="8" t="s">
        <v>359</v>
      </c>
      <c r="U6" s="8" t="s">
        <v>25</v>
      </c>
      <c r="V6" s="8" t="s">
        <v>307</v>
      </c>
      <c r="W6" s="8">
        <v>67.7</v>
      </c>
      <c r="X6" s="8" t="s">
        <v>189</v>
      </c>
      <c r="Y6" s="8" t="s">
        <v>360</v>
      </c>
      <c r="Z6" s="8">
        <v>82.4</v>
      </c>
      <c r="AA6" s="23"/>
      <c r="AB6" s="10"/>
      <c r="AC6" s="10"/>
      <c r="AD6" s="10"/>
    </row>
    <row r="7" spans="1:30" ht="38.25" x14ac:dyDescent="0.2">
      <c r="A7" s="8">
        <v>2023023</v>
      </c>
      <c r="B7" s="9" t="s">
        <v>40</v>
      </c>
      <c r="C7" s="13">
        <v>37962</v>
      </c>
      <c r="D7" s="9" t="s">
        <v>13</v>
      </c>
      <c r="E7" s="9" t="s">
        <v>202</v>
      </c>
      <c r="F7" s="9" t="s">
        <v>14</v>
      </c>
      <c r="G7" s="25" t="s">
        <v>203</v>
      </c>
      <c r="H7" s="9">
        <v>5215564</v>
      </c>
      <c r="I7" s="9">
        <v>5215564</v>
      </c>
      <c r="J7" s="9" t="s">
        <v>16</v>
      </c>
      <c r="K7" s="9" t="s">
        <v>41</v>
      </c>
      <c r="L7" s="9" t="s">
        <v>17</v>
      </c>
      <c r="M7" s="16" t="s">
        <v>18</v>
      </c>
      <c r="N7" s="9" t="s">
        <v>19</v>
      </c>
      <c r="O7" s="9">
        <v>2023</v>
      </c>
      <c r="P7" s="9">
        <v>92.63</v>
      </c>
      <c r="Q7" s="9" t="s">
        <v>16</v>
      </c>
      <c r="R7" s="16" t="s">
        <v>358</v>
      </c>
      <c r="S7" s="8" t="s">
        <v>193</v>
      </c>
      <c r="T7" s="8" t="s">
        <v>359</v>
      </c>
      <c r="U7" s="8" t="s">
        <v>25</v>
      </c>
      <c r="V7" s="23" t="s">
        <v>25</v>
      </c>
      <c r="W7" s="8">
        <v>85.4</v>
      </c>
      <c r="X7" s="8" t="s">
        <v>25</v>
      </c>
      <c r="Y7" s="8" t="s">
        <v>25</v>
      </c>
      <c r="Z7" s="8">
        <v>95.5</v>
      </c>
      <c r="AA7" s="8"/>
      <c r="AB7" s="10"/>
      <c r="AC7" s="10"/>
      <c r="AD7" s="10"/>
    </row>
    <row r="8" spans="1:30" ht="38.25" x14ac:dyDescent="0.2">
      <c r="A8" s="8">
        <v>2023065</v>
      </c>
      <c r="B8" s="16" t="s">
        <v>312</v>
      </c>
      <c r="C8" s="13" t="s">
        <v>241</v>
      </c>
      <c r="D8" s="16" t="s">
        <v>42</v>
      </c>
      <c r="E8" s="16" t="s">
        <v>243</v>
      </c>
      <c r="F8" s="16" t="s">
        <v>14</v>
      </c>
      <c r="G8" s="16" t="s">
        <v>244</v>
      </c>
      <c r="H8" s="16">
        <v>3167968</v>
      </c>
      <c r="I8" s="16">
        <v>3167968</v>
      </c>
      <c r="J8" s="16" t="s">
        <v>16</v>
      </c>
      <c r="K8" s="16" t="s">
        <v>43</v>
      </c>
      <c r="L8" s="16" t="s">
        <v>17</v>
      </c>
      <c r="M8" s="16" t="s">
        <v>18</v>
      </c>
      <c r="N8" s="16" t="s">
        <v>258</v>
      </c>
      <c r="O8" s="16">
        <v>2021</v>
      </c>
      <c r="P8" s="16">
        <v>90</v>
      </c>
      <c r="Q8" s="16" t="s">
        <v>16</v>
      </c>
      <c r="R8" s="16" t="s">
        <v>358</v>
      </c>
      <c r="S8" s="8" t="s">
        <v>186</v>
      </c>
      <c r="T8" s="8" t="s">
        <v>359</v>
      </c>
      <c r="U8" s="8" t="s">
        <v>25</v>
      </c>
      <c r="V8" s="8" t="s">
        <v>25</v>
      </c>
      <c r="W8" s="8">
        <v>82.9</v>
      </c>
      <c r="X8" s="8" t="s">
        <v>25</v>
      </c>
      <c r="Y8" s="8" t="s">
        <v>360</v>
      </c>
      <c r="Z8" s="8">
        <v>87.2</v>
      </c>
      <c r="AA8" s="8"/>
      <c r="AB8" s="10"/>
      <c r="AC8" s="10"/>
      <c r="AD8" s="10"/>
    </row>
    <row r="9" spans="1:30" ht="38.25" x14ac:dyDescent="0.2">
      <c r="A9" s="8">
        <v>2023072</v>
      </c>
      <c r="B9" s="16" t="s">
        <v>44</v>
      </c>
      <c r="C9" s="13" t="s">
        <v>242</v>
      </c>
      <c r="D9" s="16" t="s">
        <v>21</v>
      </c>
      <c r="E9" s="16" t="s">
        <v>45</v>
      </c>
      <c r="F9" s="16" t="s">
        <v>14</v>
      </c>
      <c r="G9" s="16" t="s">
        <v>46</v>
      </c>
      <c r="H9" s="16">
        <v>7399313</v>
      </c>
      <c r="I9" s="16">
        <v>7399313</v>
      </c>
      <c r="J9" s="16" t="s">
        <v>16</v>
      </c>
      <c r="K9" s="16" t="s">
        <v>313</v>
      </c>
      <c r="L9" s="16" t="s">
        <v>17</v>
      </c>
      <c r="M9" s="16" t="s">
        <v>18</v>
      </c>
      <c r="N9" s="16" t="s">
        <v>335</v>
      </c>
      <c r="O9" s="16">
        <v>2023</v>
      </c>
      <c r="P9" s="16">
        <v>93</v>
      </c>
      <c r="Q9" s="16" t="s">
        <v>16</v>
      </c>
      <c r="R9" s="16" t="s">
        <v>358</v>
      </c>
      <c r="S9" s="8" t="s">
        <v>186</v>
      </c>
      <c r="T9" s="8" t="s">
        <v>359</v>
      </c>
      <c r="U9" s="8" t="s">
        <v>25</v>
      </c>
      <c r="V9" s="8" t="s">
        <v>25</v>
      </c>
      <c r="W9" s="8">
        <v>78.2</v>
      </c>
      <c r="X9" s="8" t="s">
        <v>307</v>
      </c>
      <c r="Y9" s="8" t="s">
        <v>191</v>
      </c>
      <c r="Z9" s="8">
        <v>72</v>
      </c>
      <c r="AA9" s="8"/>
      <c r="AB9" s="10"/>
      <c r="AC9" s="10"/>
      <c r="AD9" s="10"/>
    </row>
    <row r="10" spans="1:30" ht="38.25" x14ac:dyDescent="0.2">
      <c r="A10" s="8">
        <v>2023084</v>
      </c>
      <c r="B10" s="9" t="s">
        <v>47</v>
      </c>
      <c r="C10" s="13">
        <v>36896</v>
      </c>
      <c r="D10" s="9" t="s">
        <v>13</v>
      </c>
      <c r="E10" s="9" t="s">
        <v>207</v>
      </c>
      <c r="F10" s="16" t="s">
        <v>207</v>
      </c>
      <c r="G10" s="9" t="s">
        <v>48</v>
      </c>
      <c r="H10" s="9">
        <v>2417453</v>
      </c>
      <c r="I10" s="9">
        <v>2417453</v>
      </c>
      <c r="J10" s="9" t="s">
        <v>16</v>
      </c>
      <c r="K10" s="9" t="s">
        <v>208</v>
      </c>
      <c r="L10" s="9" t="s">
        <v>17</v>
      </c>
      <c r="M10" s="16" t="s">
        <v>18</v>
      </c>
      <c r="N10" s="9" t="s">
        <v>39</v>
      </c>
      <c r="O10" s="9" t="s">
        <v>314</v>
      </c>
      <c r="P10" s="9">
        <v>85.83</v>
      </c>
      <c r="Q10" s="9" t="s">
        <v>16</v>
      </c>
      <c r="R10" s="16" t="s">
        <v>358</v>
      </c>
      <c r="S10" s="8" t="s">
        <v>193</v>
      </c>
      <c r="T10" s="8" t="s">
        <v>359</v>
      </c>
      <c r="U10" s="8" t="s">
        <v>25</v>
      </c>
      <c r="V10" s="8" t="s">
        <v>25</v>
      </c>
      <c r="W10" s="8">
        <v>85.3</v>
      </c>
      <c r="X10" s="8" t="s">
        <v>25</v>
      </c>
      <c r="Y10" s="8" t="s">
        <v>360</v>
      </c>
      <c r="Z10" s="8">
        <v>88.5</v>
      </c>
      <c r="AA10" s="8"/>
      <c r="AB10" s="10"/>
      <c r="AC10" s="10"/>
      <c r="AD10" s="10"/>
    </row>
    <row r="11" spans="1:30" ht="25.5" x14ac:dyDescent="0.2">
      <c r="A11" s="8">
        <v>2023113</v>
      </c>
      <c r="B11" s="9" t="s">
        <v>49</v>
      </c>
      <c r="C11" s="13">
        <v>37901</v>
      </c>
      <c r="D11" s="9" t="s">
        <v>50</v>
      </c>
      <c r="E11" s="12">
        <v>87540000007</v>
      </c>
      <c r="F11" s="9" t="s">
        <v>210</v>
      </c>
      <c r="G11" s="9" t="s">
        <v>51</v>
      </c>
      <c r="H11" s="11">
        <v>2207847413</v>
      </c>
      <c r="I11" s="16">
        <f>2250565315084</f>
        <v>2250565315084</v>
      </c>
      <c r="J11" s="9" t="s">
        <v>16</v>
      </c>
      <c r="K11" s="9" t="s">
        <v>30</v>
      </c>
      <c r="L11" s="9" t="s">
        <v>17</v>
      </c>
      <c r="M11" s="16" t="s">
        <v>18</v>
      </c>
      <c r="N11" s="9" t="s">
        <v>52</v>
      </c>
      <c r="O11" s="9">
        <v>2023</v>
      </c>
      <c r="P11" s="9">
        <v>73.930000000000007</v>
      </c>
      <c r="Q11" s="9" t="s">
        <v>53</v>
      </c>
      <c r="R11" s="16" t="s">
        <v>358</v>
      </c>
      <c r="S11" s="8" t="s">
        <v>186</v>
      </c>
      <c r="T11" s="8" t="s">
        <v>359</v>
      </c>
      <c r="U11" s="8" t="s">
        <v>25</v>
      </c>
      <c r="V11" s="8" t="s">
        <v>307</v>
      </c>
      <c r="W11" s="8">
        <v>82.4</v>
      </c>
      <c r="X11" s="8" t="s">
        <v>307</v>
      </c>
      <c r="Y11" s="8" t="s">
        <v>25</v>
      </c>
      <c r="Z11" s="8">
        <v>93.2</v>
      </c>
      <c r="AA11" s="23"/>
      <c r="AB11" s="10"/>
      <c r="AC11" s="10"/>
      <c r="AD11" s="10"/>
    </row>
    <row r="12" spans="1:30" ht="25.5" x14ac:dyDescent="0.2">
      <c r="A12" s="8">
        <v>2023047</v>
      </c>
      <c r="B12" s="16" t="s">
        <v>54</v>
      </c>
      <c r="C12" s="13" t="s">
        <v>225</v>
      </c>
      <c r="D12" s="16" t="s">
        <v>50</v>
      </c>
      <c r="E12" s="16" t="s">
        <v>207</v>
      </c>
      <c r="F12" s="16" t="s">
        <v>207</v>
      </c>
      <c r="G12" s="16" t="s">
        <v>226</v>
      </c>
      <c r="H12" s="16">
        <v>6364828</v>
      </c>
      <c r="I12" s="16">
        <v>6364828</v>
      </c>
      <c r="J12" s="16" t="s">
        <v>16</v>
      </c>
      <c r="K12" s="16" t="s">
        <v>30</v>
      </c>
      <c r="L12" s="16" t="s">
        <v>17</v>
      </c>
      <c r="M12" s="16" t="s">
        <v>18</v>
      </c>
      <c r="N12" s="16" t="s">
        <v>55</v>
      </c>
      <c r="O12" s="16">
        <v>2023</v>
      </c>
      <c r="P12" s="16">
        <v>16.14</v>
      </c>
      <c r="Q12" s="16" t="s">
        <v>53</v>
      </c>
      <c r="R12" s="16" t="s">
        <v>358</v>
      </c>
      <c r="S12" s="23" t="s">
        <v>186</v>
      </c>
      <c r="T12" s="8" t="s">
        <v>359</v>
      </c>
      <c r="U12" s="8" t="s">
        <v>307</v>
      </c>
      <c r="V12" s="8" t="s">
        <v>307</v>
      </c>
      <c r="W12" s="8">
        <v>75.3</v>
      </c>
      <c r="X12" s="8" t="s">
        <v>307</v>
      </c>
      <c r="Y12" s="8" t="s">
        <v>360</v>
      </c>
      <c r="Z12" s="8">
        <v>82.1</v>
      </c>
      <c r="AA12" s="23"/>
      <c r="AB12" s="10"/>
      <c r="AC12" s="10"/>
      <c r="AD12" s="10"/>
    </row>
    <row r="13" spans="1:30" ht="38.25" x14ac:dyDescent="0.2">
      <c r="A13" s="8">
        <v>2023046</v>
      </c>
      <c r="B13" s="16" t="s">
        <v>56</v>
      </c>
      <c r="C13" s="13">
        <v>36194</v>
      </c>
      <c r="D13" s="16" t="s">
        <v>50</v>
      </c>
      <c r="E13" s="16" t="s">
        <v>57</v>
      </c>
      <c r="F13" s="16" t="s">
        <v>210</v>
      </c>
      <c r="G13" s="16" t="s">
        <v>58</v>
      </c>
      <c r="H13" s="16">
        <v>6145434</v>
      </c>
      <c r="I13" s="16">
        <v>6145434</v>
      </c>
      <c r="J13" s="16" t="s">
        <v>16</v>
      </c>
      <c r="K13" s="16" t="s">
        <v>30</v>
      </c>
      <c r="L13" s="16" t="s">
        <v>17</v>
      </c>
      <c r="M13" s="16" t="s">
        <v>18</v>
      </c>
      <c r="N13" s="16" t="s">
        <v>59</v>
      </c>
      <c r="O13" s="16">
        <v>2017</v>
      </c>
      <c r="P13" s="16" t="s">
        <v>60</v>
      </c>
      <c r="Q13" s="16" t="s">
        <v>53</v>
      </c>
      <c r="R13" s="16" t="s">
        <v>358</v>
      </c>
      <c r="S13" s="23" t="s">
        <v>186</v>
      </c>
      <c r="T13" s="8" t="s">
        <v>359</v>
      </c>
      <c r="U13" s="8" t="s">
        <v>307</v>
      </c>
      <c r="V13" s="8" t="s">
        <v>25</v>
      </c>
      <c r="W13" s="8">
        <v>79.599999999999994</v>
      </c>
      <c r="X13" s="8" t="s">
        <v>307</v>
      </c>
      <c r="Y13" s="8" t="s">
        <v>360</v>
      </c>
      <c r="Z13" s="8">
        <v>88.5</v>
      </c>
      <c r="AA13" s="23"/>
      <c r="AB13" s="10"/>
      <c r="AC13" s="10"/>
      <c r="AD13" s="10"/>
    </row>
    <row r="14" spans="1:30" ht="25.5" x14ac:dyDescent="0.2">
      <c r="A14" s="8">
        <v>2023081</v>
      </c>
      <c r="B14" s="16" t="s">
        <v>61</v>
      </c>
      <c r="C14" s="13">
        <v>38484</v>
      </c>
      <c r="D14" s="16" t="s">
        <v>50</v>
      </c>
      <c r="E14" s="16" t="s">
        <v>235</v>
      </c>
      <c r="F14" s="16" t="s">
        <v>14</v>
      </c>
      <c r="G14" s="16" t="s">
        <v>62</v>
      </c>
      <c r="H14" s="16">
        <v>6137414</v>
      </c>
      <c r="I14" s="16">
        <v>6137414</v>
      </c>
      <c r="J14" s="16" t="s">
        <v>16</v>
      </c>
      <c r="K14" s="16" t="s">
        <v>30</v>
      </c>
      <c r="L14" s="16" t="s">
        <v>17</v>
      </c>
      <c r="M14" s="16" t="s">
        <v>18</v>
      </c>
      <c r="N14" s="16" t="s">
        <v>68</v>
      </c>
      <c r="O14" s="16" t="s">
        <v>316</v>
      </c>
      <c r="P14" s="16">
        <v>96.63</v>
      </c>
      <c r="Q14" s="16" t="s">
        <v>53</v>
      </c>
      <c r="R14" s="16" t="s">
        <v>358</v>
      </c>
      <c r="S14" s="23" t="s">
        <v>186</v>
      </c>
      <c r="T14" s="8" t="s">
        <v>359</v>
      </c>
      <c r="U14" s="8" t="s">
        <v>307</v>
      </c>
      <c r="V14" s="8" t="s">
        <v>25</v>
      </c>
      <c r="W14" s="8">
        <v>79</v>
      </c>
      <c r="X14" s="8" t="s">
        <v>307</v>
      </c>
      <c r="Y14" s="8" t="s">
        <v>360</v>
      </c>
      <c r="Z14" s="8">
        <v>85.1</v>
      </c>
      <c r="AA14" s="23"/>
      <c r="AB14" s="10"/>
      <c r="AC14" s="10"/>
      <c r="AD14" s="10"/>
    </row>
    <row r="15" spans="1:30" ht="38.25" x14ac:dyDescent="0.2">
      <c r="A15" s="8">
        <v>2023088</v>
      </c>
      <c r="B15" s="16" t="s">
        <v>63</v>
      </c>
      <c r="C15" s="13">
        <v>37299</v>
      </c>
      <c r="D15" s="16" t="s">
        <v>50</v>
      </c>
      <c r="E15" s="16" t="s">
        <v>236</v>
      </c>
      <c r="F15" s="16" t="s">
        <v>210</v>
      </c>
      <c r="G15" s="25" t="s">
        <v>64</v>
      </c>
      <c r="H15" s="16">
        <v>6170535</v>
      </c>
      <c r="I15" s="16">
        <v>6170535</v>
      </c>
      <c r="J15" s="16" t="s">
        <v>16</v>
      </c>
      <c r="K15" s="16" t="s">
        <v>30</v>
      </c>
      <c r="L15" s="16" t="s">
        <v>17</v>
      </c>
      <c r="M15" s="16" t="s">
        <v>18</v>
      </c>
      <c r="N15" s="16" t="s">
        <v>65</v>
      </c>
      <c r="O15" s="13">
        <v>44782</v>
      </c>
      <c r="P15" s="16">
        <v>94.11</v>
      </c>
      <c r="Q15" s="16" t="s">
        <v>53</v>
      </c>
      <c r="R15" s="16" t="s">
        <v>358</v>
      </c>
      <c r="S15" s="23" t="s">
        <v>186</v>
      </c>
      <c r="T15" s="8" t="s">
        <v>359</v>
      </c>
      <c r="U15" s="8" t="s">
        <v>189</v>
      </c>
      <c r="V15" s="8" t="s">
        <v>189</v>
      </c>
      <c r="W15" s="8">
        <v>68.400000000000006</v>
      </c>
      <c r="X15" s="8" t="s">
        <v>189</v>
      </c>
      <c r="Y15" s="8" t="s">
        <v>360</v>
      </c>
      <c r="Z15" s="8">
        <v>80.8</v>
      </c>
      <c r="AA15" s="23"/>
      <c r="AB15" s="10"/>
      <c r="AC15" s="10"/>
      <c r="AD15" s="10"/>
    </row>
    <row r="16" spans="1:30" ht="25.5" x14ac:dyDescent="0.2">
      <c r="A16" s="8">
        <v>2023108</v>
      </c>
      <c r="B16" s="16" t="s">
        <v>69</v>
      </c>
      <c r="C16" s="13" t="s">
        <v>227</v>
      </c>
      <c r="D16" s="9" t="s">
        <v>50</v>
      </c>
      <c r="E16" s="12" t="s">
        <v>228</v>
      </c>
      <c r="F16" s="9" t="s">
        <v>210</v>
      </c>
      <c r="G16" s="25" t="s">
        <v>229</v>
      </c>
      <c r="H16" s="9">
        <v>2445761</v>
      </c>
      <c r="I16" s="11">
        <v>2445761</v>
      </c>
      <c r="J16" s="9" t="s">
        <v>16</v>
      </c>
      <c r="K16" s="9" t="s">
        <v>30</v>
      </c>
      <c r="L16" s="9" t="s">
        <v>17</v>
      </c>
      <c r="M16" s="16" t="s">
        <v>18</v>
      </c>
      <c r="N16" s="9" t="s">
        <v>68</v>
      </c>
      <c r="O16" s="9" t="s">
        <v>129</v>
      </c>
      <c r="P16" s="9">
        <v>99.1</v>
      </c>
      <c r="Q16" s="9" t="s">
        <v>53</v>
      </c>
      <c r="R16" s="16" t="s">
        <v>358</v>
      </c>
      <c r="S16" s="23" t="s">
        <v>186</v>
      </c>
      <c r="T16" s="8" t="s">
        <v>359</v>
      </c>
      <c r="U16" s="8" t="s">
        <v>192</v>
      </c>
      <c r="V16" s="8" t="s">
        <v>307</v>
      </c>
      <c r="W16" s="8">
        <v>64.400000000000006</v>
      </c>
      <c r="X16" s="8" t="s">
        <v>189</v>
      </c>
      <c r="Y16" s="8" t="s">
        <v>189</v>
      </c>
      <c r="Z16" s="8">
        <v>71.900000000000006</v>
      </c>
      <c r="AA16" s="23"/>
      <c r="AB16" s="10"/>
      <c r="AC16" s="10"/>
      <c r="AD16" s="10"/>
    </row>
    <row r="17" spans="1:30" ht="38.25" x14ac:dyDescent="0.2">
      <c r="A17" s="8">
        <v>2023027</v>
      </c>
      <c r="B17" s="9" t="s">
        <v>70</v>
      </c>
      <c r="C17" s="13" t="s">
        <v>318</v>
      </c>
      <c r="D17" s="9" t="s">
        <v>66</v>
      </c>
      <c r="E17" s="9" t="s">
        <v>71</v>
      </c>
      <c r="F17" s="9" t="s">
        <v>210</v>
      </c>
      <c r="G17" s="9" t="s">
        <v>72</v>
      </c>
      <c r="H17" s="9">
        <v>6123700</v>
      </c>
      <c r="I17" s="16">
        <f>22675599635</f>
        <v>22675599635</v>
      </c>
      <c r="J17" s="9" t="s">
        <v>16</v>
      </c>
      <c r="K17" s="9" t="s">
        <v>30</v>
      </c>
      <c r="L17" s="9" t="s">
        <v>17</v>
      </c>
      <c r="M17" s="16" t="s">
        <v>18</v>
      </c>
      <c r="N17" s="9" t="s">
        <v>67</v>
      </c>
      <c r="O17" s="16" t="s">
        <v>129</v>
      </c>
      <c r="P17" s="9">
        <v>98.188000000000002</v>
      </c>
      <c r="Q17" s="9" t="s">
        <v>32</v>
      </c>
      <c r="R17" s="16" t="s">
        <v>358</v>
      </c>
      <c r="S17" s="8" t="s">
        <v>186</v>
      </c>
      <c r="T17" s="8" t="s">
        <v>359</v>
      </c>
      <c r="U17" s="23" t="s">
        <v>25</v>
      </c>
      <c r="V17" s="23" t="s">
        <v>25</v>
      </c>
      <c r="W17" s="8">
        <v>90</v>
      </c>
      <c r="X17" s="8" t="s">
        <v>25</v>
      </c>
      <c r="Y17" s="8" t="s">
        <v>25</v>
      </c>
      <c r="Z17" s="8">
        <v>93.3</v>
      </c>
      <c r="AA17" s="23"/>
      <c r="AB17" s="10"/>
      <c r="AC17" s="10"/>
      <c r="AD17" s="10"/>
    </row>
    <row r="18" spans="1:30" ht="38.25" x14ac:dyDescent="0.2">
      <c r="A18" s="8">
        <v>2023067</v>
      </c>
      <c r="B18" s="9" t="s">
        <v>73</v>
      </c>
      <c r="C18" s="13" t="s">
        <v>319</v>
      </c>
      <c r="D18" s="16" t="s">
        <v>66</v>
      </c>
      <c r="E18" s="9" t="s">
        <v>207</v>
      </c>
      <c r="F18" s="9" t="s">
        <v>207</v>
      </c>
      <c r="G18" s="25" t="s">
        <v>231</v>
      </c>
      <c r="H18" s="11">
        <v>6119210</v>
      </c>
      <c r="I18" s="16">
        <v>6119210</v>
      </c>
      <c r="J18" s="9" t="s">
        <v>16</v>
      </c>
      <c r="K18" s="9" t="s">
        <v>30</v>
      </c>
      <c r="L18" s="9" t="s">
        <v>17</v>
      </c>
      <c r="M18" s="16" t="s">
        <v>18</v>
      </c>
      <c r="N18" s="16" t="s">
        <v>76</v>
      </c>
      <c r="O18" s="16" t="s">
        <v>129</v>
      </c>
      <c r="P18" s="9">
        <v>29.68</v>
      </c>
      <c r="Q18" s="9" t="s">
        <v>53</v>
      </c>
      <c r="R18" s="16" t="s">
        <v>358</v>
      </c>
      <c r="S18" s="8" t="s">
        <v>186</v>
      </c>
      <c r="T18" s="8" t="s">
        <v>359</v>
      </c>
      <c r="U18" s="8" t="s">
        <v>307</v>
      </c>
      <c r="V18" s="8" t="s">
        <v>307</v>
      </c>
      <c r="W18" s="8">
        <v>67.3</v>
      </c>
      <c r="X18" s="8" t="s">
        <v>189</v>
      </c>
      <c r="Y18" s="8" t="s">
        <v>360</v>
      </c>
      <c r="Z18" s="8">
        <v>77.7</v>
      </c>
      <c r="AA18" s="23"/>
      <c r="AB18" s="10"/>
      <c r="AC18" s="10"/>
      <c r="AD18" s="10"/>
    </row>
    <row r="19" spans="1:30" ht="25.5" x14ac:dyDescent="0.2">
      <c r="A19" s="8">
        <v>2023096</v>
      </c>
      <c r="B19" s="9" t="s">
        <v>74</v>
      </c>
      <c r="C19" s="13" t="s">
        <v>320</v>
      </c>
      <c r="D19" s="9" t="s">
        <v>50</v>
      </c>
      <c r="E19" s="12" t="s">
        <v>230</v>
      </c>
      <c r="F19" s="9" t="s">
        <v>210</v>
      </c>
      <c r="G19" s="25" t="s">
        <v>75</v>
      </c>
      <c r="H19" s="9">
        <v>6123675</v>
      </c>
      <c r="I19" s="16">
        <v>2250172567153</v>
      </c>
      <c r="J19" s="9" t="s">
        <v>16</v>
      </c>
      <c r="K19" s="16" t="s">
        <v>30</v>
      </c>
      <c r="L19" s="9" t="s">
        <v>17</v>
      </c>
      <c r="M19" s="16" t="s">
        <v>18</v>
      </c>
      <c r="N19" s="9" t="s">
        <v>76</v>
      </c>
      <c r="O19" s="16" t="s">
        <v>321</v>
      </c>
      <c r="P19" s="16">
        <v>29.93</v>
      </c>
      <c r="Q19" s="9" t="s">
        <v>53</v>
      </c>
      <c r="R19" s="16" t="s">
        <v>358</v>
      </c>
      <c r="S19" s="8" t="s">
        <v>186</v>
      </c>
      <c r="T19" s="8" t="s">
        <v>359</v>
      </c>
      <c r="U19" s="8" t="s">
        <v>307</v>
      </c>
      <c r="V19" s="8" t="s">
        <v>307</v>
      </c>
      <c r="W19" s="8">
        <v>71</v>
      </c>
      <c r="X19" s="8" t="s">
        <v>189</v>
      </c>
      <c r="Y19" s="8" t="s">
        <v>360</v>
      </c>
      <c r="Z19" s="8">
        <v>79.8</v>
      </c>
      <c r="AA19" s="23"/>
      <c r="AB19" s="10"/>
      <c r="AC19" s="10"/>
      <c r="AD19" s="10"/>
    </row>
    <row r="20" spans="1:30" ht="38.25" x14ac:dyDescent="0.2">
      <c r="A20" s="8">
        <v>2023033</v>
      </c>
      <c r="B20" s="9" t="s">
        <v>77</v>
      </c>
      <c r="C20" s="13" t="s">
        <v>232</v>
      </c>
      <c r="D20" s="9" t="s">
        <v>66</v>
      </c>
      <c r="E20" s="9" t="s">
        <v>78</v>
      </c>
      <c r="F20" s="9" t="s">
        <v>14</v>
      </c>
      <c r="G20" s="25" t="s">
        <v>79</v>
      </c>
      <c r="H20" s="9">
        <v>6137237</v>
      </c>
      <c r="I20" s="9">
        <v>6137237</v>
      </c>
      <c r="J20" s="9" t="s">
        <v>16</v>
      </c>
      <c r="K20" s="9" t="s">
        <v>30</v>
      </c>
      <c r="L20" s="9" t="s">
        <v>17</v>
      </c>
      <c r="M20" s="16" t="s">
        <v>18</v>
      </c>
      <c r="N20" s="9" t="s">
        <v>80</v>
      </c>
      <c r="O20" s="9" t="s">
        <v>322</v>
      </c>
      <c r="P20" s="9">
        <v>90.67</v>
      </c>
      <c r="Q20" s="9" t="s">
        <v>32</v>
      </c>
      <c r="R20" s="16" t="s">
        <v>358</v>
      </c>
      <c r="S20" s="8" t="s">
        <v>186</v>
      </c>
      <c r="T20" s="8" t="s">
        <v>359</v>
      </c>
      <c r="U20" s="8" t="s">
        <v>25</v>
      </c>
      <c r="V20" s="8" t="s">
        <v>25</v>
      </c>
      <c r="W20" s="8">
        <v>81.599999999999994</v>
      </c>
      <c r="X20" s="8" t="s">
        <v>307</v>
      </c>
      <c r="Y20" s="8" t="s">
        <v>360</v>
      </c>
      <c r="Z20" s="8">
        <v>81.5</v>
      </c>
      <c r="AA20" s="23"/>
      <c r="AB20" s="10"/>
      <c r="AC20" s="10"/>
      <c r="AD20" s="10"/>
    </row>
    <row r="21" spans="1:30" ht="25.5" x14ac:dyDescent="0.2">
      <c r="A21" s="8">
        <v>2023025</v>
      </c>
      <c r="B21" s="16" t="s">
        <v>187</v>
      </c>
      <c r="C21" s="13" t="s">
        <v>209</v>
      </c>
      <c r="D21" s="16" t="s">
        <v>21</v>
      </c>
      <c r="E21" s="16">
        <v>170289120007</v>
      </c>
      <c r="F21" s="16" t="s">
        <v>210</v>
      </c>
      <c r="G21" s="25" t="s">
        <v>81</v>
      </c>
      <c r="H21" s="16">
        <v>7227356</v>
      </c>
      <c r="I21" s="16">
        <v>7227356</v>
      </c>
      <c r="J21" s="16" t="s">
        <v>16</v>
      </c>
      <c r="K21" s="16" t="s">
        <v>82</v>
      </c>
      <c r="L21" s="16" t="s">
        <v>17</v>
      </c>
      <c r="M21" s="16" t="s">
        <v>18</v>
      </c>
      <c r="N21" s="16" t="s">
        <v>83</v>
      </c>
      <c r="O21" s="16">
        <v>2012</v>
      </c>
      <c r="P21" s="16">
        <v>81.13</v>
      </c>
      <c r="Q21" s="16" t="s">
        <v>16</v>
      </c>
      <c r="R21" s="16" t="s">
        <v>358</v>
      </c>
      <c r="S21" s="8" t="s">
        <v>186</v>
      </c>
      <c r="T21" s="8" t="s">
        <v>359</v>
      </c>
      <c r="U21" s="8" t="s">
        <v>189</v>
      </c>
      <c r="V21" s="8" t="s">
        <v>307</v>
      </c>
      <c r="W21" s="8">
        <v>63.4</v>
      </c>
      <c r="X21" s="8" t="s">
        <v>192</v>
      </c>
      <c r="Y21" s="8" t="s">
        <v>192</v>
      </c>
      <c r="Z21" s="8">
        <v>57.3</v>
      </c>
      <c r="AA21" s="23"/>
      <c r="AB21" s="10"/>
      <c r="AC21" s="10"/>
      <c r="AD21" s="10"/>
    </row>
    <row r="22" spans="1:30" ht="38.25" x14ac:dyDescent="0.2">
      <c r="A22" s="8">
        <v>2023030</v>
      </c>
      <c r="B22" s="16" t="s">
        <v>188</v>
      </c>
      <c r="C22" s="13" t="s">
        <v>245</v>
      </c>
      <c r="D22" s="16" t="s">
        <v>21</v>
      </c>
      <c r="E22" s="12" t="s">
        <v>198</v>
      </c>
      <c r="F22" s="16" t="s">
        <v>14</v>
      </c>
      <c r="G22" s="25" t="s">
        <v>246</v>
      </c>
      <c r="H22" s="16">
        <v>2202643904</v>
      </c>
      <c r="I22" s="16">
        <v>2202643904</v>
      </c>
      <c r="J22" s="16" t="s">
        <v>16</v>
      </c>
      <c r="K22" s="16" t="s">
        <v>323</v>
      </c>
      <c r="L22" s="16" t="s">
        <v>17</v>
      </c>
      <c r="M22" s="16" t="s">
        <v>18</v>
      </c>
      <c r="N22" s="16" t="s">
        <v>258</v>
      </c>
      <c r="O22" s="16" t="s">
        <v>328</v>
      </c>
      <c r="P22" s="16">
        <v>78.3</v>
      </c>
      <c r="Q22" s="16" t="s">
        <v>16</v>
      </c>
      <c r="R22" s="16" t="s">
        <v>358</v>
      </c>
      <c r="S22" s="8" t="s">
        <v>186</v>
      </c>
      <c r="T22" s="8" t="s">
        <v>359</v>
      </c>
      <c r="U22" s="8" t="s">
        <v>307</v>
      </c>
      <c r="V22" s="8" t="s">
        <v>25</v>
      </c>
      <c r="W22" s="8">
        <v>76</v>
      </c>
      <c r="X22" s="8" t="s">
        <v>307</v>
      </c>
      <c r="Y22" s="8" t="s">
        <v>360</v>
      </c>
      <c r="Z22" s="8">
        <v>84.9</v>
      </c>
      <c r="AA22" s="8"/>
      <c r="AB22" s="10"/>
      <c r="AC22" s="10"/>
      <c r="AD22" s="10"/>
    </row>
    <row r="23" spans="1:30" ht="38.25" x14ac:dyDescent="0.2">
      <c r="A23" s="8">
        <v>2023039</v>
      </c>
      <c r="B23" s="14" t="s">
        <v>84</v>
      </c>
      <c r="C23" s="13">
        <v>38328</v>
      </c>
      <c r="D23" s="15" t="s">
        <v>66</v>
      </c>
      <c r="E23" s="16" t="s">
        <v>85</v>
      </c>
      <c r="F23" s="9" t="s">
        <v>210</v>
      </c>
      <c r="G23" s="14" t="s">
        <v>86</v>
      </c>
      <c r="H23" s="14">
        <v>7774271</v>
      </c>
      <c r="I23" s="16">
        <v>7774271</v>
      </c>
      <c r="J23" s="14" t="s">
        <v>16</v>
      </c>
      <c r="K23" s="14" t="s">
        <v>30</v>
      </c>
      <c r="L23" s="9" t="s">
        <v>17</v>
      </c>
      <c r="M23" s="16" t="s">
        <v>18</v>
      </c>
      <c r="N23" s="16" t="s">
        <v>87</v>
      </c>
      <c r="O23" s="16" t="s">
        <v>129</v>
      </c>
      <c r="P23" s="16">
        <v>29.86</v>
      </c>
      <c r="Q23" s="14" t="s">
        <v>53</v>
      </c>
      <c r="R23" s="16" t="s">
        <v>358</v>
      </c>
      <c r="S23" s="8" t="s">
        <v>186</v>
      </c>
      <c r="T23" s="8" t="s">
        <v>359</v>
      </c>
      <c r="U23" s="8" t="s">
        <v>307</v>
      </c>
      <c r="V23" s="8" t="s">
        <v>25</v>
      </c>
      <c r="W23" s="8">
        <v>74.3</v>
      </c>
      <c r="X23" s="8" t="s">
        <v>189</v>
      </c>
      <c r="Y23" s="8" t="s">
        <v>360</v>
      </c>
      <c r="Z23" s="8">
        <v>86.4</v>
      </c>
      <c r="AA23" s="8"/>
      <c r="AB23" s="10"/>
      <c r="AC23" s="10"/>
      <c r="AD23" s="10"/>
    </row>
    <row r="24" spans="1:30" ht="25.5" x14ac:dyDescent="0.2">
      <c r="A24" s="8">
        <v>2023017</v>
      </c>
      <c r="B24" s="16" t="s">
        <v>88</v>
      </c>
      <c r="C24" s="13">
        <v>36194</v>
      </c>
      <c r="D24" s="16" t="s">
        <v>21</v>
      </c>
      <c r="E24" s="12" t="s">
        <v>89</v>
      </c>
      <c r="F24" s="16" t="s">
        <v>14</v>
      </c>
      <c r="G24" s="25" t="s">
        <v>90</v>
      </c>
      <c r="H24" s="16">
        <v>2020052</v>
      </c>
      <c r="I24" s="16">
        <v>2020052</v>
      </c>
      <c r="J24" s="16" t="s">
        <v>16</v>
      </c>
      <c r="K24" s="16" t="s">
        <v>324</v>
      </c>
      <c r="L24" s="16" t="s">
        <v>17</v>
      </c>
      <c r="M24" s="16" t="s">
        <v>18</v>
      </c>
      <c r="N24" s="16" t="s">
        <v>19</v>
      </c>
      <c r="O24" s="16">
        <v>2023</v>
      </c>
      <c r="P24" s="16">
        <v>90.94</v>
      </c>
      <c r="Q24" s="16" t="s">
        <v>16</v>
      </c>
      <c r="R24" s="16" t="s">
        <v>358</v>
      </c>
      <c r="S24" s="8" t="s">
        <v>186</v>
      </c>
      <c r="T24" s="8" t="s">
        <v>359</v>
      </c>
      <c r="U24" s="8" t="s">
        <v>307</v>
      </c>
      <c r="V24" s="8" t="s">
        <v>189</v>
      </c>
      <c r="W24" s="8">
        <v>62.6</v>
      </c>
      <c r="X24" s="8" t="s">
        <v>192</v>
      </c>
      <c r="Y24" s="8" t="s">
        <v>189</v>
      </c>
      <c r="Z24" s="8">
        <v>71.8</v>
      </c>
      <c r="AA24" s="8"/>
      <c r="AB24" s="10"/>
      <c r="AC24" s="10"/>
      <c r="AD24" s="10"/>
    </row>
    <row r="25" spans="1:30" ht="38.25" x14ac:dyDescent="0.2">
      <c r="A25" s="8">
        <v>2023018</v>
      </c>
      <c r="B25" s="14" t="s">
        <v>92</v>
      </c>
      <c r="C25" s="13">
        <v>38688</v>
      </c>
      <c r="D25" s="14" t="s">
        <v>21</v>
      </c>
      <c r="E25" s="14" t="s">
        <v>93</v>
      </c>
      <c r="F25" s="9" t="s">
        <v>14</v>
      </c>
      <c r="G25" s="14" t="s">
        <v>94</v>
      </c>
      <c r="H25" s="14">
        <v>2538531</v>
      </c>
      <c r="I25" s="16">
        <v>2538531</v>
      </c>
      <c r="J25" s="14" t="s">
        <v>16</v>
      </c>
      <c r="K25" s="14" t="s">
        <v>95</v>
      </c>
      <c r="L25" s="9" t="s">
        <v>17</v>
      </c>
      <c r="M25" s="16" t="s">
        <v>18</v>
      </c>
      <c r="N25" s="14" t="s">
        <v>19</v>
      </c>
      <c r="O25" s="14" t="s">
        <v>129</v>
      </c>
      <c r="P25" s="14">
        <v>92.26</v>
      </c>
      <c r="Q25" s="14" t="s">
        <v>16</v>
      </c>
      <c r="R25" s="16" t="s">
        <v>358</v>
      </c>
      <c r="S25" s="8" t="s">
        <v>186</v>
      </c>
      <c r="T25" s="8" t="s">
        <v>359</v>
      </c>
      <c r="U25" s="23" t="s">
        <v>25</v>
      </c>
      <c r="V25" s="8" t="s">
        <v>307</v>
      </c>
      <c r="W25" s="8">
        <v>81.2</v>
      </c>
      <c r="X25" s="8" t="s">
        <v>307</v>
      </c>
      <c r="Y25" s="8" t="s">
        <v>360</v>
      </c>
      <c r="Z25" s="8">
        <v>80.400000000000006</v>
      </c>
      <c r="AA25" s="23"/>
      <c r="AB25" s="10"/>
      <c r="AC25" s="10"/>
      <c r="AD25" s="10"/>
    </row>
    <row r="26" spans="1:30" ht="25.5" x14ac:dyDescent="0.2">
      <c r="A26" s="8">
        <v>2023106</v>
      </c>
      <c r="B26" s="14" t="s">
        <v>96</v>
      </c>
      <c r="C26" s="13">
        <v>37237</v>
      </c>
      <c r="D26" s="14" t="s">
        <v>50</v>
      </c>
      <c r="E26" s="14" t="s">
        <v>97</v>
      </c>
      <c r="F26" s="9" t="s">
        <v>14</v>
      </c>
      <c r="G26" s="14" t="s">
        <v>98</v>
      </c>
      <c r="H26" s="14">
        <v>2858677</v>
      </c>
      <c r="I26" s="16">
        <f>2250152832659</f>
        <v>2250152832659</v>
      </c>
      <c r="J26" s="14" t="s">
        <v>16</v>
      </c>
      <c r="K26" s="14" t="s">
        <v>30</v>
      </c>
      <c r="L26" s="9" t="s">
        <v>17</v>
      </c>
      <c r="M26" s="16" t="s">
        <v>18</v>
      </c>
      <c r="N26" s="16" t="s">
        <v>87</v>
      </c>
      <c r="O26" s="16" t="s">
        <v>129</v>
      </c>
      <c r="P26" s="16">
        <v>29.72</v>
      </c>
      <c r="Q26" s="14" t="s">
        <v>53</v>
      </c>
      <c r="R26" s="16" t="s">
        <v>358</v>
      </c>
      <c r="S26" s="8" t="s">
        <v>186</v>
      </c>
      <c r="T26" s="8" t="s">
        <v>359</v>
      </c>
      <c r="U26" s="8" t="s">
        <v>189</v>
      </c>
      <c r="V26" s="8" t="s">
        <v>192</v>
      </c>
      <c r="W26" s="8">
        <v>56.5</v>
      </c>
      <c r="X26" s="8" t="s">
        <v>192</v>
      </c>
      <c r="Y26" s="8" t="s">
        <v>189</v>
      </c>
      <c r="Z26" s="8">
        <v>70.7</v>
      </c>
      <c r="AA26" s="23"/>
      <c r="AB26" s="10"/>
      <c r="AC26" s="10"/>
      <c r="AD26" s="10"/>
    </row>
    <row r="27" spans="1:30" ht="38.25" x14ac:dyDescent="0.2">
      <c r="A27" s="8">
        <v>2023068</v>
      </c>
      <c r="B27" s="16" t="s">
        <v>99</v>
      </c>
      <c r="C27" s="13" t="s">
        <v>237</v>
      </c>
      <c r="D27" s="16" t="s">
        <v>21</v>
      </c>
      <c r="E27" s="16" t="s">
        <v>100</v>
      </c>
      <c r="F27" s="16" t="s">
        <v>14</v>
      </c>
      <c r="G27" s="16" t="s">
        <v>101</v>
      </c>
      <c r="H27" s="16">
        <v>7532615</v>
      </c>
      <c r="I27" s="16">
        <v>7532615</v>
      </c>
      <c r="J27" s="16" t="s">
        <v>16</v>
      </c>
      <c r="K27" s="16" t="s">
        <v>102</v>
      </c>
      <c r="L27" s="16" t="s">
        <v>17</v>
      </c>
      <c r="M27" s="16" t="s">
        <v>18</v>
      </c>
      <c r="N27" s="16" t="s">
        <v>335</v>
      </c>
      <c r="O27" s="16" t="s">
        <v>326</v>
      </c>
      <c r="P27" s="16">
        <v>83</v>
      </c>
      <c r="Q27" s="16" t="s">
        <v>16</v>
      </c>
      <c r="R27" s="16" t="s">
        <v>358</v>
      </c>
      <c r="S27" s="23" t="s">
        <v>186</v>
      </c>
      <c r="T27" s="8" t="s">
        <v>359</v>
      </c>
      <c r="U27" s="8" t="s">
        <v>189</v>
      </c>
      <c r="V27" s="8" t="s">
        <v>307</v>
      </c>
      <c r="W27" s="8">
        <v>59.2</v>
      </c>
      <c r="X27" s="8" t="s">
        <v>192</v>
      </c>
      <c r="Y27" s="8" t="s">
        <v>192</v>
      </c>
      <c r="Z27" s="8">
        <v>54.7</v>
      </c>
      <c r="AA27" s="23"/>
      <c r="AB27" s="10"/>
      <c r="AC27" s="10"/>
      <c r="AD27" s="10"/>
    </row>
    <row r="28" spans="1:30" ht="38.25" x14ac:dyDescent="0.2">
      <c r="A28" s="8">
        <v>2023062</v>
      </c>
      <c r="B28" s="16" t="s">
        <v>103</v>
      </c>
      <c r="C28" s="13">
        <v>37594</v>
      </c>
      <c r="D28" s="14" t="s">
        <v>21</v>
      </c>
      <c r="E28" s="14" t="s">
        <v>104</v>
      </c>
      <c r="F28" s="9" t="s">
        <v>14</v>
      </c>
      <c r="G28" s="25" t="s">
        <v>233</v>
      </c>
      <c r="H28" s="14">
        <v>2202348455</v>
      </c>
      <c r="I28" s="14">
        <v>2202348455</v>
      </c>
      <c r="J28" s="14" t="s">
        <v>16</v>
      </c>
      <c r="K28" s="14" t="s">
        <v>327</v>
      </c>
      <c r="L28" s="9" t="s">
        <v>17</v>
      </c>
      <c r="M28" s="16" t="s">
        <v>18</v>
      </c>
      <c r="N28" s="14" t="s">
        <v>105</v>
      </c>
      <c r="O28" s="16" t="s">
        <v>106</v>
      </c>
      <c r="P28" s="14">
        <v>85.2</v>
      </c>
      <c r="Q28" s="14" t="s">
        <v>16</v>
      </c>
      <c r="R28" s="16" t="s">
        <v>358</v>
      </c>
      <c r="S28" s="8" t="s">
        <v>186</v>
      </c>
      <c r="T28" s="8" t="s">
        <v>359</v>
      </c>
      <c r="U28" s="8" t="s">
        <v>25</v>
      </c>
      <c r="V28" s="8" t="s">
        <v>25</v>
      </c>
      <c r="W28" s="8">
        <v>75.7</v>
      </c>
      <c r="X28" s="8" t="s">
        <v>307</v>
      </c>
      <c r="Y28" s="8" t="s">
        <v>307</v>
      </c>
      <c r="Z28" s="8">
        <v>89.7</v>
      </c>
      <c r="AA28" s="23"/>
      <c r="AB28" s="10"/>
      <c r="AC28" s="10"/>
      <c r="AD28" s="10"/>
    </row>
    <row r="29" spans="1:30" ht="25.5" x14ac:dyDescent="0.2">
      <c r="A29" s="8">
        <v>2023094</v>
      </c>
      <c r="B29" s="16" t="s">
        <v>107</v>
      </c>
      <c r="C29" s="13">
        <v>36834</v>
      </c>
      <c r="D29" s="16" t="s">
        <v>91</v>
      </c>
      <c r="E29" s="16" t="s">
        <v>108</v>
      </c>
      <c r="F29" s="16" t="s">
        <v>14</v>
      </c>
      <c r="G29" s="16" t="s">
        <v>109</v>
      </c>
      <c r="H29" s="16">
        <v>7501399</v>
      </c>
      <c r="I29" s="16">
        <v>7501399</v>
      </c>
      <c r="J29" s="16" t="s">
        <v>16</v>
      </c>
      <c r="K29" s="16" t="s">
        <v>279</v>
      </c>
      <c r="L29" s="16" t="s">
        <v>17</v>
      </c>
      <c r="M29" s="16" t="s">
        <v>18</v>
      </c>
      <c r="N29" s="16" t="s">
        <v>280</v>
      </c>
      <c r="O29" s="16">
        <v>2019</v>
      </c>
      <c r="P29" s="16">
        <v>16.25</v>
      </c>
      <c r="Q29" s="16" t="s">
        <v>16</v>
      </c>
      <c r="R29" s="16" t="s">
        <v>358</v>
      </c>
      <c r="S29" s="8" t="s">
        <v>186</v>
      </c>
      <c r="T29" s="8" t="s">
        <v>359</v>
      </c>
      <c r="U29" s="8" t="s">
        <v>189</v>
      </c>
      <c r="V29" s="8" t="s">
        <v>189</v>
      </c>
      <c r="W29" s="8">
        <v>95.6</v>
      </c>
      <c r="X29" s="8" t="s">
        <v>192</v>
      </c>
      <c r="Y29" s="8" t="s">
        <v>192</v>
      </c>
      <c r="Z29" s="8">
        <v>72.5</v>
      </c>
      <c r="AA29" s="23"/>
      <c r="AB29" s="10"/>
      <c r="AC29" s="10"/>
      <c r="AD29" s="10"/>
    </row>
    <row r="30" spans="1:30" ht="38.25" x14ac:dyDescent="0.2">
      <c r="A30" s="8">
        <v>2023093</v>
      </c>
      <c r="B30" s="16" t="s">
        <v>329</v>
      </c>
      <c r="C30" s="13">
        <v>36806</v>
      </c>
      <c r="D30" s="16" t="s">
        <v>42</v>
      </c>
      <c r="E30" s="16" t="s">
        <v>247</v>
      </c>
      <c r="F30" s="16" t="s">
        <v>14</v>
      </c>
      <c r="G30" s="25" t="s">
        <v>248</v>
      </c>
      <c r="H30" s="16">
        <v>2202349694</v>
      </c>
      <c r="I30" s="16">
        <v>2202349694</v>
      </c>
      <c r="J30" s="16" t="s">
        <v>16</v>
      </c>
      <c r="K30" s="16" t="s">
        <v>102</v>
      </c>
      <c r="L30" s="16" t="s">
        <v>17</v>
      </c>
      <c r="M30" s="16" t="s">
        <v>18</v>
      </c>
      <c r="N30" s="16" t="s">
        <v>330</v>
      </c>
      <c r="O30" s="16" t="s">
        <v>326</v>
      </c>
      <c r="P30" s="16">
        <v>94.5</v>
      </c>
      <c r="Q30" s="16" t="s">
        <v>16</v>
      </c>
      <c r="R30" s="16" t="s">
        <v>358</v>
      </c>
      <c r="S30" s="8" t="s">
        <v>186</v>
      </c>
      <c r="T30" s="8" t="s">
        <v>359</v>
      </c>
      <c r="U30" s="8" t="s">
        <v>189</v>
      </c>
      <c r="V30" s="8" t="s">
        <v>189</v>
      </c>
      <c r="W30" s="8">
        <v>51.6</v>
      </c>
      <c r="X30" s="8" t="s">
        <v>192</v>
      </c>
      <c r="Y30" s="8" t="s">
        <v>192</v>
      </c>
      <c r="Z30" s="8">
        <v>63.2</v>
      </c>
      <c r="AA30" s="23"/>
      <c r="AB30" s="10"/>
      <c r="AC30" s="10"/>
      <c r="AD30" s="10"/>
    </row>
    <row r="31" spans="1:30" ht="25.5" x14ac:dyDescent="0.2">
      <c r="A31" s="8">
        <v>2023019</v>
      </c>
      <c r="B31" s="16" t="s">
        <v>331</v>
      </c>
      <c r="C31" s="13">
        <v>37200</v>
      </c>
      <c r="D31" s="16" t="s">
        <v>21</v>
      </c>
      <c r="E31" s="16" t="s">
        <v>249</v>
      </c>
      <c r="F31" s="16" t="s">
        <v>14</v>
      </c>
      <c r="G31" s="25" t="s">
        <v>111</v>
      </c>
      <c r="H31" s="16">
        <v>2203061237</v>
      </c>
      <c r="I31" s="16">
        <v>2203061237</v>
      </c>
      <c r="J31" s="16" t="s">
        <v>16</v>
      </c>
      <c r="K31" s="16" t="s">
        <v>112</v>
      </c>
      <c r="L31" s="16" t="s">
        <v>17</v>
      </c>
      <c r="M31" s="16" t="s">
        <v>18</v>
      </c>
      <c r="N31" s="16" t="s">
        <v>110</v>
      </c>
      <c r="O31" s="16" t="s">
        <v>317</v>
      </c>
      <c r="P31" s="16">
        <v>93.12</v>
      </c>
      <c r="Q31" s="16" t="s">
        <v>16</v>
      </c>
      <c r="R31" s="16" t="s">
        <v>358</v>
      </c>
      <c r="S31" s="8" t="s">
        <v>186</v>
      </c>
      <c r="T31" s="8" t="s">
        <v>359</v>
      </c>
      <c r="U31" s="8" t="s">
        <v>25</v>
      </c>
      <c r="V31" s="8" t="s">
        <v>25</v>
      </c>
      <c r="W31" s="8">
        <v>77.599999999999994</v>
      </c>
      <c r="X31" s="8" t="s">
        <v>307</v>
      </c>
      <c r="Y31" s="8" t="s">
        <v>25</v>
      </c>
      <c r="Z31" s="8">
        <v>90.6</v>
      </c>
      <c r="AA31" s="23"/>
      <c r="AB31" s="10"/>
      <c r="AC31" s="10"/>
      <c r="AD31" s="10"/>
    </row>
    <row r="32" spans="1:30" ht="38.25" x14ac:dyDescent="0.2">
      <c r="A32" s="8">
        <v>2023057</v>
      </c>
      <c r="B32" s="14" t="s">
        <v>332</v>
      </c>
      <c r="C32" s="13">
        <v>37258</v>
      </c>
      <c r="D32" s="14" t="s">
        <v>21</v>
      </c>
      <c r="E32" s="14" t="s">
        <v>113</v>
      </c>
      <c r="F32" s="9" t="s">
        <v>14</v>
      </c>
      <c r="G32" s="25" t="s">
        <v>114</v>
      </c>
      <c r="H32" s="14">
        <v>22003717317</v>
      </c>
      <c r="I32" s="14">
        <v>22003717317</v>
      </c>
      <c r="J32" s="14" t="s">
        <v>16</v>
      </c>
      <c r="K32" s="14" t="s">
        <v>115</v>
      </c>
      <c r="L32" s="14" t="s">
        <v>17</v>
      </c>
      <c r="M32" s="16" t="s">
        <v>18</v>
      </c>
      <c r="N32" s="16" t="s">
        <v>34</v>
      </c>
      <c r="O32" s="16" t="s">
        <v>316</v>
      </c>
      <c r="P32" s="16">
        <v>1599</v>
      </c>
      <c r="Q32" s="14" t="s">
        <v>16</v>
      </c>
      <c r="R32" s="16" t="s">
        <v>358</v>
      </c>
      <c r="S32" s="8" t="s">
        <v>186</v>
      </c>
      <c r="T32" s="8" t="s">
        <v>359</v>
      </c>
      <c r="U32" s="8" t="s">
        <v>307</v>
      </c>
      <c r="V32" s="8" t="s">
        <v>25</v>
      </c>
      <c r="W32" s="8">
        <v>81.900000000000006</v>
      </c>
      <c r="X32" s="8" t="s">
        <v>307</v>
      </c>
      <c r="Y32" s="8" t="s">
        <v>360</v>
      </c>
      <c r="Z32" s="8">
        <v>8607</v>
      </c>
      <c r="AA32" s="23"/>
      <c r="AB32" s="10"/>
      <c r="AC32" s="10"/>
      <c r="AD32" s="10"/>
    </row>
    <row r="33" spans="1:30" ht="38.25" x14ac:dyDescent="0.2">
      <c r="A33" s="8">
        <v>2023056</v>
      </c>
      <c r="B33" s="16" t="s">
        <v>333</v>
      </c>
      <c r="C33" s="13" t="s">
        <v>250</v>
      </c>
      <c r="D33" s="16" t="s">
        <v>21</v>
      </c>
      <c r="E33" s="16" t="s">
        <v>251</v>
      </c>
      <c r="F33" s="16" t="s">
        <v>14</v>
      </c>
      <c r="G33" s="16" t="s">
        <v>252</v>
      </c>
      <c r="H33" s="16">
        <v>2203943915</v>
      </c>
      <c r="I33" s="16">
        <v>2203943915</v>
      </c>
      <c r="J33" s="16" t="s">
        <v>16</v>
      </c>
      <c r="K33" s="16" t="s">
        <v>116</v>
      </c>
      <c r="L33" s="16" t="s">
        <v>17</v>
      </c>
      <c r="M33" s="16" t="s">
        <v>18</v>
      </c>
      <c r="N33" s="16" t="s">
        <v>39</v>
      </c>
      <c r="O33" s="16" t="s">
        <v>129</v>
      </c>
      <c r="P33" s="16">
        <v>88</v>
      </c>
      <c r="Q33" s="16" t="s">
        <v>16</v>
      </c>
      <c r="R33" s="16" t="s">
        <v>358</v>
      </c>
      <c r="S33" s="8" t="s">
        <v>186</v>
      </c>
      <c r="T33" s="8" t="s">
        <v>359</v>
      </c>
      <c r="U33" s="8" t="s">
        <v>25</v>
      </c>
      <c r="V33" s="8" t="s">
        <v>25</v>
      </c>
      <c r="W33" s="8">
        <v>82.4</v>
      </c>
      <c r="X33" s="8" t="s">
        <v>25</v>
      </c>
      <c r="Y33" s="8" t="s">
        <v>25</v>
      </c>
      <c r="Z33" s="8">
        <v>93</v>
      </c>
      <c r="AA33" s="23"/>
      <c r="AB33" s="10"/>
      <c r="AC33" s="10"/>
      <c r="AD33" s="10"/>
    </row>
    <row r="34" spans="1:30" ht="25.5" x14ac:dyDescent="0.2">
      <c r="A34" s="8">
        <v>2023009</v>
      </c>
      <c r="B34" s="14" t="s">
        <v>117</v>
      </c>
      <c r="C34" s="13">
        <v>37377</v>
      </c>
      <c r="D34" s="14" t="s">
        <v>21</v>
      </c>
      <c r="E34" s="14" t="s">
        <v>234</v>
      </c>
      <c r="F34" s="9" t="s">
        <v>14</v>
      </c>
      <c r="G34" s="14" t="s">
        <v>118</v>
      </c>
      <c r="H34" s="14">
        <v>2897636</v>
      </c>
      <c r="I34" s="16">
        <v>3166797</v>
      </c>
      <c r="J34" s="14" t="s">
        <v>16</v>
      </c>
      <c r="K34" s="14" t="s">
        <v>119</v>
      </c>
      <c r="L34" s="16" t="s">
        <v>17</v>
      </c>
      <c r="M34" s="16" t="s">
        <v>18</v>
      </c>
      <c r="N34" s="14" t="s">
        <v>39</v>
      </c>
      <c r="O34" s="16">
        <v>2023</v>
      </c>
      <c r="P34" s="14">
        <v>85.3</v>
      </c>
      <c r="Q34" s="14" t="s">
        <v>16</v>
      </c>
      <c r="R34" s="16" t="s">
        <v>358</v>
      </c>
      <c r="S34" s="8" t="s">
        <v>186</v>
      </c>
      <c r="T34" s="8" t="s">
        <v>359</v>
      </c>
      <c r="U34" s="8" t="s">
        <v>307</v>
      </c>
      <c r="V34" s="8" t="s">
        <v>307</v>
      </c>
      <c r="W34" s="8">
        <v>72.599999999999994</v>
      </c>
      <c r="X34" s="8" t="s">
        <v>307</v>
      </c>
      <c r="Y34" s="8" t="s">
        <v>360</v>
      </c>
      <c r="Z34" s="8">
        <v>86.7</v>
      </c>
      <c r="AA34" s="23"/>
      <c r="AB34" s="10"/>
      <c r="AC34" s="10"/>
      <c r="AD34" s="10"/>
    </row>
    <row r="35" spans="1:30" ht="38.25" x14ac:dyDescent="0.2">
      <c r="A35" s="8">
        <v>2023038</v>
      </c>
      <c r="B35" s="15" t="s">
        <v>196</v>
      </c>
      <c r="C35" s="13" t="s">
        <v>253</v>
      </c>
      <c r="D35" s="16" t="s">
        <v>21</v>
      </c>
      <c r="E35" s="16" t="s">
        <v>120</v>
      </c>
      <c r="F35" s="16" t="s">
        <v>14</v>
      </c>
      <c r="G35" s="16" t="s">
        <v>121</v>
      </c>
      <c r="H35" s="16">
        <v>2209439924</v>
      </c>
      <c r="I35" s="16">
        <v>2209439924</v>
      </c>
      <c r="J35" s="16" t="s">
        <v>16</v>
      </c>
      <c r="K35" s="16" t="s">
        <v>353</v>
      </c>
      <c r="L35" s="16" t="s">
        <v>17</v>
      </c>
      <c r="M35" s="16" t="s">
        <v>18</v>
      </c>
      <c r="N35" s="16" t="s">
        <v>19</v>
      </c>
      <c r="O35" s="16">
        <v>2020</v>
      </c>
      <c r="P35" s="16">
        <v>96.5</v>
      </c>
      <c r="Q35" s="16" t="s">
        <v>16</v>
      </c>
      <c r="R35" s="16" t="s">
        <v>358</v>
      </c>
      <c r="S35" s="8" t="s">
        <v>186</v>
      </c>
      <c r="T35" s="8" t="s">
        <v>359</v>
      </c>
      <c r="U35" s="8" t="s">
        <v>25</v>
      </c>
      <c r="V35" s="8" t="s">
        <v>25</v>
      </c>
      <c r="W35" s="8">
        <v>64.5</v>
      </c>
      <c r="X35" s="8" t="s">
        <v>192</v>
      </c>
      <c r="Y35" s="8" t="s">
        <v>360</v>
      </c>
      <c r="Z35" s="8">
        <v>89.8</v>
      </c>
      <c r="AA35" s="23"/>
      <c r="AB35" s="10"/>
      <c r="AC35" s="10"/>
      <c r="AD35" s="10"/>
    </row>
    <row r="36" spans="1:30" ht="38.25" x14ac:dyDescent="0.2">
      <c r="A36" s="8">
        <v>2023048</v>
      </c>
      <c r="B36" s="16" t="s">
        <v>334</v>
      </c>
      <c r="C36" s="13" t="s">
        <v>254</v>
      </c>
      <c r="D36" s="16" t="s">
        <v>21</v>
      </c>
      <c r="E36" s="16" t="s">
        <v>122</v>
      </c>
      <c r="F36" s="16" t="s">
        <v>14</v>
      </c>
      <c r="G36" s="25" t="s">
        <v>255</v>
      </c>
      <c r="H36" s="16">
        <v>5046934</v>
      </c>
      <c r="I36" s="16">
        <v>5046934</v>
      </c>
      <c r="J36" s="16" t="s">
        <v>16</v>
      </c>
      <c r="K36" s="16" t="s">
        <v>30</v>
      </c>
      <c r="L36" s="16" t="s">
        <v>17</v>
      </c>
      <c r="M36" s="16" t="s">
        <v>18</v>
      </c>
      <c r="N36" s="16" t="s">
        <v>335</v>
      </c>
      <c r="O36" s="16" t="s">
        <v>317</v>
      </c>
      <c r="P36" s="16">
        <v>91</v>
      </c>
      <c r="Q36" s="16" t="s">
        <v>16</v>
      </c>
      <c r="R36" s="16" t="s">
        <v>358</v>
      </c>
      <c r="S36" s="8" t="s">
        <v>186</v>
      </c>
      <c r="T36" s="8" t="s">
        <v>359</v>
      </c>
      <c r="U36" s="8" t="s">
        <v>189</v>
      </c>
      <c r="V36" s="8" t="s">
        <v>192</v>
      </c>
      <c r="W36" s="8">
        <v>51.8</v>
      </c>
      <c r="X36" s="8" t="s">
        <v>192</v>
      </c>
      <c r="Y36" s="8" t="s">
        <v>192</v>
      </c>
      <c r="Z36" s="8">
        <v>50.7</v>
      </c>
      <c r="AA36" s="23"/>
      <c r="AB36" s="10"/>
      <c r="AC36" s="10"/>
      <c r="AD36" s="10"/>
    </row>
    <row r="37" spans="1:30" ht="25.5" x14ac:dyDescent="0.2">
      <c r="A37" s="8">
        <v>2023070</v>
      </c>
      <c r="B37" s="16" t="s">
        <v>197</v>
      </c>
      <c r="C37" s="13">
        <v>38452</v>
      </c>
      <c r="D37" s="14" t="s">
        <v>21</v>
      </c>
      <c r="E37" s="14" t="s">
        <v>207</v>
      </c>
      <c r="F37" s="9" t="s">
        <v>207</v>
      </c>
      <c r="G37" s="25" t="s">
        <v>296</v>
      </c>
      <c r="H37" s="14">
        <v>2207208543</v>
      </c>
      <c r="I37" s="14">
        <v>2207208543</v>
      </c>
      <c r="J37" s="14" t="s">
        <v>16</v>
      </c>
      <c r="K37" s="14" t="s">
        <v>123</v>
      </c>
      <c r="L37" s="14" t="s">
        <v>17</v>
      </c>
      <c r="M37" s="16" t="s">
        <v>18</v>
      </c>
      <c r="N37" s="14" t="s">
        <v>124</v>
      </c>
      <c r="O37" s="14" t="s">
        <v>129</v>
      </c>
      <c r="P37" s="14">
        <v>93</v>
      </c>
      <c r="Q37" s="14" t="s">
        <v>16</v>
      </c>
      <c r="R37" s="16" t="s">
        <v>358</v>
      </c>
      <c r="S37" s="8" t="s">
        <v>186</v>
      </c>
      <c r="T37" s="8" t="s">
        <v>359</v>
      </c>
      <c r="U37" s="8" t="s">
        <v>189</v>
      </c>
      <c r="V37" s="8" t="s">
        <v>307</v>
      </c>
      <c r="W37" s="8" t="s">
        <v>361</v>
      </c>
      <c r="X37" s="8" t="s">
        <v>192</v>
      </c>
      <c r="Y37" s="8" t="s">
        <v>360</v>
      </c>
      <c r="Z37" s="8">
        <v>75.7</v>
      </c>
      <c r="AA37" s="8"/>
      <c r="AB37" s="10"/>
      <c r="AC37" s="10"/>
      <c r="AD37" s="10"/>
    </row>
    <row r="38" spans="1:30" ht="24.75" customHeight="1" x14ac:dyDescent="0.2">
      <c r="A38" s="8">
        <v>2023024</v>
      </c>
      <c r="B38" s="16" t="s">
        <v>224</v>
      </c>
      <c r="C38" s="13">
        <v>34707</v>
      </c>
      <c r="D38" s="16" t="s">
        <v>125</v>
      </c>
      <c r="E38" s="16" t="s">
        <v>126</v>
      </c>
      <c r="F38" s="16" t="s">
        <v>14</v>
      </c>
      <c r="G38" s="16" t="s">
        <v>127</v>
      </c>
      <c r="H38" s="16">
        <v>3813677</v>
      </c>
      <c r="I38" s="16">
        <v>3813677</v>
      </c>
      <c r="J38" s="16" t="s">
        <v>16</v>
      </c>
      <c r="K38" s="16" t="s">
        <v>219</v>
      </c>
      <c r="L38" s="16" t="s">
        <v>17</v>
      </c>
      <c r="M38" s="16" t="s">
        <v>18</v>
      </c>
      <c r="N38" s="16" t="s">
        <v>174</v>
      </c>
      <c r="O38" s="16">
        <v>2022</v>
      </c>
      <c r="P38" s="16">
        <v>83</v>
      </c>
      <c r="Q38" s="16" t="s">
        <v>16</v>
      </c>
      <c r="R38" s="16" t="s">
        <v>358</v>
      </c>
      <c r="S38" s="8" t="s">
        <v>186</v>
      </c>
      <c r="T38" s="8" t="s">
        <v>359</v>
      </c>
      <c r="U38" s="8" t="s">
        <v>189</v>
      </c>
      <c r="V38" s="8" t="s">
        <v>189</v>
      </c>
      <c r="W38" s="8">
        <v>57.1</v>
      </c>
      <c r="X38" s="8" t="s">
        <v>192</v>
      </c>
      <c r="Y38" s="8" t="s">
        <v>189</v>
      </c>
      <c r="Z38" s="8">
        <v>68.7</v>
      </c>
      <c r="AA38" s="23"/>
      <c r="AB38" s="10"/>
      <c r="AC38" s="10"/>
      <c r="AD38" s="10"/>
    </row>
    <row r="39" spans="1:30" ht="38.25" x14ac:dyDescent="0.2">
      <c r="A39" s="8">
        <v>2023041</v>
      </c>
      <c r="B39" s="16" t="s">
        <v>128</v>
      </c>
      <c r="C39" s="13">
        <v>37347</v>
      </c>
      <c r="D39" s="16" t="s">
        <v>50</v>
      </c>
      <c r="E39" s="16" t="s">
        <v>207</v>
      </c>
      <c r="F39" s="16" t="s">
        <v>207</v>
      </c>
      <c r="G39" s="16" t="s">
        <v>259</v>
      </c>
      <c r="H39" s="16">
        <v>68541653</v>
      </c>
      <c r="I39" s="16">
        <v>68541653</v>
      </c>
      <c r="J39" s="16" t="s">
        <v>16</v>
      </c>
      <c r="K39" s="16" t="s">
        <v>30</v>
      </c>
      <c r="L39" s="16" t="s">
        <v>17</v>
      </c>
      <c r="M39" s="16" t="s">
        <v>18</v>
      </c>
      <c r="N39" s="16" t="s">
        <v>68</v>
      </c>
      <c r="O39" s="16" t="s">
        <v>336</v>
      </c>
      <c r="P39" s="16">
        <v>82.57</v>
      </c>
      <c r="Q39" s="16" t="s">
        <v>53</v>
      </c>
      <c r="R39" s="16" t="s">
        <v>358</v>
      </c>
      <c r="S39" s="8" t="s">
        <v>186</v>
      </c>
      <c r="T39" s="8" t="s">
        <v>359</v>
      </c>
      <c r="U39" s="8" t="s">
        <v>307</v>
      </c>
      <c r="V39" s="8" t="s">
        <v>25</v>
      </c>
      <c r="W39" s="8">
        <v>70.7</v>
      </c>
      <c r="X39" s="8" t="s">
        <v>189</v>
      </c>
      <c r="Y39" s="8" t="s">
        <v>360</v>
      </c>
      <c r="Z39" s="8">
        <v>87</v>
      </c>
      <c r="AA39" s="23"/>
      <c r="AB39" s="10"/>
      <c r="AC39" s="10"/>
      <c r="AD39" s="10"/>
    </row>
    <row r="40" spans="1:30" ht="38.25" x14ac:dyDescent="0.2">
      <c r="A40" s="8">
        <v>2023060</v>
      </c>
      <c r="B40" s="20" t="s">
        <v>132</v>
      </c>
      <c r="C40" s="26">
        <v>36651</v>
      </c>
      <c r="D40" s="21" t="s">
        <v>21</v>
      </c>
      <c r="E40" s="16" t="s">
        <v>207</v>
      </c>
      <c r="F40" s="21" t="s">
        <v>210</v>
      </c>
      <c r="G40" s="25" t="s">
        <v>290</v>
      </c>
      <c r="H40" s="21">
        <v>2207063108</v>
      </c>
      <c r="I40" s="21">
        <v>2207063108</v>
      </c>
      <c r="J40" s="21" t="s">
        <v>16</v>
      </c>
      <c r="K40" s="21" t="s">
        <v>133</v>
      </c>
      <c r="L40" s="21" t="s">
        <v>17</v>
      </c>
      <c r="M40" s="16" t="s">
        <v>18</v>
      </c>
      <c r="N40" s="21" t="s">
        <v>289</v>
      </c>
      <c r="O40" s="21" t="s">
        <v>129</v>
      </c>
      <c r="P40" s="21">
        <v>86</v>
      </c>
      <c r="Q40" s="21" t="s">
        <v>16</v>
      </c>
      <c r="R40" s="16" t="s">
        <v>358</v>
      </c>
      <c r="S40" s="8" t="s">
        <v>186</v>
      </c>
      <c r="T40" s="8" t="s">
        <v>359</v>
      </c>
      <c r="U40" s="8" t="s">
        <v>189</v>
      </c>
      <c r="V40" s="8" t="s">
        <v>189</v>
      </c>
      <c r="W40" s="8">
        <v>57</v>
      </c>
      <c r="X40" s="8" t="s">
        <v>192</v>
      </c>
      <c r="Y40" s="8" t="s">
        <v>360</v>
      </c>
      <c r="Z40" s="8">
        <v>83.2</v>
      </c>
      <c r="AA40" s="23"/>
      <c r="AB40" s="10"/>
      <c r="AC40" s="10"/>
      <c r="AD40" s="10"/>
    </row>
    <row r="41" spans="1:30" ht="38.25" x14ac:dyDescent="0.2">
      <c r="A41" s="8">
        <v>2023097</v>
      </c>
      <c r="B41" s="20" t="s">
        <v>134</v>
      </c>
      <c r="C41" s="26">
        <v>37531</v>
      </c>
      <c r="D41" s="17" t="s">
        <v>21</v>
      </c>
      <c r="E41" s="20" t="s">
        <v>260</v>
      </c>
      <c r="F41" s="18" t="s">
        <v>14</v>
      </c>
      <c r="G41" s="21" t="s">
        <v>261</v>
      </c>
      <c r="H41" s="17">
        <v>7187714</v>
      </c>
      <c r="I41" s="21">
        <v>7187714</v>
      </c>
      <c r="J41" s="17" t="s">
        <v>16</v>
      </c>
      <c r="K41" s="17" t="s">
        <v>257</v>
      </c>
      <c r="L41" s="18" t="s">
        <v>17</v>
      </c>
      <c r="M41" s="16" t="s">
        <v>18</v>
      </c>
      <c r="N41" s="17" t="s">
        <v>258</v>
      </c>
      <c r="O41" s="17">
        <v>2020</v>
      </c>
      <c r="P41" s="21">
        <v>94.61</v>
      </c>
      <c r="Q41" s="17" t="s">
        <v>16</v>
      </c>
      <c r="R41" s="16" t="s">
        <v>358</v>
      </c>
      <c r="S41" s="8" t="s">
        <v>186</v>
      </c>
      <c r="T41" s="8" t="s">
        <v>359</v>
      </c>
      <c r="U41" s="8" t="s">
        <v>25</v>
      </c>
      <c r="V41" s="8" t="s">
        <v>25</v>
      </c>
      <c r="W41" s="8">
        <v>88.2</v>
      </c>
      <c r="X41" s="8" t="s">
        <v>25</v>
      </c>
      <c r="Y41" s="8" t="s">
        <v>25</v>
      </c>
      <c r="Z41" s="8">
        <v>94.3</v>
      </c>
      <c r="AA41" s="23"/>
      <c r="AB41" s="10"/>
      <c r="AC41" s="10"/>
      <c r="AD41" s="10"/>
    </row>
    <row r="42" spans="1:30" ht="38.25" x14ac:dyDescent="0.2">
      <c r="A42" s="8">
        <v>2023003</v>
      </c>
      <c r="B42" s="21" t="s">
        <v>135</v>
      </c>
      <c r="C42" s="26">
        <v>36193</v>
      </c>
      <c r="D42" s="21" t="s">
        <v>21</v>
      </c>
      <c r="E42" s="20" t="s">
        <v>136</v>
      </c>
      <c r="F42" s="21" t="s">
        <v>14</v>
      </c>
      <c r="G42" s="21" t="s">
        <v>256</v>
      </c>
      <c r="H42" s="21">
        <v>3222973</v>
      </c>
      <c r="I42" s="21">
        <v>3222973</v>
      </c>
      <c r="J42" s="21" t="s">
        <v>16</v>
      </c>
      <c r="K42" s="21" t="s">
        <v>30</v>
      </c>
      <c r="L42" s="21" t="s">
        <v>17</v>
      </c>
      <c r="M42" s="16" t="s">
        <v>18</v>
      </c>
      <c r="N42" s="21" t="s">
        <v>337</v>
      </c>
      <c r="O42" s="21" t="s">
        <v>317</v>
      </c>
      <c r="P42" s="21">
        <v>0.89</v>
      </c>
      <c r="Q42" s="21" t="s">
        <v>16</v>
      </c>
      <c r="R42" s="16" t="s">
        <v>358</v>
      </c>
      <c r="S42" s="8" t="s">
        <v>186</v>
      </c>
      <c r="T42" s="8" t="s">
        <v>359</v>
      </c>
      <c r="U42" s="8" t="s">
        <v>189</v>
      </c>
      <c r="V42" s="8" t="s">
        <v>189</v>
      </c>
      <c r="W42" s="8">
        <v>57.5</v>
      </c>
      <c r="X42" s="8" t="s">
        <v>192</v>
      </c>
      <c r="Y42" s="8" t="s">
        <v>218</v>
      </c>
      <c r="Z42" s="8">
        <v>39.700000000000003</v>
      </c>
      <c r="AA42" s="23"/>
      <c r="AB42" s="10"/>
      <c r="AC42" s="10"/>
      <c r="AD42" s="10"/>
    </row>
    <row r="43" spans="1:30" ht="38.25" x14ac:dyDescent="0.2">
      <c r="A43" s="8">
        <v>2023013</v>
      </c>
      <c r="B43" s="21" t="s">
        <v>199</v>
      </c>
      <c r="C43" s="26" t="s">
        <v>262</v>
      </c>
      <c r="D43" s="21" t="s">
        <v>21</v>
      </c>
      <c r="E43" s="21" t="s">
        <v>137</v>
      </c>
      <c r="F43" s="21" t="s">
        <v>14</v>
      </c>
      <c r="G43" s="21" t="s">
        <v>138</v>
      </c>
      <c r="H43" s="21">
        <v>7170596</v>
      </c>
      <c r="I43" s="21">
        <v>7170596</v>
      </c>
      <c r="J43" s="21" t="s">
        <v>16</v>
      </c>
      <c r="K43" s="21" t="s">
        <v>139</v>
      </c>
      <c r="L43" s="21" t="s">
        <v>17</v>
      </c>
      <c r="M43" s="16" t="s">
        <v>18</v>
      </c>
      <c r="N43" s="21" t="s">
        <v>263</v>
      </c>
      <c r="O43" s="21" t="s">
        <v>338</v>
      </c>
      <c r="P43" s="21">
        <v>0.93</v>
      </c>
      <c r="Q43" s="21" t="s">
        <v>16</v>
      </c>
      <c r="R43" s="16" t="s">
        <v>358</v>
      </c>
      <c r="S43" s="8" t="s">
        <v>186</v>
      </c>
      <c r="T43" s="8" t="s">
        <v>359</v>
      </c>
      <c r="U43" s="8" t="s">
        <v>189</v>
      </c>
      <c r="V43" s="8" t="s">
        <v>307</v>
      </c>
      <c r="W43" s="8">
        <v>57.2</v>
      </c>
      <c r="X43" s="8" t="s">
        <v>192</v>
      </c>
      <c r="Y43" s="8" t="s">
        <v>189</v>
      </c>
      <c r="Z43" s="8">
        <v>71.599999999999994</v>
      </c>
      <c r="AA43" s="8"/>
      <c r="AB43" s="10"/>
      <c r="AC43" s="10"/>
      <c r="AD43" s="10"/>
    </row>
    <row r="44" spans="1:30" ht="25.5" x14ac:dyDescent="0.2">
      <c r="A44" s="8">
        <v>2023053</v>
      </c>
      <c r="B44" s="17" t="s">
        <v>140</v>
      </c>
      <c r="C44" s="26">
        <v>37268</v>
      </c>
      <c r="D44" s="17" t="s">
        <v>141</v>
      </c>
      <c r="E44" s="17" t="s">
        <v>142</v>
      </c>
      <c r="F44" s="18" t="s">
        <v>14</v>
      </c>
      <c r="G44" s="17" t="s">
        <v>143</v>
      </c>
      <c r="H44" s="17">
        <v>2203819003</v>
      </c>
      <c r="I44" s="21">
        <v>2203819003</v>
      </c>
      <c r="J44" s="17" t="s">
        <v>16</v>
      </c>
      <c r="K44" s="16" t="s">
        <v>219</v>
      </c>
      <c r="L44" s="17" t="s">
        <v>17</v>
      </c>
      <c r="M44" s="16" t="s">
        <v>18</v>
      </c>
      <c r="N44" s="17" t="s">
        <v>144</v>
      </c>
      <c r="O44" s="21">
        <v>2023</v>
      </c>
      <c r="P44" s="21">
        <v>72</v>
      </c>
      <c r="Q44" s="21" t="s">
        <v>16</v>
      </c>
      <c r="R44" s="16" t="s">
        <v>358</v>
      </c>
      <c r="S44" s="8" t="s">
        <v>193</v>
      </c>
      <c r="T44" s="8" t="s">
        <v>359</v>
      </c>
      <c r="U44" s="8" t="s">
        <v>307</v>
      </c>
      <c r="V44" s="8" t="s">
        <v>25</v>
      </c>
      <c r="W44" s="8">
        <v>85.8</v>
      </c>
      <c r="X44" s="8" t="s">
        <v>25</v>
      </c>
      <c r="Y44" s="8" t="s">
        <v>25</v>
      </c>
      <c r="Z44" s="8">
        <v>94.1</v>
      </c>
      <c r="AA44" s="8"/>
      <c r="AB44" s="10"/>
      <c r="AC44" s="10"/>
      <c r="AD44" s="10"/>
    </row>
    <row r="45" spans="1:30" ht="38.25" x14ac:dyDescent="0.2">
      <c r="A45" s="8">
        <v>2023099</v>
      </c>
      <c r="B45" s="21" t="s">
        <v>339</v>
      </c>
      <c r="C45" s="26" t="s">
        <v>267</v>
      </c>
      <c r="D45" s="21" t="s">
        <v>42</v>
      </c>
      <c r="E45" s="21" t="s">
        <v>145</v>
      </c>
      <c r="F45" s="21" t="s">
        <v>14</v>
      </c>
      <c r="G45" s="21" t="s">
        <v>146</v>
      </c>
      <c r="H45" s="21">
        <v>7148477</v>
      </c>
      <c r="I45" s="21">
        <v>5383447</v>
      </c>
      <c r="J45" s="21" t="s">
        <v>16</v>
      </c>
      <c r="K45" s="21" t="s">
        <v>147</v>
      </c>
      <c r="L45" s="21" t="s">
        <v>17</v>
      </c>
      <c r="M45" s="16" t="s">
        <v>18</v>
      </c>
      <c r="N45" s="21" t="s">
        <v>340</v>
      </c>
      <c r="O45" s="21" t="s">
        <v>326</v>
      </c>
      <c r="P45" s="21">
        <v>88.88</v>
      </c>
      <c r="Q45" s="21" t="s">
        <v>16</v>
      </c>
      <c r="R45" s="16" t="s">
        <v>358</v>
      </c>
      <c r="S45" s="8" t="s">
        <v>186</v>
      </c>
      <c r="T45" s="8" t="s">
        <v>359</v>
      </c>
      <c r="U45" s="8" t="s">
        <v>307</v>
      </c>
      <c r="V45" s="8" t="s">
        <v>307</v>
      </c>
      <c r="W45" s="8">
        <v>61.1</v>
      </c>
      <c r="X45" s="8" t="s">
        <v>192</v>
      </c>
      <c r="Y45" s="8" t="s">
        <v>189</v>
      </c>
      <c r="Z45" s="8">
        <v>72.5</v>
      </c>
      <c r="AA45" s="8"/>
      <c r="AB45" s="10"/>
      <c r="AC45" s="10"/>
      <c r="AD45" s="10"/>
    </row>
    <row r="46" spans="1:30" ht="38.25" x14ac:dyDescent="0.2">
      <c r="A46" s="8">
        <v>2023103</v>
      </c>
      <c r="B46" s="21" t="s">
        <v>341</v>
      </c>
      <c r="C46" s="26">
        <v>36983</v>
      </c>
      <c r="D46" s="21" t="s">
        <v>21</v>
      </c>
      <c r="E46" s="21">
        <v>695417</v>
      </c>
      <c r="F46" s="21" t="s">
        <v>14</v>
      </c>
      <c r="G46" s="21" t="s">
        <v>148</v>
      </c>
      <c r="H46" s="21">
        <v>2277436</v>
      </c>
      <c r="I46" s="21">
        <v>2277436</v>
      </c>
      <c r="J46" s="21" t="s">
        <v>16</v>
      </c>
      <c r="K46" s="21" t="s">
        <v>149</v>
      </c>
      <c r="L46" s="21" t="s">
        <v>17</v>
      </c>
      <c r="M46" s="16" t="s">
        <v>18</v>
      </c>
      <c r="N46" s="16" t="s">
        <v>174</v>
      </c>
      <c r="O46" s="21" t="s">
        <v>326</v>
      </c>
      <c r="P46" s="21">
        <v>87.88</v>
      </c>
      <c r="Q46" s="21" t="s">
        <v>16</v>
      </c>
      <c r="R46" s="16" t="s">
        <v>358</v>
      </c>
      <c r="S46" s="8" t="s">
        <v>186</v>
      </c>
      <c r="T46" s="8" t="s">
        <v>359</v>
      </c>
      <c r="U46" s="8" t="s">
        <v>189</v>
      </c>
      <c r="V46" s="8" t="s">
        <v>189</v>
      </c>
      <c r="W46" s="8">
        <v>67.8</v>
      </c>
      <c r="X46" s="8" t="s">
        <v>189</v>
      </c>
      <c r="Y46" s="8" t="s">
        <v>189</v>
      </c>
      <c r="Z46" s="8">
        <v>64.8</v>
      </c>
      <c r="AA46" s="8"/>
      <c r="AB46" s="10"/>
      <c r="AC46" s="10"/>
      <c r="AD46" s="10"/>
    </row>
    <row r="47" spans="1:30" ht="25.5" x14ac:dyDescent="0.2">
      <c r="A47" s="8">
        <v>2023052</v>
      </c>
      <c r="B47" s="21" t="s">
        <v>342</v>
      </c>
      <c r="C47" s="26" t="s">
        <v>264</v>
      </c>
      <c r="D47" s="21" t="s">
        <v>42</v>
      </c>
      <c r="E47" s="21" t="s">
        <v>265</v>
      </c>
      <c r="F47" s="21" t="s">
        <v>14</v>
      </c>
      <c r="G47" s="21" t="s">
        <v>150</v>
      </c>
      <c r="H47" s="21">
        <v>7350786</v>
      </c>
      <c r="I47" s="21">
        <v>245966791579</v>
      </c>
      <c r="J47" s="21" t="s">
        <v>16</v>
      </c>
      <c r="K47" s="16" t="s">
        <v>219</v>
      </c>
      <c r="L47" s="21" t="s">
        <v>17</v>
      </c>
      <c r="M47" s="16" t="s">
        <v>18</v>
      </c>
      <c r="N47" s="21" t="s">
        <v>151</v>
      </c>
      <c r="O47" s="16">
        <v>2018</v>
      </c>
      <c r="P47" s="21">
        <v>86</v>
      </c>
      <c r="Q47" s="21" t="s">
        <v>16</v>
      </c>
      <c r="R47" s="16" t="s">
        <v>358</v>
      </c>
      <c r="S47" s="8" t="s">
        <v>186</v>
      </c>
      <c r="T47" s="8" t="s">
        <v>359</v>
      </c>
      <c r="U47" s="8" t="s">
        <v>192</v>
      </c>
      <c r="V47" s="8" t="s">
        <v>189</v>
      </c>
      <c r="W47" s="8">
        <v>56.7</v>
      </c>
      <c r="X47" s="8" t="s">
        <v>192</v>
      </c>
      <c r="Y47" s="8" t="s">
        <v>189</v>
      </c>
      <c r="Z47" s="8">
        <v>74.599999999999994</v>
      </c>
      <c r="AA47" s="23"/>
      <c r="AB47" s="10"/>
      <c r="AC47" s="10"/>
      <c r="AD47" s="10"/>
    </row>
    <row r="48" spans="1:30" ht="25.5" x14ac:dyDescent="0.2">
      <c r="A48" s="8">
        <v>2023076</v>
      </c>
      <c r="B48" s="18" t="s">
        <v>152</v>
      </c>
      <c r="C48" s="26">
        <v>36342</v>
      </c>
      <c r="D48" s="18" t="s">
        <v>42</v>
      </c>
      <c r="E48" s="21">
        <v>571546</v>
      </c>
      <c r="F48" s="18" t="s">
        <v>210</v>
      </c>
      <c r="G48" s="25" t="s">
        <v>266</v>
      </c>
      <c r="H48" s="18">
        <v>7885445</v>
      </c>
      <c r="I48" s="21">
        <v>7885445</v>
      </c>
      <c r="J48" s="18" t="s">
        <v>16</v>
      </c>
      <c r="K48" s="16" t="s">
        <v>219</v>
      </c>
      <c r="L48" s="18" t="s">
        <v>17</v>
      </c>
      <c r="M48" s="16" t="s">
        <v>18</v>
      </c>
      <c r="N48" s="18" t="s">
        <v>343</v>
      </c>
      <c r="O48" s="18">
        <v>2017</v>
      </c>
      <c r="P48" s="21">
        <v>85</v>
      </c>
      <c r="Q48" s="18" t="s">
        <v>16</v>
      </c>
      <c r="R48" s="16" t="s">
        <v>358</v>
      </c>
      <c r="S48" s="8" t="s">
        <v>186</v>
      </c>
      <c r="T48" s="8" t="s">
        <v>359</v>
      </c>
      <c r="U48" s="8" t="s">
        <v>192</v>
      </c>
      <c r="V48" s="8" t="s">
        <v>192</v>
      </c>
      <c r="W48" s="28">
        <v>47.5</v>
      </c>
      <c r="X48" s="28" t="s">
        <v>218</v>
      </c>
      <c r="Y48" s="28" t="s">
        <v>192</v>
      </c>
      <c r="Z48" s="28">
        <v>52.6</v>
      </c>
      <c r="AA48" s="10"/>
      <c r="AB48" s="10"/>
      <c r="AC48" s="10"/>
      <c r="AD48" s="10"/>
    </row>
    <row r="49" spans="1:30" ht="38.25" x14ac:dyDescent="0.2">
      <c r="A49" s="8">
        <v>2023101</v>
      </c>
      <c r="B49" s="17" t="s">
        <v>153</v>
      </c>
      <c r="C49" s="26">
        <v>36008</v>
      </c>
      <c r="D49" s="17" t="s">
        <v>21</v>
      </c>
      <c r="E49" s="17" t="s">
        <v>268</v>
      </c>
      <c r="F49" s="18" t="s">
        <v>14</v>
      </c>
      <c r="G49" s="25" t="s">
        <v>269</v>
      </c>
      <c r="H49" s="17">
        <v>2202990409</v>
      </c>
      <c r="I49" s="17">
        <v>2202990409</v>
      </c>
      <c r="J49" s="17" t="s">
        <v>16</v>
      </c>
      <c r="K49" s="21" t="s">
        <v>163</v>
      </c>
      <c r="L49" s="18" t="s">
        <v>17</v>
      </c>
      <c r="M49" s="16" t="s">
        <v>18</v>
      </c>
      <c r="N49" s="21" t="s">
        <v>39</v>
      </c>
      <c r="O49" s="17" t="s">
        <v>344</v>
      </c>
      <c r="P49" s="21">
        <v>89.16</v>
      </c>
      <c r="Q49" s="17" t="s">
        <v>16</v>
      </c>
      <c r="R49" s="16" t="s">
        <v>358</v>
      </c>
      <c r="S49" s="8" t="s">
        <v>186</v>
      </c>
      <c r="T49" s="8" t="s">
        <v>359</v>
      </c>
      <c r="U49" s="8" t="s">
        <v>307</v>
      </c>
      <c r="V49" s="8" t="s">
        <v>307</v>
      </c>
      <c r="W49" s="8">
        <v>80.8</v>
      </c>
      <c r="X49" s="8" t="s">
        <v>307</v>
      </c>
      <c r="Y49" s="8" t="s">
        <v>360</v>
      </c>
      <c r="Z49" s="8">
        <v>84.8</v>
      </c>
      <c r="AA49" s="23"/>
      <c r="AB49" s="10"/>
      <c r="AC49" s="10"/>
      <c r="AD49" s="10"/>
    </row>
    <row r="50" spans="1:30" ht="38.25" x14ac:dyDescent="0.2">
      <c r="A50" s="8">
        <v>2023002</v>
      </c>
      <c r="B50" s="16" t="s">
        <v>155</v>
      </c>
      <c r="C50" s="13">
        <v>38838</v>
      </c>
      <c r="D50" s="16" t="s">
        <v>66</v>
      </c>
      <c r="E50" s="16" t="s">
        <v>156</v>
      </c>
      <c r="F50" s="16" t="s">
        <v>14</v>
      </c>
      <c r="G50" s="16" t="s">
        <v>157</v>
      </c>
      <c r="H50" s="16">
        <v>7586316</v>
      </c>
      <c r="I50" s="21">
        <v>6853339</v>
      </c>
      <c r="J50" s="16" t="s">
        <v>16</v>
      </c>
      <c r="K50" s="16" t="s">
        <v>30</v>
      </c>
      <c r="L50" s="16" t="s">
        <v>17</v>
      </c>
      <c r="M50" s="16" t="s">
        <v>18</v>
      </c>
      <c r="N50" s="16" t="s">
        <v>281</v>
      </c>
      <c r="O50" s="16">
        <v>2023</v>
      </c>
      <c r="P50" s="16" t="s">
        <v>282</v>
      </c>
      <c r="Q50" s="16" t="s">
        <v>32</v>
      </c>
      <c r="R50" s="16" t="s">
        <v>358</v>
      </c>
      <c r="S50" s="8" t="s">
        <v>186</v>
      </c>
      <c r="T50" s="8" t="s">
        <v>359</v>
      </c>
      <c r="U50" s="8" t="s">
        <v>25</v>
      </c>
      <c r="V50" s="8" t="s">
        <v>25</v>
      </c>
      <c r="W50" s="8">
        <v>89.7</v>
      </c>
      <c r="X50" s="8" t="s">
        <v>25</v>
      </c>
      <c r="Y50" s="8" t="s">
        <v>360</v>
      </c>
      <c r="Z50" s="8">
        <v>86.7</v>
      </c>
      <c r="AA50" s="8"/>
      <c r="AB50" s="10"/>
      <c r="AC50" s="10"/>
      <c r="AD50" s="10"/>
    </row>
    <row r="51" spans="1:30" ht="25.5" x14ac:dyDescent="0.2">
      <c r="A51" s="8">
        <v>2023042</v>
      </c>
      <c r="B51" s="16" t="s">
        <v>345</v>
      </c>
      <c r="C51" s="13">
        <v>37746</v>
      </c>
      <c r="D51" s="16" t="s">
        <v>21</v>
      </c>
      <c r="E51" s="16" t="s">
        <v>207</v>
      </c>
      <c r="F51" s="16" t="s">
        <v>207</v>
      </c>
      <c r="G51" s="16" t="s">
        <v>283</v>
      </c>
      <c r="H51" s="16">
        <v>7189292</v>
      </c>
      <c r="I51" s="16">
        <v>7189292</v>
      </c>
      <c r="J51" s="16" t="s">
        <v>16</v>
      </c>
      <c r="K51" s="16" t="s">
        <v>158</v>
      </c>
      <c r="L51" s="16" t="s">
        <v>17</v>
      </c>
      <c r="M51" s="16" t="s">
        <v>18</v>
      </c>
      <c r="N51" s="16" t="s">
        <v>39</v>
      </c>
      <c r="O51" s="16" t="s">
        <v>346</v>
      </c>
      <c r="P51" s="16">
        <v>91</v>
      </c>
      <c r="Q51" s="16" t="s">
        <v>16</v>
      </c>
      <c r="R51" s="16" t="s">
        <v>358</v>
      </c>
      <c r="S51" s="8" t="s">
        <v>186</v>
      </c>
      <c r="T51" s="8" t="s">
        <v>359</v>
      </c>
      <c r="U51" s="8" t="s">
        <v>25</v>
      </c>
      <c r="V51" s="8" t="s">
        <v>25</v>
      </c>
      <c r="W51" s="8">
        <v>77.5</v>
      </c>
      <c r="X51" s="8" t="s">
        <v>307</v>
      </c>
      <c r="Y51" s="32" t="s">
        <v>362</v>
      </c>
      <c r="Z51" s="32">
        <v>80.7</v>
      </c>
      <c r="AA51" s="8"/>
      <c r="AB51" s="10"/>
      <c r="AC51" s="10"/>
      <c r="AD51" s="10"/>
    </row>
    <row r="52" spans="1:30" ht="38.25" x14ac:dyDescent="0.2">
      <c r="A52" s="8">
        <v>2023045</v>
      </c>
      <c r="B52" s="21" t="s">
        <v>159</v>
      </c>
      <c r="C52" s="26" t="s">
        <v>273</v>
      </c>
      <c r="D52" s="21" t="s">
        <v>21</v>
      </c>
      <c r="E52" s="21" t="s">
        <v>207</v>
      </c>
      <c r="F52" s="21" t="s">
        <v>207</v>
      </c>
      <c r="G52" s="21" t="s">
        <v>274</v>
      </c>
      <c r="H52" s="21">
        <f>+ 2203516991</f>
        <v>2203516991</v>
      </c>
      <c r="I52" s="16">
        <v>3516991</v>
      </c>
      <c r="J52" s="21" t="s">
        <v>16</v>
      </c>
      <c r="K52" s="21" t="s">
        <v>160</v>
      </c>
      <c r="L52" s="21" t="s">
        <v>17</v>
      </c>
      <c r="M52" s="16" t="s">
        <v>18</v>
      </c>
      <c r="N52" s="21" t="s">
        <v>26</v>
      </c>
      <c r="O52" s="21" t="s">
        <v>129</v>
      </c>
      <c r="P52" s="21">
        <v>90.2</v>
      </c>
      <c r="Q52" s="21" t="s">
        <v>16</v>
      </c>
      <c r="R52" s="16" t="s">
        <v>358</v>
      </c>
      <c r="S52" s="8" t="s">
        <v>186</v>
      </c>
      <c r="T52" s="8" t="s">
        <v>359</v>
      </c>
      <c r="U52" s="8" t="s">
        <v>25</v>
      </c>
      <c r="V52" s="8" t="s">
        <v>25</v>
      </c>
      <c r="W52" s="8">
        <v>81.599999999999994</v>
      </c>
      <c r="X52" s="8" t="s">
        <v>307</v>
      </c>
      <c r="Y52" s="8" t="s">
        <v>25</v>
      </c>
      <c r="Z52" s="8">
        <v>91.8</v>
      </c>
      <c r="AA52" s="8"/>
      <c r="AB52" s="10"/>
      <c r="AC52" s="10"/>
      <c r="AD52" s="10"/>
    </row>
    <row r="53" spans="1:30" ht="25.5" x14ac:dyDescent="0.2">
      <c r="A53" s="8">
        <v>2023107</v>
      </c>
      <c r="B53" s="21" t="s">
        <v>161</v>
      </c>
      <c r="C53" s="26">
        <v>37622</v>
      </c>
      <c r="D53" s="17" t="s">
        <v>13</v>
      </c>
      <c r="E53" s="22">
        <v>310103420002</v>
      </c>
      <c r="F53" s="18" t="s">
        <v>210</v>
      </c>
      <c r="G53" s="17" t="s">
        <v>207</v>
      </c>
      <c r="H53" s="19">
        <v>2451334</v>
      </c>
      <c r="I53" s="19">
        <v>2451334</v>
      </c>
      <c r="J53" s="17" t="s">
        <v>16</v>
      </c>
      <c r="K53" s="17" t="s">
        <v>211</v>
      </c>
      <c r="L53" s="18" t="s">
        <v>17</v>
      </c>
      <c r="M53" s="16" t="s">
        <v>18</v>
      </c>
      <c r="N53" s="21" t="s">
        <v>24</v>
      </c>
      <c r="O53" s="17">
        <v>2023</v>
      </c>
      <c r="P53" s="17">
        <v>82.22</v>
      </c>
      <c r="Q53" s="17" t="s">
        <v>16</v>
      </c>
      <c r="R53" s="16" t="s">
        <v>358</v>
      </c>
      <c r="S53" s="8" t="s">
        <v>193</v>
      </c>
      <c r="T53" s="8" t="s">
        <v>359</v>
      </c>
      <c r="U53" s="8" t="s">
        <v>307</v>
      </c>
      <c r="V53" s="23" t="s">
        <v>307</v>
      </c>
      <c r="W53" s="8">
        <v>75.5</v>
      </c>
      <c r="X53" s="8" t="s">
        <v>307</v>
      </c>
      <c r="Y53" s="8" t="s">
        <v>360</v>
      </c>
      <c r="Z53" s="8">
        <v>78.400000000000006</v>
      </c>
      <c r="AA53" s="23"/>
      <c r="AB53" s="10"/>
      <c r="AC53" s="10"/>
      <c r="AD53" s="10"/>
    </row>
    <row r="54" spans="1:30" ht="25.5" x14ac:dyDescent="0.2">
      <c r="A54" s="8">
        <v>2023129</v>
      </c>
      <c r="B54" s="21" t="s">
        <v>347</v>
      </c>
      <c r="C54" s="26" t="s">
        <v>212</v>
      </c>
      <c r="D54" s="17" t="s">
        <v>13</v>
      </c>
      <c r="E54" s="17" t="s">
        <v>213</v>
      </c>
      <c r="F54" s="18" t="s">
        <v>14</v>
      </c>
      <c r="G54" s="17" t="s">
        <v>207</v>
      </c>
      <c r="H54" s="17">
        <v>7363432</v>
      </c>
      <c r="I54" s="17">
        <v>7363432</v>
      </c>
      <c r="J54" s="17" t="s">
        <v>16</v>
      </c>
      <c r="K54" s="17" t="s">
        <v>162</v>
      </c>
      <c r="L54" s="18" t="s">
        <v>17</v>
      </c>
      <c r="M54" s="16" t="s">
        <v>18</v>
      </c>
      <c r="N54" s="17" t="s">
        <v>24</v>
      </c>
      <c r="O54" s="17">
        <v>2023</v>
      </c>
      <c r="P54" s="17">
        <v>84.11</v>
      </c>
      <c r="Q54" s="17" t="s">
        <v>16</v>
      </c>
      <c r="R54" s="16" t="s">
        <v>358</v>
      </c>
      <c r="S54" s="8" t="s">
        <v>193</v>
      </c>
      <c r="T54" s="8" t="s">
        <v>359</v>
      </c>
      <c r="U54" s="8" t="s">
        <v>307</v>
      </c>
      <c r="V54" s="23" t="s">
        <v>25</v>
      </c>
      <c r="W54" s="8">
        <v>80.900000000000006</v>
      </c>
      <c r="X54" s="8" t="s">
        <v>307</v>
      </c>
      <c r="Y54" s="8" t="s">
        <v>25</v>
      </c>
      <c r="Z54" s="8">
        <v>90.2</v>
      </c>
      <c r="AA54" s="23"/>
      <c r="AB54" s="10"/>
      <c r="AC54" s="10"/>
      <c r="AD54" s="10"/>
    </row>
    <row r="55" spans="1:30" ht="25.5" x14ac:dyDescent="0.2">
      <c r="A55" s="8">
        <v>2023085</v>
      </c>
      <c r="B55" s="24" t="s">
        <v>194</v>
      </c>
      <c r="C55" s="26">
        <v>38574</v>
      </c>
      <c r="D55" s="17" t="s">
        <v>13</v>
      </c>
      <c r="E55" s="17" t="s">
        <v>214</v>
      </c>
      <c r="F55" s="18" t="s">
        <v>14</v>
      </c>
      <c r="G55" s="25" t="s">
        <v>215</v>
      </c>
      <c r="H55" s="17">
        <v>2856327</v>
      </c>
      <c r="I55" s="17">
        <v>2856327</v>
      </c>
      <c r="J55" s="17" t="s">
        <v>16</v>
      </c>
      <c r="K55" s="17" t="s">
        <v>43</v>
      </c>
      <c r="L55" s="18" t="s">
        <v>17</v>
      </c>
      <c r="M55" s="16" t="s">
        <v>18</v>
      </c>
      <c r="N55" s="17" t="s">
        <v>24</v>
      </c>
      <c r="O55" s="17">
        <v>2023</v>
      </c>
      <c r="P55" s="17">
        <v>98.11</v>
      </c>
      <c r="Q55" s="17" t="s">
        <v>16</v>
      </c>
      <c r="R55" s="16" t="s">
        <v>358</v>
      </c>
      <c r="S55" s="8" t="s">
        <v>193</v>
      </c>
      <c r="T55" s="8" t="s">
        <v>359</v>
      </c>
      <c r="U55" s="23" t="s">
        <v>25</v>
      </c>
      <c r="V55" s="23" t="s">
        <v>25</v>
      </c>
      <c r="W55" s="8">
        <v>91.7</v>
      </c>
      <c r="X55" s="8" t="s">
        <v>25</v>
      </c>
      <c r="Y55" s="8" t="s">
        <v>25</v>
      </c>
      <c r="Z55" s="8">
        <v>96.7</v>
      </c>
      <c r="AA55" s="23"/>
      <c r="AB55" s="10"/>
      <c r="AC55" s="10"/>
      <c r="AD55" s="10"/>
    </row>
    <row r="56" spans="1:30" ht="38.25" x14ac:dyDescent="0.2">
      <c r="A56" s="8">
        <v>2023095</v>
      </c>
      <c r="B56" s="17" t="s">
        <v>164</v>
      </c>
      <c r="C56" s="21" t="s">
        <v>239</v>
      </c>
      <c r="D56" s="17" t="s">
        <v>21</v>
      </c>
      <c r="E56" s="21">
        <v>280392610001</v>
      </c>
      <c r="F56" s="18" t="s">
        <v>210</v>
      </c>
      <c r="G56" s="25" t="s">
        <v>240</v>
      </c>
      <c r="H56" s="19">
        <f t="shared" ref="H56:I56" si="0">2203287092</f>
        <v>2203287092</v>
      </c>
      <c r="I56" s="19">
        <f t="shared" si="0"/>
        <v>2203287092</v>
      </c>
      <c r="J56" s="17" t="s">
        <v>16</v>
      </c>
      <c r="K56" s="17" t="s">
        <v>163</v>
      </c>
      <c r="L56" s="18" t="s">
        <v>17</v>
      </c>
      <c r="M56" s="16" t="s">
        <v>18</v>
      </c>
      <c r="N56" s="17" t="s">
        <v>348</v>
      </c>
      <c r="O56" s="21" t="s">
        <v>349</v>
      </c>
      <c r="P56" s="17" t="s">
        <v>165</v>
      </c>
      <c r="Q56" s="17" t="s">
        <v>16</v>
      </c>
      <c r="R56" s="16" t="s">
        <v>358</v>
      </c>
      <c r="S56" s="23" t="s">
        <v>186</v>
      </c>
      <c r="T56" s="8" t="s">
        <v>359</v>
      </c>
      <c r="U56" s="8" t="s">
        <v>189</v>
      </c>
      <c r="V56" s="8" t="s">
        <v>189</v>
      </c>
      <c r="W56" s="8">
        <v>56.4</v>
      </c>
      <c r="X56" s="8" t="s">
        <v>192</v>
      </c>
      <c r="Y56" s="8" t="s">
        <v>218</v>
      </c>
      <c r="Z56" s="8">
        <v>46.5</v>
      </c>
      <c r="AA56" s="8"/>
      <c r="AB56" s="10"/>
      <c r="AC56" s="10"/>
      <c r="AD56" s="10"/>
    </row>
    <row r="57" spans="1:30" ht="25.5" x14ac:dyDescent="0.2">
      <c r="A57" s="8">
        <v>2023064</v>
      </c>
      <c r="B57" s="21" t="s">
        <v>166</v>
      </c>
      <c r="C57" s="26">
        <v>37902</v>
      </c>
      <c r="D57" s="21" t="s">
        <v>21</v>
      </c>
      <c r="E57" s="21" t="s">
        <v>207</v>
      </c>
      <c r="F57" s="21" t="s">
        <v>207</v>
      </c>
      <c r="G57" s="21" t="s">
        <v>207</v>
      </c>
      <c r="H57" s="21">
        <v>3857746</v>
      </c>
      <c r="I57" s="21">
        <v>3857746</v>
      </c>
      <c r="J57" s="21" t="s">
        <v>16</v>
      </c>
      <c r="K57" s="21" t="s">
        <v>167</v>
      </c>
      <c r="L57" s="21" t="s">
        <v>17</v>
      </c>
      <c r="M57" s="16" t="s">
        <v>18</v>
      </c>
      <c r="N57" s="21" t="s">
        <v>350</v>
      </c>
      <c r="O57" s="21" t="s">
        <v>310</v>
      </c>
      <c r="P57" s="21" t="s">
        <v>168</v>
      </c>
      <c r="Q57" s="21" t="s">
        <v>16</v>
      </c>
      <c r="R57" s="16" t="s">
        <v>358</v>
      </c>
      <c r="S57" s="8" t="s">
        <v>186</v>
      </c>
      <c r="T57" s="8" t="s">
        <v>359</v>
      </c>
      <c r="U57" s="8" t="s">
        <v>189</v>
      </c>
      <c r="V57" s="23" t="s">
        <v>189</v>
      </c>
      <c r="W57" s="28">
        <v>59.6</v>
      </c>
      <c r="X57" s="28" t="s">
        <v>192</v>
      </c>
      <c r="Y57" s="28" t="s">
        <v>192</v>
      </c>
      <c r="Z57" s="28">
        <v>60</v>
      </c>
      <c r="AA57" s="23"/>
      <c r="AB57" s="10"/>
      <c r="AC57" s="10"/>
      <c r="AD57" s="10"/>
    </row>
    <row r="58" spans="1:30" ht="25.5" x14ac:dyDescent="0.2">
      <c r="A58" s="8">
        <v>2023037</v>
      </c>
      <c r="B58" s="21" t="s">
        <v>169</v>
      </c>
      <c r="C58" s="26" t="s">
        <v>291</v>
      </c>
      <c r="D58" s="21" t="s">
        <v>42</v>
      </c>
      <c r="E58" s="21">
        <v>112336</v>
      </c>
      <c r="F58" s="21" t="s">
        <v>210</v>
      </c>
      <c r="G58" s="21" t="s">
        <v>170</v>
      </c>
      <c r="H58" s="21">
        <v>2795990</v>
      </c>
      <c r="I58" s="21">
        <v>2795990</v>
      </c>
      <c r="J58" s="21" t="s">
        <v>16</v>
      </c>
      <c r="K58" s="21" t="s">
        <v>102</v>
      </c>
      <c r="L58" s="21" t="s">
        <v>17</v>
      </c>
      <c r="M58" s="16" t="s">
        <v>18</v>
      </c>
      <c r="N58" s="21" t="s">
        <v>340</v>
      </c>
      <c r="O58" s="21">
        <v>2019</v>
      </c>
      <c r="P58" s="21">
        <v>86.9</v>
      </c>
      <c r="Q58" s="21" t="s">
        <v>16</v>
      </c>
      <c r="R58" s="16" t="s">
        <v>358</v>
      </c>
      <c r="S58" s="8" t="s">
        <v>186</v>
      </c>
      <c r="T58" s="8" t="s">
        <v>359</v>
      </c>
      <c r="U58" s="8" t="s">
        <v>189</v>
      </c>
      <c r="V58" s="8" t="s">
        <v>192</v>
      </c>
      <c r="W58" s="28">
        <v>47.6</v>
      </c>
      <c r="X58" s="8" t="s">
        <v>218</v>
      </c>
      <c r="Y58" s="28" t="s">
        <v>192</v>
      </c>
      <c r="Z58" s="28">
        <v>63</v>
      </c>
      <c r="AA58" s="10"/>
      <c r="AB58" s="10"/>
      <c r="AC58" s="10"/>
      <c r="AD58" s="10"/>
    </row>
    <row r="59" spans="1:30" ht="38.25" x14ac:dyDescent="0.2">
      <c r="A59" s="28">
        <v>2023041</v>
      </c>
      <c r="B59" s="21" t="s">
        <v>171</v>
      </c>
      <c r="C59" s="26" t="s">
        <v>216</v>
      </c>
      <c r="D59" s="17" t="s">
        <v>13</v>
      </c>
      <c r="E59" s="21" t="s">
        <v>292</v>
      </c>
      <c r="F59" s="21" t="s">
        <v>14</v>
      </c>
      <c r="G59" s="17" t="s">
        <v>172</v>
      </c>
      <c r="H59" s="17">
        <v>2203107759</v>
      </c>
      <c r="I59" s="17">
        <v>2203107759</v>
      </c>
      <c r="J59" s="17" t="s">
        <v>16</v>
      </c>
      <c r="K59" s="17" t="s">
        <v>173</v>
      </c>
      <c r="L59" s="17" t="s">
        <v>17</v>
      </c>
      <c r="M59" s="16" t="s">
        <v>18</v>
      </c>
      <c r="N59" s="16" t="s">
        <v>174</v>
      </c>
      <c r="O59" s="17" t="s">
        <v>106</v>
      </c>
      <c r="P59" s="21">
        <v>93.5</v>
      </c>
      <c r="Q59" s="17" t="s">
        <v>16</v>
      </c>
      <c r="R59" s="16" t="s">
        <v>358</v>
      </c>
      <c r="S59" s="8" t="s">
        <v>193</v>
      </c>
      <c r="T59" s="8" t="s">
        <v>359</v>
      </c>
      <c r="U59" s="23" t="s">
        <v>25</v>
      </c>
      <c r="V59" s="23" t="s">
        <v>25</v>
      </c>
      <c r="W59" s="8">
        <v>85.6</v>
      </c>
      <c r="X59" s="8" t="s">
        <v>25</v>
      </c>
      <c r="Y59" s="8" t="s">
        <v>360</v>
      </c>
      <c r="Z59" s="8">
        <v>85.2</v>
      </c>
      <c r="AA59" s="23"/>
      <c r="AB59" s="10"/>
      <c r="AC59" s="10"/>
      <c r="AD59" s="10"/>
    </row>
    <row r="60" spans="1:30" ht="25.5" x14ac:dyDescent="0.2">
      <c r="A60" s="8">
        <v>2023100</v>
      </c>
      <c r="B60" s="17" t="s">
        <v>272</v>
      </c>
      <c r="C60" s="26">
        <v>36282</v>
      </c>
      <c r="D60" s="18" t="s">
        <v>21</v>
      </c>
      <c r="E60" s="17" t="s">
        <v>175</v>
      </c>
      <c r="F60" s="18" t="s">
        <v>14</v>
      </c>
      <c r="G60" s="17" t="s">
        <v>207</v>
      </c>
      <c r="H60" s="17">
        <v>2209990099</v>
      </c>
      <c r="I60" s="17">
        <v>2209990099</v>
      </c>
      <c r="J60" s="17" t="s">
        <v>16</v>
      </c>
      <c r="K60" s="21" t="s">
        <v>176</v>
      </c>
      <c r="L60" s="17" t="s">
        <v>17</v>
      </c>
      <c r="M60" s="16" t="s">
        <v>18</v>
      </c>
      <c r="N60" s="17" t="s">
        <v>39</v>
      </c>
      <c r="O60" s="17" t="s">
        <v>338</v>
      </c>
      <c r="P60" s="17">
        <v>81.2</v>
      </c>
      <c r="Q60" s="17" t="s">
        <v>16</v>
      </c>
      <c r="R60" s="16" t="s">
        <v>358</v>
      </c>
      <c r="S60" s="8" t="s">
        <v>186</v>
      </c>
      <c r="T60" s="8" t="s">
        <v>359</v>
      </c>
      <c r="U60" s="8" t="s">
        <v>189</v>
      </c>
      <c r="V60" s="8" t="s">
        <v>189</v>
      </c>
      <c r="W60" s="8">
        <v>64.5</v>
      </c>
      <c r="X60" s="8" t="s">
        <v>192</v>
      </c>
      <c r="Y60" s="8" t="s">
        <v>189</v>
      </c>
      <c r="Z60" s="8">
        <v>74.5</v>
      </c>
      <c r="AA60" s="23"/>
      <c r="AB60" s="10"/>
      <c r="AC60" s="10"/>
      <c r="AD60" s="10"/>
    </row>
    <row r="61" spans="1:30" ht="25.5" x14ac:dyDescent="0.2">
      <c r="A61" s="8">
        <v>2023110</v>
      </c>
      <c r="B61" s="18" t="s">
        <v>177</v>
      </c>
      <c r="C61" s="26" t="s">
        <v>238</v>
      </c>
      <c r="D61" s="18" t="s">
        <v>21</v>
      </c>
      <c r="E61" s="18" t="s">
        <v>200</v>
      </c>
      <c r="F61" s="18" t="s">
        <v>14</v>
      </c>
      <c r="G61" s="25" t="s">
        <v>178</v>
      </c>
      <c r="H61" s="18">
        <v>5914492</v>
      </c>
      <c r="I61" s="21">
        <f>2205914492</f>
        <v>2205914492</v>
      </c>
      <c r="J61" s="18" t="s">
        <v>16</v>
      </c>
      <c r="K61" s="18" t="s">
        <v>38</v>
      </c>
      <c r="L61" s="18" t="s">
        <v>17</v>
      </c>
      <c r="M61" s="16" t="s">
        <v>18</v>
      </c>
      <c r="N61" s="18" t="s">
        <v>39</v>
      </c>
      <c r="O61" s="21" t="s">
        <v>321</v>
      </c>
      <c r="P61" s="18">
        <v>89.6</v>
      </c>
      <c r="Q61" s="18" t="s">
        <v>16</v>
      </c>
      <c r="R61" s="16" t="s">
        <v>358</v>
      </c>
      <c r="S61" s="8" t="s">
        <v>186</v>
      </c>
      <c r="T61" s="8" t="s">
        <v>359</v>
      </c>
      <c r="U61" s="8" t="s">
        <v>25</v>
      </c>
      <c r="V61" s="8" t="s">
        <v>25</v>
      </c>
      <c r="W61" s="8">
        <v>82.3</v>
      </c>
      <c r="X61" s="8" t="s">
        <v>307</v>
      </c>
      <c r="Y61" s="8" t="s">
        <v>25</v>
      </c>
      <c r="Z61" s="8">
        <v>92.2</v>
      </c>
      <c r="AA61" s="23"/>
      <c r="AB61" s="10"/>
      <c r="AC61" s="10"/>
      <c r="AD61" s="10"/>
    </row>
    <row r="62" spans="1:30" ht="38.25" x14ac:dyDescent="0.2">
      <c r="A62" s="8">
        <v>2023007</v>
      </c>
      <c r="B62" s="21" t="s">
        <v>195</v>
      </c>
      <c r="C62" s="26">
        <v>37683</v>
      </c>
      <c r="D62" s="17" t="s">
        <v>21</v>
      </c>
      <c r="E62" s="17" t="s">
        <v>201</v>
      </c>
      <c r="F62" s="18" t="s">
        <v>14</v>
      </c>
      <c r="G62" s="25" t="s">
        <v>271</v>
      </c>
      <c r="H62" s="17">
        <v>2206798696</v>
      </c>
      <c r="I62" s="21">
        <v>2206798696</v>
      </c>
      <c r="J62" s="18" t="s">
        <v>16</v>
      </c>
      <c r="K62" s="17" t="s">
        <v>130</v>
      </c>
      <c r="L62" s="17" t="s">
        <v>17</v>
      </c>
      <c r="M62" s="16" t="s">
        <v>18</v>
      </c>
      <c r="N62" s="17" t="s">
        <v>131</v>
      </c>
      <c r="O62" s="21" t="s">
        <v>129</v>
      </c>
      <c r="P62" s="17">
        <v>85.75</v>
      </c>
      <c r="Q62" s="17" t="s">
        <v>16</v>
      </c>
      <c r="R62" s="16" t="s">
        <v>358</v>
      </c>
      <c r="S62" s="8" t="s">
        <v>186</v>
      </c>
      <c r="T62" s="8" t="s">
        <v>359</v>
      </c>
      <c r="U62" s="8" t="s">
        <v>307</v>
      </c>
      <c r="V62" s="8" t="s">
        <v>307</v>
      </c>
      <c r="W62" s="8">
        <v>59.3</v>
      </c>
      <c r="X62" s="8" t="s">
        <v>192</v>
      </c>
      <c r="Y62" s="8" t="s">
        <v>189</v>
      </c>
      <c r="Z62" s="8">
        <v>74.8</v>
      </c>
      <c r="AA62" s="23"/>
      <c r="AB62" s="10"/>
      <c r="AC62" s="10"/>
      <c r="AD62" s="10"/>
    </row>
    <row r="63" spans="1:30" ht="25.5" x14ac:dyDescent="0.2">
      <c r="A63" s="8">
        <v>2023001</v>
      </c>
      <c r="B63" s="21" t="s">
        <v>179</v>
      </c>
      <c r="C63" s="26">
        <v>33974</v>
      </c>
      <c r="D63" s="21" t="s">
        <v>180</v>
      </c>
      <c r="E63" s="21">
        <v>558455015</v>
      </c>
      <c r="F63" s="21" t="s">
        <v>14</v>
      </c>
      <c r="G63" s="25" t="s">
        <v>278</v>
      </c>
      <c r="H63" s="21">
        <v>5091492</v>
      </c>
      <c r="I63" s="21">
        <v>5091492</v>
      </c>
      <c r="J63" s="21" t="s">
        <v>16</v>
      </c>
      <c r="K63" s="21" t="s">
        <v>219</v>
      </c>
      <c r="L63" s="21" t="s">
        <v>17</v>
      </c>
      <c r="M63" s="16" t="s">
        <v>18</v>
      </c>
      <c r="N63" s="21" t="s">
        <v>277</v>
      </c>
      <c r="O63" s="21">
        <v>2009</v>
      </c>
      <c r="P63" s="21">
        <v>80</v>
      </c>
      <c r="Q63" s="21" t="s">
        <v>181</v>
      </c>
      <c r="R63" s="16" t="s">
        <v>358</v>
      </c>
      <c r="S63" s="8" t="s">
        <v>186</v>
      </c>
      <c r="T63" s="8" t="s">
        <v>359</v>
      </c>
      <c r="U63" s="8" t="s">
        <v>25</v>
      </c>
      <c r="V63" s="8" t="s">
        <v>25</v>
      </c>
      <c r="W63" s="8">
        <v>87.5</v>
      </c>
      <c r="X63" s="8" t="s">
        <v>25</v>
      </c>
      <c r="Y63" s="8" t="s">
        <v>25</v>
      </c>
      <c r="Z63" s="8">
        <v>91.9</v>
      </c>
      <c r="AA63" s="23"/>
      <c r="AB63" s="10"/>
      <c r="AC63" s="10"/>
      <c r="AD63" s="10"/>
    </row>
    <row r="64" spans="1:30" ht="38.25" x14ac:dyDescent="0.2">
      <c r="A64" s="8">
        <v>2023091</v>
      </c>
      <c r="B64" s="21" t="s">
        <v>182</v>
      </c>
      <c r="C64" s="26" t="s">
        <v>293</v>
      </c>
      <c r="D64" s="21" t="s">
        <v>21</v>
      </c>
      <c r="E64" s="21" t="s">
        <v>294</v>
      </c>
      <c r="F64" s="21" t="s">
        <v>14</v>
      </c>
      <c r="G64" s="25" t="s">
        <v>295</v>
      </c>
      <c r="H64" s="21">
        <v>2991962</v>
      </c>
      <c r="I64" s="21">
        <v>6626306</v>
      </c>
      <c r="J64" s="21" t="s">
        <v>16</v>
      </c>
      <c r="K64" s="21" t="s">
        <v>160</v>
      </c>
      <c r="L64" s="21" t="s">
        <v>17</v>
      </c>
      <c r="M64" s="16" t="s">
        <v>18</v>
      </c>
      <c r="N64" s="21" t="s">
        <v>351</v>
      </c>
      <c r="O64" s="21">
        <v>2021</v>
      </c>
      <c r="P64" s="21">
        <v>76.2</v>
      </c>
      <c r="Q64" s="21" t="s">
        <v>16</v>
      </c>
      <c r="R64" s="16" t="s">
        <v>358</v>
      </c>
      <c r="S64" s="8" t="s">
        <v>186</v>
      </c>
      <c r="T64" s="8" t="s">
        <v>359</v>
      </c>
      <c r="U64" s="8" t="s">
        <v>191</v>
      </c>
      <c r="V64" s="8" t="s">
        <v>307</v>
      </c>
      <c r="W64" s="8">
        <v>66.7</v>
      </c>
      <c r="X64" s="8" t="s">
        <v>189</v>
      </c>
      <c r="Y64" s="8" t="s">
        <v>218</v>
      </c>
      <c r="Z64" s="8">
        <v>47.3</v>
      </c>
      <c r="AA64" s="23"/>
      <c r="AB64" s="10"/>
      <c r="AC64" s="10"/>
      <c r="AD64" s="10"/>
    </row>
    <row r="65" spans="1:30" ht="38.25" x14ac:dyDescent="0.2">
      <c r="A65" s="8">
        <v>2023130</v>
      </c>
      <c r="B65" s="21" t="s">
        <v>183</v>
      </c>
      <c r="C65" s="26" t="s">
        <v>284</v>
      </c>
      <c r="D65" s="21" t="s">
        <v>21</v>
      </c>
      <c r="E65" s="21" t="s">
        <v>285</v>
      </c>
      <c r="F65" s="21" t="s">
        <v>14</v>
      </c>
      <c r="G65" s="25" t="s">
        <v>288</v>
      </c>
      <c r="H65" s="21">
        <v>3188902</v>
      </c>
      <c r="I65" s="21">
        <v>3188902</v>
      </c>
      <c r="J65" s="21" t="s">
        <v>16</v>
      </c>
      <c r="K65" s="21" t="s">
        <v>286</v>
      </c>
      <c r="L65" s="21" t="s">
        <v>17</v>
      </c>
      <c r="M65" s="16" t="s">
        <v>18</v>
      </c>
      <c r="N65" s="21" t="s">
        <v>287</v>
      </c>
      <c r="O65" s="21">
        <v>2021</v>
      </c>
      <c r="P65" s="21">
        <v>89</v>
      </c>
      <c r="Q65" s="21" t="s">
        <v>16</v>
      </c>
      <c r="R65" s="16" t="s">
        <v>358</v>
      </c>
      <c r="S65" s="8" t="s">
        <v>186</v>
      </c>
      <c r="T65" s="8" t="s">
        <v>359</v>
      </c>
      <c r="U65" s="8" t="s">
        <v>307</v>
      </c>
      <c r="V65" s="8" t="s">
        <v>25</v>
      </c>
      <c r="W65" s="8">
        <v>76.2</v>
      </c>
      <c r="X65" s="8" t="s">
        <v>307</v>
      </c>
      <c r="Y65" s="8" t="s">
        <v>360</v>
      </c>
      <c r="Z65" s="8">
        <v>85.7</v>
      </c>
      <c r="AA65" s="23"/>
      <c r="AB65" s="10"/>
      <c r="AC65" s="10"/>
      <c r="AD65" s="10"/>
    </row>
    <row r="66" spans="1:30" ht="38.25" x14ac:dyDescent="0.2">
      <c r="A66" s="28">
        <v>2023032</v>
      </c>
      <c r="B66" s="21" t="s">
        <v>184</v>
      </c>
      <c r="C66" s="26">
        <v>36926</v>
      </c>
      <c r="D66" s="21" t="s">
        <v>352</v>
      </c>
      <c r="E66" s="21" t="s">
        <v>270</v>
      </c>
      <c r="F66" s="21" t="s">
        <v>14</v>
      </c>
      <c r="G66" s="25" t="s">
        <v>276</v>
      </c>
      <c r="H66" s="21">
        <v>5123287</v>
      </c>
      <c r="I66" s="21">
        <v>5123287</v>
      </c>
      <c r="J66" s="21" t="s">
        <v>16</v>
      </c>
      <c r="K66" s="21" t="s">
        <v>219</v>
      </c>
      <c r="L66" s="21" t="s">
        <v>17</v>
      </c>
      <c r="M66" s="16" t="s">
        <v>18</v>
      </c>
      <c r="N66" s="21" t="s">
        <v>275</v>
      </c>
      <c r="O66" s="21">
        <v>2013</v>
      </c>
      <c r="P66" s="21">
        <v>91.6</v>
      </c>
      <c r="Q66" s="21" t="s">
        <v>190</v>
      </c>
      <c r="R66" s="16" t="s">
        <v>358</v>
      </c>
      <c r="S66" s="8" t="s">
        <v>186</v>
      </c>
      <c r="T66" s="8" t="s">
        <v>359</v>
      </c>
      <c r="U66" s="8" t="s">
        <v>189</v>
      </c>
      <c r="V66" s="8" t="s">
        <v>307</v>
      </c>
      <c r="W66" s="8">
        <v>51.6</v>
      </c>
      <c r="X66" s="8" t="s">
        <v>192</v>
      </c>
      <c r="Y66" s="8" t="s">
        <v>360</v>
      </c>
      <c r="Z66" s="8">
        <v>75.400000000000006</v>
      </c>
      <c r="AA66" s="23"/>
      <c r="AB66" s="10"/>
      <c r="AC66" s="10"/>
      <c r="AD66" s="10"/>
    </row>
    <row r="67" spans="1:30" ht="12.75" x14ac:dyDescent="0.2">
      <c r="A67" s="8"/>
      <c r="B67" s="8"/>
      <c r="C67" s="30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10"/>
      <c r="AC67" s="10"/>
      <c r="AD67" s="10"/>
    </row>
    <row r="68" spans="1:30" ht="12.75" x14ac:dyDescent="0.2">
      <c r="A68" s="8"/>
      <c r="B68" s="8"/>
      <c r="C68" s="30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10"/>
      <c r="AC68" s="10"/>
      <c r="AD68" s="10"/>
    </row>
    <row r="69" spans="1:30" ht="12.75" x14ac:dyDescent="0.2">
      <c r="A69" s="8"/>
      <c r="B69" s="8"/>
      <c r="C69" s="30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10"/>
      <c r="AC69" s="10"/>
      <c r="AD69" s="10"/>
    </row>
    <row r="70" spans="1:30" ht="12.75" x14ac:dyDescent="0.2">
      <c r="A70" s="8"/>
      <c r="B70" s="8"/>
      <c r="C70" s="30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10"/>
      <c r="AC70" s="10"/>
      <c r="AD70" s="10"/>
    </row>
    <row r="71" spans="1:30" ht="12.75" x14ac:dyDescent="0.2">
      <c r="A71" s="8"/>
      <c r="B71" s="8"/>
      <c r="C71" s="30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10"/>
      <c r="AC71" s="10"/>
      <c r="AD71" s="10"/>
    </row>
    <row r="72" spans="1:30" ht="12.75" x14ac:dyDescent="0.2">
      <c r="A72" s="8"/>
      <c r="B72" s="8"/>
      <c r="C72" s="30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10"/>
      <c r="AC72" s="10"/>
      <c r="AD72" s="10"/>
    </row>
    <row r="73" spans="1:30" ht="12.75" x14ac:dyDescent="0.2">
      <c r="A73" s="8"/>
      <c r="B73" s="8"/>
      <c r="C73" s="30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10"/>
      <c r="AC73" s="10"/>
      <c r="AD73" s="10"/>
    </row>
    <row r="74" spans="1:30" ht="12.75" x14ac:dyDescent="0.2">
      <c r="A74" s="8"/>
      <c r="B74" s="8"/>
      <c r="C74" s="30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10"/>
      <c r="AC74" s="10"/>
      <c r="AD74" s="10"/>
    </row>
    <row r="75" spans="1:30" ht="12.75" x14ac:dyDescent="0.2">
      <c r="A75" s="8"/>
      <c r="B75" s="8"/>
      <c r="C75" s="30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10"/>
      <c r="AC75" s="10"/>
      <c r="AD75" s="10"/>
    </row>
    <row r="76" spans="1:30" ht="12.75" x14ac:dyDescent="0.2">
      <c r="A76" s="8"/>
      <c r="B76" s="8"/>
      <c r="C76" s="30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10"/>
      <c r="AC76" s="10"/>
      <c r="AD76" s="10"/>
    </row>
    <row r="77" spans="1:30" ht="12.75" x14ac:dyDescent="0.2">
      <c r="A77" s="8"/>
      <c r="B77" s="8"/>
      <c r="C77" s="30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10"/>
      <c r="AC77" s="10"/>
      <c r="AD77" s="10"/>
    </row>
    <row r="78" spans="1:30" ht="12.75" x14ac:dyDescent="0.2">
      <c r="A78" s="8"/>
      <c r="B78" s="8"/>
      <c r="C78" s="30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10"/>
      <c r="AC78" s="10"/>
      <c r="AD78" s="10"/>
    </row>
    <row r="79" spans="1:30" ht="12.75" x14ac:dyDescent="0.2">
      <c r="A79" s="8"/>
      <c r="B79" s="8"/>
      <c r="C79" s="30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10"/>
      <c r="AC79" s="10"/>
      <c r="AD79" s="10"/>
    </row>
    <row r="80" spans="1:30" ht="12.75" x14ac:dyDescent="0.2">
      <c r="A80" s="8"/>
      <c r="B80" s="8"/>
      <c r="C80" s="30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10"/>
      <c r="AC80" s="10"/>
      <c r="AD80" s="10"/>
    </row>
    <row r="81" spans="1:30" ht="12.75" x14ac:dyDescent="0.2">
      <c r="A81" s="8"/>
      <c r="B81" s="8"/>
      <c r="C81" s="30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10"/>
      <c r="AC81" s="10"/>
      <c r="AD81" s="10"/>
    </row>
    <row r="82" spans="1:30" ht="12.75" x14ac:dyDescent="0.2">
      <c r="A82" s="8"/>
      <c r="B82" s="8"/>
      <c r="C82" s="30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10"/>
      <c r="AC82" s="10"/>
      <c r="AD82" s="10"/>
    </row>
    <row r="83" spans="1:30" ht="12.75" x14ac:dyDescent="0.2">
      <c r="A83" s="8"/>
      <c r="B83" s="8"/>
      <c r="C83" s="30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10"/>
      <c r="AC83" s="10"/>
      <c r="AD83" s="10"/>
    </row>
    <row r="84" spans="1:30" ht="12.75" x14ac:dyDescent="0.2">
      <c r="A84" s="8"/>
      <c r="B84" s="8"/>
      <c r="C84" s="30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10"/>
      <c r="AC84" s="10"/>
      <c r="AD84" s="10"/>
    </row>
    <row r="85" spans="1:30" ht="12.75" x14ac:dyDescent="0.2">
      <c r="A85" s="8"/>
      <c r="B85" s="8"/>
      <c r="C85" s="30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10"/>
      <c r="AC85" s="10"/>
      <c r="AD85" s="10"/>
    </row>
    <row r="86" spans="1:30" ht="12.75" x14ac:dyDescent="0.2">
      <c r="A86" s="8"/>
      <c r="B86" s="8"/>
      <c r="C86" s="30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10"/>
      <c r="AC86" s="10"/>
      <c r="AD86" s="10"/>
    </row>
    <row r="87" spans="1:30" ht="12.75" x14ac:dyDescent="0.2">
      <c r="A87" s="8"/>
      <c r="B87" s="8"/>
      <c r="C87" s="30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10"/>
      <c r="AC87" s="10"/>
      <c r="AD87" s="10"/>
    </row>
    <row r="88" spans="1:30" ht="12.75" x14ac:dyDescent="0.2">
      <c r="A88" s="8"/>
      <c r="B88" s="8"/>
      <c r="C88" s="30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10"/>
      <c r="AC88" s="10"/>
      <c r="AD88" s="10"/>
    </row>
    <row r="89" spans="1:30" ht="12.75" x14ac:dyDescent="0.2">
      <c r="A89" s="8"/>
      <c r="B89" s="8"/>
      <c r="C89" s="30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10"/>
      <c r="AC89" s="10"/>
      <c r="AD89" s="10"/>
    </row>
    <row r="90" spans="1:30" ht="12.75" x14ac:dyDescent="0.2">
      <c r="A90" s="8"/>
      <c r="B90" s="8"/>
      <c r="C90" s="30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10"/>
      <c r="AC90" s="10"/>
      <c r="AD90" s="10"/>
    </row>
    <row r="91" spans="1:30" ht="12.75" x14ac:dyDescent="0.2">
      <c r="A91" s="8"/>
      <c r="B91" s="8"/>
      <c r="C91" s="30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10"/>
      <c r="AC91" s="10"/>
      <c r="AD91" s="10"/>
    </row>
    <row r="92" spans="1:30" ht="12.75" x14ac:dyDescent="0.2">
      <c r="A92" s="8"/>
      <c r="B92" s="8"/>
      <c r="C92" s="30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10"/>
      <c r="AC92" s="10"/>
      <c r="AD92" s="10"/>
    </row>
    <row r="93" spans="1:30" ht="12.75" x14ac:dyDescent="0.2">
      <c r="A93" s="8"/>
      <c r="B93" s="8"/>
      <c r="C93" s="30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10"/>
      <c r="AC93" s="10"/>
      <c r="AD93" s="10"/>
    </row>
    <row r="94" spans="1:30" ht="12.75" x14ac:dyDescent="0.2">
      <c r="A94" s="8"/>
      <c r="B94" s="8"/>
      <c r="C94" s="30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10"/>
      <c r="AC94" s="10"/>
      <c r="AD94" s="10"/>
    </row>
    <row r="95" spans="1:30" ht="12.75" x14ac:dyDescent="0.2">
      <c r="A95" s="8"/>
      <c r="B95" s="8"/>
      <c r="C95" s="30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10"/>
      <c r="AC95" s="10"/>
      <c r="AD95" s="10"/>
    </row>
    <row r="96" spans="1:30" ht="12.75" x14ac:dyDescent="0.2">
      <c r="A96" s="8"/>
      <c r="B96" s="8"/>
      <c r="C96" s="30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10"/>
      <c r="AC96" s="10"/>
      <c r="AD96" s="10"/>
    </row>
    <row r="97" spans="1:30" ht="12.75" x14ac:dyDescent="0.2">
      <c r="A97" s="8"/>
      <c r="B97" s="8"/>
      <c r="C97" s="30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10"/>
      <c r="AC97" s="10"/>
      <c r="AD97" s="10"/>
    </row>
    <row r="98" spans="1:30" ht="12.75" x14ac:dyDescent="0.2">
      <c r="A98" s="8"/>
      <c r="B98" s="8"/>
      <c r="C98" s="30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10"/>
      <c r="AC98" s="10"/>
      <c r="AD98" s="10"/>
    </row>
    <row r="99" spans="1:30" ht="12.75" x14ac:dyDescent="0.2">
      <c r="A99" s="8"/>
      <c r="B99" s="8"/>
      <c r="C99" s="30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10"/>
      <c r="AC99" s="10"/>
      <c r="AD99" s="10"/>
    </row>
    <row r="100" spans="1:30" ht="12.75" x14ac:dyDescent="0.2">
      <c r="A100" s="8"/>
      <c r="B100" s="8"/>
      <c r="C100" s="30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10"/>
      <c r="AC100" s="10"/>
      <c r="AD100" s="10"/>
    </row>
    <row r="101" spans="1:30" ht="12.75" x14ac:dyDescent="0.2">
      <c r="A101" s="8"/>
      <c r="B101" s="8"/>
      <c r="C101" s="30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10"/>
      <c r="AC101" s="10"/>
      <c r="AD101" s="10"/>
    </row>
    <row r="102" spans="1:30" ht="12.75" x14ac:dyDescent="0.2">
      <c r="A102" s="8"/>
      <c r="B102" s="8"/>
      <c r="C102" s="30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10"/>
      <c r="AC102" s="10"/>
      <c r="AD102" s="10"/>
    </row>
    <row r="103" spans="1:30" ht="12.75" x14ac:dyDescent="0.2">
      <c r="A103" s="8"/>
      <c r="B103" s="8"/>
      <c r="C103" s="30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10"/>
      <c r="AC103" s="10"/>
      <c r="AD103" s="10"/>
    </row>
    <row r="104" spans="1:30" ht="12.75" x14ac:dyDescent="0.2">
      <c r="A104" s="8"/>
      <c r="B104" s="8"/>
      <c r="C104" s="30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10"/>
      <c r="AC104" s="10"/>
      <c r="AD104" s="10"/>
    </row>
    <row r="105" spans="1:30" ht="12.75" x14ac:dyDescent="0.2">
      <c r="A105" s="8"/>
      <c r="B105" s="8"/>
      <c r="C105" s="30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10"/>
      <c r="AC105" s="10"/>
      <c r="AD105" s="10"/>
    </row>
    <row r="106" spans="1:30" ht="12.75" x14ac:dyDescent="0.2">
      <c r="A106" s="8"/>
      <c r="B106" s="8"/>
      <c r="C106" s="30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10"/>
      <c r="AC106" s="10"/>
      <c r="AD106" s="10"/>
    </row>
    <row r="107" spans="1:30" ht="12.75" x14ac:dyDescent="0.2">
      <c r="A107" s="8"/>
      <c r="B107" s="8"/>
      <c r="C107" s="30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10"/>
      <c r="AC107" s="10"/>
      <c r="AD107" s="10"/>
    </row>
    <row r="108" spans="1:30" ht="12.75" x14ac:dyDescent="0.2">
      <c r="A108" s="8"/>
      <c r="B108" s="8"/>
      <c r="C108" s="30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10"/>
      <c r="AC108" s="10"/>
      <c r="AD108" s="10"/>
    </row>
    <row r="109" spans="1:30" ht="12.75" x14ac:dyDescent="0.2">
      <c r="A109" s="8"/>
      <c r="B109" s="8"/>
      <c r="C109" s="30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10"/>
      <c r="AC109" s="10"/>
      <c r="AD109" s="10"/>
    </row>
    <row r="110" spans="1:30" ht="12.75" x14ac:dyDescent="0.2">
      <c r="A110" s="8"/>
      <c r="B110" s="8"/>
      <c r="C110" s="30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10"/>
      <c r="AC110" s="10"/>
      <c r="AD110" s="10"/>
    </row>
    <row r="111" spans="1:30" ht="12.75" x14ac:dyDescent="0.2">
      <c r="A111" s="8"/>
      <c r="B111" s="8"/>
      <c r="C111" s="30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10"/>
      <c r="AC111" s="10"/>
      <c r="AD111" s="10"/>
    </row>
    <row r="112" spans="1:30" ht="12.75" x14ac:dyDescent="0.2">
      <c r="A112" s="8"/>
      <c r="B112" s="8"/>
      <c r="C112" s="30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10"/>
      <c r="AC112" s="10"/>
      <c r="AD112" s="10"/>
    </row>
    <row r="113" spans="1:30" ht="12.75" x14ac:dyDescent="0.2">
      <c r="A113" s="8"/>
      <c r="B113" s="8"/>
      <c r="C113" s="30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10"/>
      <c r="AC113" s="10"/>
      <c r="AD113" s="10"/>
    </row>
    <row r="114" spans="1:30" ht="12.75" x14ac:dyDescent="0.2">
      <c r="A114" s="8"/>
      <c r="B114" s="8"/>
      <c r="C114" s="30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10"/>
      <c r="AC114" s="10"/>
      <c r="AD114" s="10"/>
    </row>
    <row r="115" spans="1:30" ht="12.75" x14ac:dyDescent="0.2">
      <c r="A115" s="8"/>
      <c r="B115" s="8"/>
      <c r="C115" s="30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10"/>
      <c r="AC115" s="10"/>
      <c r="AD115" s="10"/>
    </row>
    <row r="116" spans="1:30" ht="12.75" x14ac:dyDescent="0.2">
      <c r="A116" s="8"/>
      <c r="B116" s="8"/>
      <c r="C116" s="30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10"/>
      <c r="AC116" s="10"/>
      <c r="AD116" s="10"/>
    </row>
    <row r="117" spans="1:30" ht="12.75" x14ac:dyDescent="0.2">
      <c r="A117" s="8"/>
      <c r="B117" s="8"/>
      <c r="C117" s="30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10"/>
      <c r="AC117" s="10"/>
      <c r="AD117" s="10"/>
    </row>
    <row r="118" spans="1:30" ht="12.75" x14ac:dyDescent="0.2">
      <c r="A118" s="8"/>
      <c r="B118" s="8"/>
      <c r="C118" s="30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10"/>
      <c r="AC118" s="10"/>
      <c r="AD118" s="10"/>
    </row>
    <row r="119" spans="1:30" ht="12.75" x14ac:dyDescent="0.2">
      <c r="A119" s="8"/>
      <c r="B119" s="8"/>
      <c r="C119" s="30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10"/>
      <c r="AC119" s="10"/>
      <c r="AD119" s="10"/>
    </row>
    <row r="120" spans="1:30" ht="12.75" x14ac:dyDescent="0.2">
      <c r="A120" s="8"/>
      <c r="B120" s="8"/>
      <c r="C120" s="30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10"/>
      <c r="AC120" s="10"/>
      <c r="AD120" s="10"/>
    </row>
    <row r="121" spans="1:30" ht="12.75" x14ac:dyDescent="0.2">
      <c r="A121" s="8"/>
      <c r="B121" s="8"/>
      <c r="C121" s="30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10"/>
      <c r="AC121" s="10"/>
      <c r="AD121" s="10"/>
    </row>
    <row r="122" spans="1:30" ht="12.75" x14ac:dyDescent="0.2">
      <c r="A122" s="8"/>
      <c r="B122" s="8"/>
      <c r="C122" s="30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10"/>
      <c r="AC122" s="10"/>
      <c r="AD122" s="10"/>
    </row>
    <row r="123" spans="1:30" ht="12.75" x14ac:dyDescent="0.2">
      <c r="A123" s="8"/>
      <c r="B123" s="8"/>
      <c r="C123" s="30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10"/>
      <c r="AC123" s="10"/>
      <c r="AD123" s="10"/>
    </row>
    <row r="124" spans="1:30" ht="12.75" x14ac:dyDescent="0.2">
      <c r="A124" s="8"/>
      <c r="B124" s="8"/>
      <c r="C124" s="30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10"/>
      <c r="AC124" s="10"/>
      <c r="AD124" s="10"/>
    </row>
    <row r="125" spans="1:30" ht="12.75" x14ac:dyDescent="0.2">
      <c r="A125" s="8"/>
      <c r="B125" s="8"/>
      <c r="C125" s="30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10"/>
      <c r="AC125" s="10"/>
      <c r="AD125" s="10"/>
    </row>
    <row r="126" spans="1:30" ht="12.75" x14ac:dyDescent="0.2">
      <c r="A126" s="8"/>
      <c r="B126" s="8"/>
      <c r="C126" s="30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10"/>
      <c r="AC126" s="10"/>
      <c r="AD126" s="10"/>
    </row>
    <row r="127" spans="1:30" ht="12.75" x14ac:dyDescent="0.2">
      <c r="A127" s="8"/>
      <c r="B127" s="8"/>
      <c r="C127" s="30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10"/>
      <c r="AC127" s="10"/>
      <c r="AD127" s="10"/>
    </row>
    <row r="128" spans="1:30" ht="12.75" x14ac:dyDescent="0.2">
      <c r="A128" s="8"/>
      <c r="B128" s="8"/>
      <c r="C128" s="30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10"/>
      <c r="AC128" s="10"/>
      <c r="AD128" s="10"/>
    </row>
    <row r="129" spans="1:30" ht="12.75" x14ac:dyDescent="0.2">
      <c r="A129" s="8"/>
      <c r="B129" s="8"/>
      <c r="C129" s="30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10"/>
      <c r="AC129" s="10"/>
      <c r="AD129" s="10"/>
    </row>
    <row r="130" spans="1:30" ht="12.75" x14ac:dyDescent="0.2">
      <c r="A130" s="8"/>
      <c r="B130" s="8"/>
      <c r="C130" s="30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10"/>
      <c r="AC130" s="10"/>
      <c r="AD130" s="10"/>
    </row>
    <row r="131" spans="1:30" ht="12.75" x14ac:dyDescent="0.2">
      <c r="A131" s="8"/>
      <c r="B131" s="8"/>
      <c r="C131" s="30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10"/>
      <c r="AC131" s="10"/>
      <c r="AD131" s="10"/>
    </row>
    <row r="132" spans="1:30" ht="12.75" x14ac:dyDescent="0.2">
      <c r="A132" s="8"/>
      <c r="B132" s="8"/>
      <c r="C132" s="30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10"/>
      <c r="AC132" s="10"/>
      <c r="AD132" s="10"/>
    </row>
    <row r="133" spans="1:30" ht="12.75" x14ac:dyDescent="0.2">
      <c r="A133" s="8"/>
      <c r="B133" s="8"/>
      <c r="C133" s="30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10"/>
      <c r="AC133" s="10"/>
      <c r="AD133" s="10"/>
    </row>
    <row r="134" spans="1:30" ht="12.75" x14ac:dyDescent="0.2">
      <c r="A134" s="8"/>
      <c r="B134" s="8"/>
      <c r="C134" s="30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10"/>
      <c r="AC134" s="10"/>
      <c r="AD134" s="10"/>
    </row>
    <row r="135" spans="1:30" ht="12.75" x14ac:dyDescent="0.2">
      <c r="A135" s="8"/>
      <c r="B135" s="8"/>
      <c r="C135" s="30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10"/>
      <c r="AC135" s="10"/>
      <c r="AD135" s="10"/>
    </row>
    <row r="136" spans="1:30" ht="12.75" x14ac:dyDescent="0.2">
      <c r="A136" s="8"/>
      <c r="B136" s="8"/>
      <c r="C136" s="30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10"/>
      <c r="AC136" s="10"/>
      <c r="AD136" s="10"/>
    </row>
    <row r="137" spans="1:30" ht="12.75" x14ac:dyDescent="0.2">
      <c r="A137" s="8"/>
      <c r="B137" s="8"/>
      <c r="C137" s="30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10"/>
      <c r="AC137" s="10"/>
      <c r="AD137" s="10"/>
    </row>
    <row r="138" spans="1:30" ht="12.75" x14ac:dyDescent="0.2">
      <c r="A138" s="8"/>
      <c r="B138" s="8"/>
      <c r="C138" s="30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10"/>
      <c r="AC138" s="10"/>
      <c r="AD138" s="10"/>
    </row>
    <row r="139" spans="1:30" ht="12.75" x14ac:dyDescent="0.2">
      <c r="A139" s="8"/>
      <c r="B139" s="8"/>
      <c r="C139" s="30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10"/>
      <c r="AC139" s="10"/>
      <c r="AD139" s="10"/>
    </row>
    <row r="140" spans="1:30" ht="12.75" x14ac:dyDescent="0.2">
      <c r="A140" s="8"/>
      <c r="B140" s="8"/>
      <c r="C140" s="30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10"/>
      <c r="AC140" s="10"/>
      <c r="AD140" s="10"/>
    </row>
    <row r="141" spans="1:30" ht="12.75" x14ac:dyDescent="0.2">
      <c r="A141" s="8"/>
      <c r="B141" s="8"/>
      <c r="C141" s="30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10"/>
      <c r="AC141" s="10"/>
      <c r="AD141" s="10"/>
    </row>
    <row r="142" spans="1:30" ht="12.75" x14ac:dyDescent="0.2">
      <c r="A142" s="8"/>
      <c r="B142" s="8"/>
      <c r="C142" s="30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10"/>
      <c r="AC142" s="10"/>
      <c r="AD142" s="10"/>
    </row>
    <row r="143" spans="1:30" ht="12.75" x14ac:dyDescent="0.2">
      <c r="A143" s="8"/>
      <c r="B143" s="8"/>
      <c r="C143" s="30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10"/>
      <c r="AC143" s="10"/>
      <c r="AD143" s="10"/>
    </row>
    <row r="144" spans="1:30" ht="12.75" x14ac:dyDescent="0.2">
      <c r="A144" s="8"/>
      <c r="B144" s="8"/>
      <c r="C144" s="30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10"/>
      <c r="AC144" s="10"/>
      <c r="AD144" s="10"/>
    </row>
    <row r="145" spans="1:30" ht="12.75" x14ac:dyDescent="0.2">
      <c r="A145" s="8"/>
      <c r="B145" s="8"/>
      <c r="C145" s="30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10"/>
      <c r="AC145" s="10"/>
      <c r="AD145" s="10"/>
    </row>
    <row r="146" spans="1:30" ht="12.75" x14ac:dyDescent="0.2">
      <c r="A146" s="8"/>
      <c r="B146" s="8"/>
      <c r="C146" s="30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10"/>
      <c r="AC146" s="10"/>
      <c r="AD146" s="10"/>
    </row>
    <row r="147" spans="1:30" ht="12.75" x14ac:dyDescent="0.2">
      <c r="A147" s="8"/>
      <c r="B147" s="8"/>
      <c r="C147" s="30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10"/>
      <c r="AC147" s="10"/>
      <c r="AD147" s="10"/>
    </row>
    <row r="148" spans="1:30" ht="12.75" x14ac:dyDescent="0.2">
      <c r="A148" s="8"/>
      <c r="B148" s="8"/>
      <c r="C148" s="30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10"/>
      <c r="AC148" s="10"/>
      <c r="AD148" s="10"/>
    </row>
    <row r="149" spans="1:30" ht="12.75" x14ac:dyDescent="0.2">
      <c r="A149" s="8"/>
      <c r="B149" s="8"/>
      <c r="C149" s="30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10"/>
      <c r="AC149" s="10"/>
      <c r="AD149" s="10"/>
    </row>
    <row r="150" spans="1:30" ht="12.75" x14ac:dyDescent="0.2">
      <c r="A150" s="8"/>
      <c r="B150" s="8"/>
      <c r="C150" s="30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10"/>
      <c r="AC150" s="10"/>
      <c r="AD150" s="10"/>
    </row>
    <row r="151" spans="1:30" ht="12.75" x14ac:dyDescent="0.2">
      <c r="A151" s="8"/>
      <c r="B151" s="8"/>
      <c r="C151" s="30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10"/>
      <c r="AC151" s="10"/>
      <c r="AD151" s="10"/>
    </row>
    <row r="152" spans="1:30" ht="12.75" x14ac:dyDescent="0.2">
      <c r="A152" s="8"/>
      <c r="B152" s="8"/>
      <c r="C152" s="30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10"/>
      <c r="AC152" s="10"/>
      <c r="AD152" s="10"/>
    </row>
    <row r="153" spans="1:30" ht="12.75" x14ac:dyDescent="0.2">
      <c r="A153" s="8"/>
      <c r="B153" s="8"/>
      <c r="C153" s="30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10"/>
      <c r="AC153" s="10"/>
      <c r="AD153" s="10"/>
    </row>
    <row r="154" spans="1:30" ht="12.75" x14ac:dyDescent="0.2">
      <c r="A154" s="8"/>
      <c r="B154" s="8"/>
      <c r="C154" s="30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10"/>
      <c r="AC154" s="10"/>
      <c r="AD154" s="10"/>
    </row>
    <row r="155" spans="1:30" ht="12.75" x14ac:dyDescent="0.2">
      <c r="A155" s="8"/>
      <c r="B155" s="8"/>
      <c r="C155" s="30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10"/>
      <c r="AC155" s="10"/>
      <c r="AD155" s="10"/>
    </row>
    <row r="156" spans="1:30" ht="12.75" x14ac:dyDescent="0.2">
      <c r="A156" s="8"/>
      <c r="B156" s="8"/>
      <c r="C156" s="30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10"/>
      <c r="AC156" s="10"/>
      <c r="AD156" s="10"/>
    </row>
    <row r="157" spans="1:30" ht="12.75" x14ac:dyDescent="0.2">
      <c r="A157" s="8"/>
      <c r="B157" s="8"/>
      <c r="C157" s="30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10"/>
      <c r="AC157" s="10"/>
      <c r="AD157" s="10"/>
    </row>
    <row r="158" spans="1:30" ht="12.75" x14ac:dyDescent="0.2">
      <c r="A158" s="8"/>
      <c r="B158" s="8"/>
      <c r="C158" s="30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10"/>
      <c r="AC158" s="10"/>
      <c r="AD158" s="10"/>
    </row>
    <row r="159" spans="1:30" ht="12.75" x14ac:dyDescent="0.2">
      <c r="A159" s="8"/>
      <c r="B159" s="8"/>
      <c r="C159" s="30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10"/>
      <c r="AC159" s="10"/>
      <c r="AD159" s="10"/>
    </row>
    <row r="160" spans="1:30" ht="12.75" x14ac:dyDescent="0.2">
      <c r="A160" s="8"/>
      <c r="B160" s="8"/>
      <c r="C160" s="30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10"/>
      <c r="AC160" s="10"/>
      <c r="AD160" s="10"/>
    </row>
    <row r="161" spans="1:30" ht="12.75" x14ac:dyDescent="0.2">
      <c r="A161" s="8"/>
      <c r="B161" s="8"/>
      <c r="C161" s="30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10"/>
      <c r="AC161" s="10"/>
      <c r="AD161" s="10"/>
    </row>
    <row r="162" spans="1:30" ht="12.75" x14ac:dyDescent="0.2">
      <c r="A162" s="8"/>
      <c r="B162" s="8"/>
      <c r="C162" s="30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10"/>
      <c r="AC162" s="10"/>
      <c r="AD162" s="10"/>
    </row>
    <row r="163" spans="1:30" ht="12.75" x14ac:dyDescent="0.2">
      <c r="A163" s="8"/>
      <c r="B163" s="8"/>
      <c r="C163" s="30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10"/>
      <c r="AC163" s="10"/>
      <c r="AD163" s="10"/>
    </row>
    <row r="164" spans="1:30" ht="12.75" x14ac:dyDescent="0.2">
      <c r="A164" s="8"/>
      <c r="B164" s="8"/>
      <c r="C164" s="30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10"/>
      <c r="AC164" s="10"/>
      <c r="AD164" s="10"/>
    </row>
    <row r="165" spans="1:30" ht="12.75" x14ac:dyDescent="0.2">
      <c r="A165" s="8"/>
      <c r="B165" s="8"/>
      <c r="C165" s="30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10"/>
      <c r="AC165" s="10"/>
      <c r="AD165" s="10"/>
    </row>
    <row r="166" spans="1:30" ht="12.75" x14ac:dyDescent="0.2">
      <c r="A166" s="8"/>
      <c r="B166" s="8"/>
      <c r="C166" s="30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10"/>
      <c r="AC166" s="10"/>
      <c r="AD166" s="10"/>
    </row>
    <row r="167" spans="1:30" ht="12.75" x14ac:dyDescent="0.2">
      <c r="A167" s="8"/>
      <c r="B167" s="8"/>
      <c r="C167" s="30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10"/>
      <c r="AC167" s="10"/>
      <c r="AD167" s="10"/>
    </row>
    <row r="168" spans="1:30" ht="12.75" x14ac:dyDescent="0.2">
      <c r="A168" s="8"/>
      <c r="B168" s="8"/>
      <c r="C168" s="30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10"/>
      <c r="AC168" s="10"/>
      <c r="AD168" s="10"/>
    </row>
    <row r="169" spans="1:30" ht="12.75" x14ac:dyDescent="0.2">
      <c r="A169" s="8"/>
      <c r="B169" s="8"/>
      <c r="C169" s="30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10"/>
      <c r="AC169" s="10"/>
      <c r="AD169" s="10"/>
    </row>
    <row r="170" spans="1:30" ht="12.75" x14ac:dyDescent="0.2">
      <c r="A170" s="8"/>
      <c r="B170" s="8"/>
      <c r="C170" s="30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10"/>
      <c r="AC170" s="10"/>
      <c r="AD170" s="10"/>
    </row>
    <row r="171" spans="1:30" ht="12.75" x14ac:dyDescent="0.2">
      <c r="A171" s="8"/>
      <c r="B171" s="8"/>
      <c r="C171" s="30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10"/>
      <c r="AC171" s="10"/>
      <c r="AD171" s="10"/>
    </row>
    <row r="172" spans="1:30" ht="12.75" x14ac:dyDescent="0.2">
      <c r="A172" s="8"/>
      <c r="B172" s="8"/>
      <c r="C172" s="30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10"/>
      <c r="AC172" s="10"/>
      <c r="AD172" s="10"/>
    </row>
    <row r="173" spans="1:30" ht="12.75" x14ac:dyDescent="0.2">
      <c r="A173" s="8"/>
      <c r="B173" s="8"/>
      <c r="C173" s="30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10"/>
      <c r="AC173" s="10"/>
      <c r="AD173" s="10"/>
    </row>
    <row r="174" spans="1:30" ht="12.75" x14ac:dyDescent="0.2">
      <c r="A174" s="8"/>
      <c r="B174" s="8"/>
      <c r="C174" s="30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10"/>
      <c r="AC174" s="10"/>
      <c r="AD174" s="10"/>
    </row>
    <row r="175" spans="1:30" ht="12.75" x14ac:dyDescent="0.2">
      <c r="A175" s="8"/>
      <c r="B175" s="8"/>
      <c r="C175" s="30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10"/>
      <c r="AC175" s="10"/>
      <c r="AD175" s="10"/>
    </row>
    <row r="176" spans="1:30" ht="12.75" x14ac:dyDescent="0.2">
      <c r="A176" s="8"/>
      <c r="B176" s="8"/>
      <c r="C176" s="30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10"/>
      <c r="AC176" s="10"/>
      <c r="AD176" s="10"/>
    </row>
    <row r="177" spans="1:30" ht="12.75" x14ac:dyDescent="0.2">
      <c r="A177" s="8"/>
      <c r="B177" s="8"/>
      <c r="C177" s="30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10"/>
      <c r="AC177" s="10"/>
      <c r="AD177" s="10"/>
    </row>
    <row r="178" spans="1:30" ht="12.75" x14ac:dyDescent="0.2">
      <c r="A178" s="8"/>
      <c r="B178" s="8"/>
      <c r="C178" s="30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10"/>
      <c r="AC178" s="10"/>
      <c r="AD178" s="10"/>
    </row>
    <row r="179" spans="1:30" ht="12.75" x14ac:dyDescent="0.2">
      <c r="A179" s="8"/>
      <c r="B179" s="8"/>
      <c r="C179" s="30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10"/>
      <c r="AC179" s="10"/>
      <c r="AD179" s="10"/>
    </row>
    <row r="180" spans="1:30" ht="12.75" x14ac:dyDescent="0.2">
      <c r="A180" s="8"/>
      <c r="B180" s="8"/>
      <c r="C180" s="30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10"/>
      <c r="AC180" s="10"/>
      <c r="AD180" s="10"/>
    </row>
    <row r="181" spans="1:30" ht="12.75" x14ac:dyDescent="0.2">
      <c r="A181" s="8"/>
      <c r="B181" s="8"/>
      <c r="C181" s="30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10"/>
      <c r="AC181" s="10"/>
      <c r="AD181" s="10"/>
    </row>
    <row r="182" spans="1:30" ht="12.75" x14ac:dyDescent="0.2">
      <c r="A182" s="8"/>
      <c r="B182" s="8"/>
      <c r="C182" s="30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10"/>
      <c r="AC182" s="10"/>
      <c r="AD182" s="10"/>
    </row>
    <row r="183" spans="1:30" ht="12.75" x14ac:dyDescent="0.2">
      <c r="A183" s="8"/>
      <c r="B183" s="8"/>
      <c r="C183" s="30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10"/>
      <c r="AC183" s="10"/>
      <c r="AD183" s="10"/>
    </row>
    <row r="184" spans="1:30" ht="12.75" x14ac:dyDescent="0.2">
      <c r="A184" s="8"/>
      <c r="B184" s="8"/>
      <c r="C184" s="30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10"/>
      <c r="AC184" s="10"/>
      <c r="AD184" s="10"/>
    </row>
    <row r="185" spans="1:30" ht="12.75" x14ac:dyDescent="0.2">
      <c r="A185" s="8"/>
      <c r="B185" s="8"/>
      <c r="C185" s="30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10"/>
      <c r="AC185" s="10"/>
      <c r="AD185" s="10"/>
    </row>
    <row r="186" spans="1:30" ht="12.75" x14ac:dyDescent="0.2">
      <c r="A186" s="8"/>
      <c r="B186" s="8"/>
      <c r="C186" s="30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10"/>
      <c r="AC186" s="10"/>
      <c r="AD186" s="10"/>
    </row>
    <row r="187" spans="1:30" ht="12.75" x14ac:dyDescent="0.2">
      <c r="A187" s="8"/>
      <c r="B187" s="8"/>
      <c r="C187" s="30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10"/>
      <c r="AC187" s="10"/>
      <c r="AD187" s="10"/>
    </row>
    <row r="188" spans="1:30" ht="12.75" x14ac:dyDescent="0.2">
      <c r="A188" s="8"/>
      <c r="B188" s="8"/>
      <c r="C188" s="30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10"/>
      <c r="AC188" s="10"/>
      <c r="AD188" s="10"/>
    </row>
    <row r="189" spans="1:30" ht="12.75" x14ac:dyDescent="0.2">
      <c r="A189" s="8"/>
      <c r="B189" s="8"/>
      <c r="C189" s="30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10"/>
      <c r="AC189" s="10"/>
      <c r="AD189" s="10"/>
    </row>
    <row r="190" spans="1:30" ht="12.75" x14ac:dyDescent="0.2">
      <c r="A190" s="8"/>
      <c r="B190" s="8"/>
      <c r="C190" s="30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10"/>
      <c r="AC190" s="10"/>
      <c r="AD190" s="10"/>
    </row>
    <row r="191" spans="1:30" ht="12.75" x14ac:dyDescent="0.2">
      <c r="A191" s="8"/>
      <c r="B191" s="8"/>
      <c r="C191" s="30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10"/>
      <c r="AC191" s="10"/>
      <c r="AD191" s="10"/>
    </row>
    <row r="192" spans="1:30" ht="12.75" x14ac:dyDescent="0.2">
      <c r="A192" s="8"/>
      <c r="B192" s="8"/>
      <c r="C192" s="30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10"/>
      <c r="AC192" s="10"/>
      <c r="AD192" s="10"/>
    </row>
    <row r="193" spans="1:30" ht="12.75" x14ac:dyDescent="0.2">
      <c r="A193" s="8"/>
      <c r="B193" s="8"/>
      <c r="C193" s="30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10"/>
      <c r="AC193" s="10"/>
      <c r="AD193" s="10"/>
    </row>
    <row r="194" spans="1:30" ht="12.75" x14ac:dyDescent="0.2">
      <c r="A194" s="8"/>
      <c r="B194" s="8"/>
      <c r="C194" s="30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10"/>
      <c r="AC194" s="10"/>
      <c r="AD194" s="10"/>
    </row>
    <row r="195" spans="1:30" ht="12.75" x14ac:dyDescent="0.2">
      <c r="A195" s="8"/>
      <c r="B195" s="8"/>
      <c r="C195" s="30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10"/>
      <c r="AC195" s="10"/>
      <c r="AD195" s="10"/>
    </row>
    <row r="196" spans="1:30" ht="12.75" x14ac:dyDescent="0.2">
      <c r="A196" s="8"/>
      <c r="B196" s="8"/>
      <c r="C196" s="30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10"/>
      <c r="AC196" s="10"/>
      <c r="AD196" s="10"/>
    </row>
    <row r="197" spans="1:30" ht="12.75" x14ac:dyDescent="0.2">
      <c r="A197" s="8"/>
      <c r="B197" s="8"/>
      <c r="C197" s="30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10"/>
      <c r="AC197" s="10"/>
      <c r="AD197" s="10"/>
    </row>
    <row r="198" spans="1:30" ht="12.75" x14ac:dyDescent="0.2">
      <c r="A198" s="8"/>
      <c r="B198" s="8"/>
      <c r="C198" s="30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10"/>
      <c r="AC198" s="10"/>
      <c r="AD198" s="10"/>
    </row>
    <row r="199" spans="1:30" ht="12.75" x14ac:dyDescent="0.2">
      <c r="A199" s="8"/>
      <c r="B199" s="8"/>
      <c r="C199" s="30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10"/>
      <c r="AC199" s="10"/>
      <c r="AD199" s="10"/>
    </row>
    <row r="200" spans="1:30" ht="12.75" x14ac:dyDescent="0.2">
      <c r="A200" s="8"/>
      <c r="B200" s="8"/>
      <c r="C200" s="30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10"/>
      <c r="AC200" s="10"/>
      <c r="AD200" s="10"/>
    </row>
    <row r="201" spans="1:30" ht="12.75" x14ac:dyDescent="0.2">
      <c r="A201" s="8"/>
      <c r="B201" s="8"/>
      <c r="C201" s="30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10"/>
      <c r="AC201" s="10"/>
      <c r="AD201" s="10"/>
    </row>
    <row r="202" spans="1:30" ht="12.75" x14ac:dyDescent="0.2">
      <c r="A202" s="8"/>
      <c r="B202" s="8"/>
      <c r="C202" s="30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10"/>
      <c r="AC202" s="10"/>
      <c r="AD202" s="10"/>
    </row>
    <row r="203" spans="1:30" ht="12.75" x14ac:dyDescent="0.2">
      <c r="A203" s="8"/>
      <c r="B203" s="8"/>
      <c r="C203" s="30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10"/>
      <c r="AC203" s="10"/>
      <c r="AD203" s="10"/>
    </row>
    <row r="204" spans="1:30" ht="12.75" x14ac:dyDescent="0.2">
      <c r="A204" s="8"/>
      <c r="B204" s="8"/>
      <c r="C204" s="30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10"/>
      <c r="AC204" s="10"/>
      <c r="AD204" s="10"/>
    </row>
    <row r="205" spans="1:30" ht="12.75" x14ac:dyDescent="0.2">
      <c r="A205" s="8"/>
      <c r="B205" s="8"/>
      <c r="C205" s="30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10"/>
      <c r="AC205" s="10"/>
      <c r="AD205" s="10"/>
    </row>
    <row r="206" spans="1:30" ht="12.75" x14ac:dyDescent="0.2">
      <c r="A206" s="8"/>
      <c r="B206" s="8"/>
      <c r="C206" s="30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10"/>
      <c r="AC206" s="10"/>
      <c r="AD206" s="10"/>
    </row>
    <row r="207" spans="1:30" ht="12.75" x14ac:dyDescent="0.2">
      <c r="A207" s="8"/>
      <c r="B207" s="8"/>
      <c r="C207" s="30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10"/>
      <c r="AC207" s="10"/>
      <c r="AD207" s="10"/>
    </row>
    <row r="208" spans="1:30" ht="12.75" x14ac:dyDescent="0.2">
      <c r="A208" s="8"/>
      <c r="B208" s="8"/>
      <c r="C208" s="30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10"/>
      <c r="AC208" s="10"/>
      <c r="AD208" s="10"/>
    </row>
    <row r="209" spans="1:30" ht="12.75" x14ac:dyDescent="0.2">
      <c r="A209" s="8"/>
      <c r="B209" s="8"/>
      <c r="C209" s="30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10"/>
      <c r="AC209" s="10"/>
      <c r="AD209" s="10"/>
    </row>
    <row r="210" spans="1:30" ht="12.75" x14ac:dyDescent="0.2">
      <c r="A210" s="8"/>
      <c r="B210" s="8"/>
      <c r="C210" s="30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10"/>
      <c r="AC210" s="10"/>
      <c r="AD210" s="10"/>
    </row>
    <row r="211" spans="1:30" ht="12.75" x14ac:dyDescent="0.2">
      <c r="A211" s="8"/>
      <c r="B211" s="8"/>
      <c r="C211" s="30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10"/>
      <c r="AC211" s="10"/>
      <c r="AD211" s="10"/>
    </row>
    <row r="212" spans="1:30" ht="12.75" x14ac:dyDescent="0.2">
      <c r="A212" s="8"/>
      <c r="B212" s="8"/>
      <c r="C212" s="30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10"/>
      <c r="AC212" s="10"/>
      <c r="AD212" s="10"/>
    </row>
    <row r="213" spans="1:30" ht="12.75" x14ac:dyDescent="0.2">
      <c r="A213" s="8"/>
      <c r="B213" s="8"/>
      <c r="C213" s="30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10"/>
      <c r="AC213" s="10"/>
      <c r="AD213" s="10"/>
    </row>
    <row r="214" spans="1:30" ht="12.75" x14ac:dyDescent="0.2">
      <c r="A214" s="8"/>
      <c r="B214" s="8"/>
      <c r="C214" s="30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10"/>
      <c r="AC214" s="10"/>
      <c r="AD214" s="10"/>
    </row>
    <row r="215" spans="1:30" ht="12.75" x14ac:dyDescent="0.2">
      <c r="A215" s="8"/>
      <c r="B215" s="8"/>
      <c r="C215" s="30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10"/>
      <c r="AC215" s="10"/>
      <c r="AD215" s="10"/>
    </row>
    <row r="216" spans="1:30" ht="12.75" x14ac:dyDescent="0.2">
      <c r="A216" s="8"/>
      <c r="B216" s="8"/>
      <c r="C216" s="30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10"/>
      <c r="AC216" s="10"/>
      <c r="AD216" s="10"/>
    </row>
    <row r="217" spans="1:30" ht="12.75" x14ac:dyDescent="0.2">
      <c r="A217" s="8"/>
      <c r="B217" s="8"/>
      <c r="C217" s="30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10"/>
      <c r="AC217" s="10"/>
      <c r="AD217" s="10"/>
    </row>
    <row r="218" spans="1:30" ht="12.75" x14ac:dyDescent="0.2">
      <c r="A218" s="8"/>
      <c r="B218" s="8"/>
      <c r="C218" s="30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10"/>
      <c r="AC218" s="10"/>
      <c r="AD218" s="10"/>
    </row>
    <row r="219" spans="1:30" ht="12.75" x14ac:dyDescent="0.2">
      <c r="A219" s="8"/>
      <c r="B219" s="8"/>
      <c r="C219" s="30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10"/>
      <c r="AC219" s="10"/>
      <c r="AD219" s="10"/>
    </row>
    <row r="220" spans="1:30" ht="12.75" x14ac:dyDescent="0.2">
      <c r="A220" s="8"/>
      <c r="B220" s="8"/>
      <c r="C220" s="30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10"/>
      <c r="AC220" s="10"/>
      <c r="AD220" s="10"/>
    </row>
    <row r="221" spans="1:30" ht="12.75" x14ac:dyDescent="0.2">
      <c r="A221" s="8"/>
      <c r="B221" s="8"/>
      <c r="C221" s="30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10"/>
      <c r="AC221" s="10"/>
      <c r="AD221" s="10"/>
    </row>
    <row r="222" spans="1:30" ht="12.75" x14ac:dyDescent="0.2">
      <c r="A222" s="8"/>
      <c r="B222" s="8"/>
      <c r="C222" s="30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10"/>
      <c r="AC222" s="10"/>
      <c r="AD222" s="10"/>
    </row>
    <row r="223" spans="1:30" ht="12.75" x14ac:dyDescent="0.2">
      <c r="A223" s="8"/>
      <c r="B223" s="8"/>
      <c r="C223" s="30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10"/>
      <c r="AC223" s="10"/>
      <c r="AD223" s="10"/>
    </row>
    <row r="224" spans="1:30" ht="12.75" x14ac:dyDescent="0.2">
      <c r="A224" s="8"/>
      <c r="B224" s="8"/>
      <c r="C224" s="30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10"/>
      <c r="AC224" s="10"/>
      <c r="AD224" s="10"/>
    </row>
    <row r="225" spans="1:30" ht="12.75" x14ac:dyDescent="0.2">
      <c r="A225" s="8"/>
      <c r="B225" s="8"/>
      <c r="C225" s="30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10"/>
      <c r="AC225" s="10"/>
      <c r="AD225" s="10"/>
    </row>
    <row r="226" spans="1:30" ht="12.75" x14ac:dyDescent="0.2">
      <c r="A226" s="8"/>
      <c r="B226" s="8"/>
      <c r="C226" s="30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10"/>
      <c r="AC226" s="10"/>
      <c r="AD226" s="10"/>
    </row>
    <row r="227" spans="1:30" ht="12.75" x14ac:dyDescent="0.2">
      <c r="A227" s="8"/>
      <c r="B227" s="8"/>
      <c r="C227" s="30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10"/>
      <c r="AC227" s="10"/>
      <c r="AD227" s="10"/>
    </row>
    <row r="228" spans="1:30" ht="12.75" x14ac:dyDescent="0.2">
      <c r="A228" s="8"/>
      <c r="B228" s="8"/>
      <c r="C228" s="30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10"/>
      <c r="AC228" s="10"/>
      <c r="AD228" s="10"/>
    </row>
    <row r="229" spans="1:30" ht="12.75" x14ac:dyDescent="0.2">
      <c r="A229" s="8"/>
      <c r="B229" s="8"/>
      <c r="C229" s="30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10"/>
      <c r="AC229" s="10"/>
      <c r="AD229" s="10"/>
    </row>
    <row r="230" spans="1:30" ht="12.75" x14ac:dyDescent="0.2">
      <c r="A230" s="8"/>
      <c r="B230" s="8"/>
      <c r="C230" s="30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10"/>
      <c r="AC230" s="10"/>
      <c r="AD230" s="10"/>
    </row>
    <row r="231" spans="1:30" ht="12.75" x14ac:dyDescent="0.2">
      <c r="A231" s="8"/>
      <c r="B231" s="8"/>
      <c r="C231" s="30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10"/>
      <c r="AC231" s="10"/>
      <c r="AD231" s="10"/>
    </row>
    <row r="232" spans="1:30" ht="12.75" x14ac:dyDescent="0.2">
      <c r="A232" s="8"/>
      <c r="B232" s="8"/>
      <c r="C232" s="30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10"/>
      <c r="AC232" s="10"/>
      <c r="AD232" s="10"/>
    </row>
    <row r="233" spans="1:30" ht="12.75" x14ac:dyDescent="0.2">
      <c r="A233" s="8"/>
      <c r="B233" s="8"/>
      <c r="C233" s="30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10"/>
      <c r="AC233" s="10"/>
      <c r="AD233" s="10"/>
    </row>
    <row r="234" spans="1:30" ht="12.75" x14ac:dyDescent="0.2">
      <c r="A234" s="8"/>
      <c r="B234" s="8"/>
      <c r="C234" s="30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10"/>
      <c r="AC234" s="10"/>
      <c r="AD234" s="10"/>
    </row>
    <row r="235" spans="1:30" ht="12.75" x14ac:dyDescent="0.2">
      <c r="A235" s="8"/>
      <c r="B235" s="8"/>
      <c r="C235" s="30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10"/>
      <c r="AC235" s="10"/>
      <c r="AD235" s="10"/>
    </row>
    <row r="236" spans="1:30" ht="12.75" x14ac:dyDescent="0.2">
      <c r="A236" s="8"/>
      <c r="B236" s="8"/>
      <c r="C236" s="30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10"/>
      <c r="AC236" s="10"/>
      <c r="AD236" s="10"/>
    </row>
    <row r="237" spans="1:30" ht="12.75" x14ac:dyDescent="0.2">
      <c r="A237" s="8"/>
      <c r="B237" s="8"/>
      <c r="C237" s="30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10"/>
      <c r="AC237" s="10"/>
      <c r="AD237" s="10"/>
    </row>
    <row r="238" spans="1:30" ht="12.75" x14ac:dyDescent="0.2">
      <c r="A238" s="8"/>
      <c r="B238" s="8"/>
      <c r="C238" s="30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10"/>
      <c r="AC238" s="10"/>
      <c r="AD238" s="10"/>
    </row>
    <row r="239" spans="1:30" ht="12.75" x14ac:dyDescent="0.2">
      <c r="A239" s="8"/>
      <c r="B239" s="8"/>
      <c r="C239" s="30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10"/>
      <c r="AC239" s="10"/>
      <c r="AD239" s="10"/>
    </row>
    <row r="240" spans="1:30" ht="12.75" x14ac:dyDescent="0.2">
      <c r="A240" s="8"/>
      <c r="B240" s="8"/>
      <c r="C240" s="30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10"/>
      <c r="AC240" s="10"/>
      <c r="AD240" s="10"/>
    </row>
    <row r="241" spans="1:30" ht="12.75" x14ac:dyDescent="0.2">
      <c r="A241" s="8"/>
      <c r="B241" s="8"/>
      <c r="C241" s="30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10"/>
      <c r="AC241" s="10"/>
      <c r="AD241" s="10"/>
    </row>
    <row r="242" spans="1:30" ht="12.75" x14ac:dyDescent="0.2">
      <c r="A242" s="8"/>
      <c r="B242" s="8"/>
      <c r="C242" s="30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10"/>
      <c r="AC242" s="10"/>
      <c r="AD242" s="10"/>
    </row>
    <row r="243" spans="1:30" ht="12.75" x14ac:dyDescent="0.2">
      <c r="A243" s="8"/>
      <c r="B243" s="8"/>
      <c r="C243" s="30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10"/>
      <c r="AC243" s="10"/>
      <c r="AD243" s="10"/>
    </row>
    <row r="244" spans="1:30" ht="12.75" x14ac:dyDescent="0.2">
      <c r="A244" s="8"/>
      <c r="B244" s="8"/>
      <c r="C244" s="30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10"/>
      <c r="AC244" s="10"/>
      <c r="AD244" s="10"/>
    </row>
    <row r="245" spans="1:30" ht="12.75" x14ac:dyDescent="0.2">
      <c r="A245" s="8"/>
      <c r="B245" s="8"/>
      <c r="C245" s="30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10"/>
      <c r="AC245" s="10"/>
      <c r="AD245" s="10"/>
    </row>
    <row r="246" spans="1:30" ht="12.75" x14ac:dyDescent="0.2">
      <c r="A246" s="8"/>
      <c r="B246" s="8"/>
      <c r="C246" s="30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10"/>
      <c r="AC246" s="10"/>
      <c r="AD246" s="10"/>
    </row>
    <row r="247" spans="1:30" ht="12.75" x14ac:dyDescent="0.2">
      <c r="A247" s="8"/>
      <c r="B247" s="8"/>
      <c r="C247" s="30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10"/>
      <c r="AC247" s="10"/>
      <c r="AD247" s="10"/>
    </row>
    <row r="248" spans="1:30" ht="12.75" x14ac:dyDescent="0.2">
      <c r="A248" s="8"/>
      <c r="B248" s="8"/>
      <c r="C248" s="30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10"/>
      <c r="AC248" s="10"/>
      <c r="AD248" s="10"/>
    </row>
    <row r="249" spans="1:30" ht="12.75" x14ac:dyDescent="0.2">
      <c r="A249" s="8"/>
      <c r="B249" s="8"/>
      <c r="C249" s="30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10"/>
      <c r="AC249" s="10"/>
      <c r="AD249" s="10"/>
    </row>
    <row r="250" spans="1:30" ht="12.75" x14ac:dyDescent="0.2">
      <c r="A250" s="8"/>
      <c r="B250" s="8"/>
      <c r="C250" s="30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10"/>
      <c r="AC250" s="10"/>
      <c r="AD250" s="10"/>
    </row>
    <row r="251" spans="1:30" ht="12.75" x14ac:dyDescent="0.2">
      <c r="A251" s="8"/>
      <c r="B251" s="8"/>
      <c r="C251" s="30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10"/>
      <c r="AC251" s="10"/>
      <c r="AD251" s="10"/>
    </row>
    <row r="252" spans="1:30" ht="12.75" x14ac:dyDescent="0.2">
      <c r="A252" s="8"/>
      <c r="B252" s="8"/>
      <c r="C252" s="30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10"/>
      <c r="AC252" s="10"/>
      <c r="AD252" s="10"/>
    </row>
    <row r="253" spans="1:30" ht="12.75" x14ac:dyDescent="0.2">
      <c r="A253" s="8"/>
      <c r="B253" s="8"/>
      <c r="C253" s="30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10"/>
      <c r="AC253" s="10"/>
      <c r="AD253" s="10"/>
    </row>
    <row r="254" spans="1:30" ht="12.75" x14ac:dyDescent="0.2">
      <c r="A254" s="8"/>
      <c r="B254" s="8"/>
      <c r="C254" s="30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10"/>
      <c r="AC254" s="10"/>
      <c r="AD254" s="10"/>
    </row>
    <row r="255" spans="1:30" ht="12.75" x14ac:dyDescent="0.2">
      <c r="A255" s="8"/>
      <c r="B255" s="8"/>
      <c r="C255" s="30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10"/>
      <c r="AC255" s="10"/>
      <c r="AD255" s="10"/>
    </row>
    <row r="256" spans="1:30" ht="12.75" x14ac:dyDescent="0.2">
      <c r="A256" s="8"/>
      <c r="B256" s="8"/>
      <c r="C256" s="30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10"/>
      <c r="AC256" s="10"/>
      <c r="AD256" s="10"/>
    </row>
    <row r="257" spans="1:30" ht="12.75" x14ac:dyDescent="0.2">
      <c r="A257" s="8"/>
      <c r="B257" s="8"/>
      <c r="C257" s="30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10"/>
      <c r="AC257" s="10"/>
      <c r="AD257" s="10"/>
    </row>
    <row r="258" spans="1:30" ht="12.75" x14ac:dyDescent="0.2">
      <c r="A258" s="8"/>
      <c r="B258" s="8"/>
      <c r="C258" s="30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10"/>
      <c r="AC258" s="10"/>
      <c r="AD258" s="10"/>
    </row>
    <row r="259" spans="1:30" ht="12.75" x14ac:dyDescent="0.2">
      <c r="A259" s="8"/>
      <c r="B259" s="8"/>
      <c r="C259" s="30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10"/>
      <c r="AC259" s="10"/>
      <c r="AD259" s="10"/>
    </row>
    <row r="260" spans="1:30" ht="12.75" x14ac:dyDescent="0.2">
      <c r="A260" s="8"/>
      <c r="B260" s="8"/>
      <c r="C260" s="30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10"/>
      <c r="AC260" s="10"/>
      <c r="AD260" s="10"/>
    </row>
    <row r="261" spans="1:30" ht="12.75" x14ac:dyDescent="0.2">
      <c r="A261" s="8"/>
      <c r="B261" s="8"/>
      <c r="C261" s="30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10"/>
      <c r="AC261" s="10"/>
      <c r="AD261" s="10"/>
    </row>
    <row r="262" spans="1:30" ht="12.75" x14ac:dyDescent="0.2">
      <c r="A262" s="8"/>
      <c r="B262" s="8"/>
      <c r="C262" s="30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10"/>
      <c r="AC262" s="10"/>
      <c r="AD262" s="10"/>
    </row>
    <row r="263" spans="1:30" ht="12.75" x14ac:dyDescent="0.2">
      <c r="A263" s="8"/>
      <c r="B263" s="8"/>
      <c r="C263" s="30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10"/>
      <c r="AC263" s="10"/>
      <c r="AD263" s="10"/>
    </row>
    <row r="264" spans="1:30" ht="12.75" x14ac:dyDescent="0.2">
      <c r="A264" s="8"/>
      <c r="B264" s="8"/>
      <c r="C264" s="30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10"/>
      <c r="AC264" s="10"/>
      <c r="AD264" s="10"/>
    </row>
    <row r="265" spans="1:30" ht="12.75" x14ac:dyDescent="0.2">
      <c r="A265" s="8"/>
      <c r="B265" s="8"/>
      <c r="C265" s="30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10"/>
      <c r="AC265" s="10"/>
      <c r="AD265" s="10"/>
    </row>
    <row r="266" spans="1:30" ht="12.75" x14ac:dyDescent="0.2">
      <c r="A266" s="8"/>
      <c r="B266" s="8"/>
      <c r="C266" s="30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10"/>
      <c r="AC266" s="10"/>
      <c r="AD266" s="10"/>
    </row>
    <row r="267" spans="1:30" ht="12.75" x14ac:dyDescent="0.2">
      <c r="A267" s="8"/>
      <c r="B267" s="8"/>
      <c r="C267" s="30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10"/>
      <c r="AC267" s="10"/>
      <c r="AD267" s="10"/>
    </row>
    <row r="268" spans="1:30" ht="12.75" x14ac:dyDescent="0.2">
      <c r="A268" s="8"/>
      <c r="B268" s="8"/>
      <c r="C268" s="30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10"/>
      <c r="AC268" s="10"/>
      <c r="AD268" s="10"/>
    </row>
    <row r="269" spans="1:30" ht="12.75" x14ac:dyDescent="0.2">
      <c r="A269" s="8"/>
      <c r="B269" s="8"/>
      <c r="C269" s="30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10"/>
      <c r="AC269" s="10"/>
      <c r="AD269" s="10"/>
    </row>
    <row r="270" spans="1:30" ht="12.75" x14ac:dyDescent="0.2">
      <c r="A270" s="8"/>
      <c r="B270" s="8"/>
      <c r="C270" s="30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10"/>
      <c r="AC270" s="10"/>
      <c r="AD270" s="10"/>
    </row>
    <row r="271" spans="1:30" ht="12.75" x14ac:dyDescent="0.2">
      <c r="A271" s="8"/>
      <c r="B271" s="8"/>
      <c r="C271" s="30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10"/>
      <c r="AC271" s="10"/>
      <c r="AD271" s="10"/>
    </row>
    <row r="272" spans="1:30" ht="12.75" x14ac:dyDescent="0.2">
      <c r="A272" s="8"/>
      <c r="B272" s="8"/>
      <c r="C272" s="30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10"/>
      <c r="AC272" s="10"/>
      <c r="AD272" s="10"/>
    </row>
    <row r="273" spans="1:30" ht="12.75" x14ac:dyDescent="0.2">
      <c r="A273" s="8"/>
      <c r="B273" s="8"/>
      <c r="C273" s="30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10"/>
      <c r="AC273" s="10"/>
      <c r="AD273" s="10"/>
    </row>
    <row r="274" spans="1:30" ht="12.75" x14ac:dyDescent="0.2">
      <c r="A274" s="8"/>
      <c r="B274" s="8"/>
      <c r="C274" s="30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10"/>
      <c r="AC274" s="10"/>
      <c r="AD274" s="10"/>
    </row>
    <row r="275" spans="1:30" ht="12.75" x14ac:dyDescent="0.2">
      <c r="A275" s="8"/>
      <c r="B275" s="8"/>
      <c r="C275" s="30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10"/>
      <c r="AC275" s="10"/>
      <c r="AD275" s="10"/>
    </row>
    <row r="276" spans="1:30" ht="12.75" x14ac:dyDescent="0.2">
      <c r="A276" s="8"/>
      <c r="B276" s="8"/>
      <c r="C276" s="30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10"/>
      <c r="AC276" s="10"/>
      <c r="AD276" s="10"/>
    </row>
    <row r="277" spans="1:30" ht="12.75" x14ac:dyDescent="0.2">
      <c r="A277" s="8"/>
      <c r="B277" s="8"/>
      <c r="C277" s="30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10"/>
      <c r="AC277" s="10"/>
      <c r="AD277" s="10"/>
    </row>
    <row r="278" spans="1:30" ht="12.75" x14ac:dyDescent="0.2">
      <c r="A278" s="8"/>
      <c r="B278" s="8"/>
      <c r="C278" s="30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10"/>
      <c r="AC278" s="10"/>
      <c r="AD278" s="10"/>
    </row>
    <row r="279" spans="1:30" ht="12.75" x14ac:dyDescent="0.2">
      <c r="A279" s="8"/>
      <c r="B279" s="8"/>
      <c r="C279" s="30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10"/>
      <c r="AC279" s="10"/>
      <c r="AD279" s="10"/>
    </row>
    <row r="280" spans="1:30" ht="12.75" x14ac:dyDescent="0.2">
      <c r="A280" s="8"/>
      <c r="B280" s="8"/>
      <c r="C280" s="30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10"/>
      <c r="AC280" s="10"/>
      <c r="AD280" s="10"/>
    </row>
    <row r="281" spans="1:30" ht="12.75" x14ac:dyDescent="0.2">
      <c r="A281" s="8"/>
      <c r="B281" s="8"/>
      <c r="C281" s="30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10"/>
      <c r="AC281" s="10"/>
      <c r="AD281" s="10"/>
    </row>
    <row r="282" spans="1:30" ht="12.75" x14ac:dyDescent="0.2">
      <c r="A282" s="8"/>
      <c r="B282" s="8"/>
      <c r="C282" s="30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10"/>
      <c r="AC282" s="10"/>
      <c r="AD282" s="10"/>
    </row>
    <row r="283" spans="1:30" ht="12.75" x14ac:dyDescent="0.2">
      <c r="A283" s="8"/>
      <c r="B283" s="8"/>
      <c r="C283" s="30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10"/>
      <c r="AC283" s="10"/>
      <c r="AD283" s="10"/>
    </row>
    <row r="284" spans="1:30" ht="12.75" x14ac:dyDescent="0.2">
      <c r="A284" s="8"/>
      <c r="B284" s="8"/>
      <c r="C284" s="30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10"/>
      <c r="AC284" s="10"/>
      <c r="AD284" s="10"/>
    </row>
    <row r="285" spans="1:30" ht="12.75" x14ac:dyDescent="0.2">
      <c r="A285" s="8"/>
      <c r="B285" s="8"/>
      <c r="C285" s="30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10"/>
      <c r="AC285" s="10"/>
      <c r="AD285" s="10"/>
    </row>
    <row r="286" spans="1:30" ht="12.75" x14ac:dyDescent="0.2">
      <c r="A286" s="8"/>
      <c r="B286" s="8"/>
      <c r="C286" s="30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10"/>
      <c r="AC286" s="10"/>
      <c r="AD286" s="10"/>
    </row>
    <row r="287" spans="1:30" ht="12.75" x14ac:dyDescent="0.2">
      <c r="A287" s="8"/>
      <c r="B287" s="8"/>
      <c r="C287" s="30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10"/>
      <c r="AC287" s="10"/>
      <c r="AD287" s="10"/>
    </row>
    <row r="288" spans="1:30" ht="12.75" x14ac:dyDescent="0.2">
      <c r="A288" s="8"/>
      <c r="B288" s="8"/>
      <c r="C288" s="30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10"/>
      <c r="AC288" s="10"/>
      <c r="AD288" s="10"/>
    </row>
    <row r="289" spans="1:30" ht="12.75" x14ac:dyDescent="0.2">
      <c r="A289" s="8"/>
      <c r="B289" s="8"/>
      <c r="C289" s="30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10"/>
      <c r="AC289" s="10"/>
      <c r="AD289" s="10"/>
    </row>
    <row r="290" spans="1:30" ht="12.75" x14ac:dyDescent="0.2">
      <c r="A290" s="8"/>
      <c r="B290" s="8"/>
      <c r="C290" s="30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10"/>
      <c r="AC290" s="10"/>
      <c r="AD290" s="10"/>
    </row>
    <row r="291" spans="1:30" ht="12.75" x14ac:dyDescent="0.2">
      <c r="A291" s="8"/>
      <c r="B291" s="8"/>
      <c r="C291" s="30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10"/>
      <c r="AC291" s="10"/>
      <c r="AD291" s="10"/>
    </row>
    <row r="292" spans="1:30" ht="12.75" x14ac:dyDescent="0.2">
      <c r="A292" s="8"/>
      <c r="B292" s="8"/>
      <c r="C292" s="30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10"/>
      <c r="AC292" s="10"/>
      <c r="AD292" s="10"/>
    </row>
    <row r="293" spans="1:30" ht="12.75" x14ac:dyDescent="0.2">
      <c r="A293" s="8"/>
      <c r="B293" s="8"/>
      <c r="C293" s="30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10"/>
      <c r="AC293" s="10"/>
      <c r="AD293" s="10"/>
    </row>
    <row r="294" spans="1:30" ht="12.75" x14ac:dyDescent="0.2">
      <c r="A294" s="8"/>
      <c r="B294" s="8"/>
      <c r="C294" s="30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10"/>
      <c r="AC294" s="10"/>
      <c r="AD294" s="10"/>
    </row>
    <row r="295" spans="1:30" ht="12.75" x14ac:dyDescent="0.2">
      <c r="A295" s="8"/>
      <c r="B295" s="8"/>
      <c r="C295" s="30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10"/>
      <c r="AC295" s="10"/>
      <c r="AD295" s="10"/>
    </row>
    <row r="296" spans="1:30" ht="12.75" x14ac:dyDescent="0.2">
      <c r="A296" s="8"/>
      <c r="B296" s="8"/>
      <c r="C296" s="30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10"/>
      <c r="AC296" s="10"/>
      <c r="AD296" s="10"/>
    </row>
    <row r="297" spans="1:30" ht="12.75" x14ac:dyDescent="0.2">
      <c r="A297" s="8"/>
      <c r="B297" s="8"/>
      <c r="C297" s="30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10"/>
      <c r="AC297" s="10"/>
      <c r="AD297" s="10"/>
    </row>
    <row r="298" spans="1:30" ht="12.75" x14ac:dyDescent="0.2">
      <c r="A298" s="8"/>
      <c r="B298" s="8"/>
      <c r="C298" s="30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10"/>
      <c r="AC298" s="10"/>
      <c r="AD298" s="10"/>
    </row>
    <row r="299" spans="1:30" ht="12.75" x14ac:dyDescent="0.2">
      <c r="A299" s="8"/>
      <c r="B299" s="8"/>
      <c r="C299" s="30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10"/>
      <c r="AC299" s="10"/>
      <c r="AD299" s="10"/>
    </row>
    <row r="300" spans="1:30" ht="12.75" x14ac:dyDescent="0.2">
      <c r="A300" s="8"/>
      <c r="B300" s="8"/>
      <c r="C300" s="30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10"/>
      <c r="AC300" s="10"/>
      <c r="AD300" s="10"/>
    </row>
    <row r="301" spans="1:30" ht="12.75" x14ac:dyDescent="0.2">
      <c r="A301" s="8"/>
      <c r="B301" s="8"/>
      <c r="C301" s="30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10"/>
      <c r="AC301" s="10"/>
      <c r="AD301" s="10"/>
    </row>
    <row r="302" spans="1:30" ht="12.75" x14ac:dyDescent="0.2">
      <c r="A302" s="8"/>
      <c r="B302" s="8"/>
      <c r="C302" s="30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10"/>
      <c r="AC302" s="10"/>
      <c r="AD302" s="10"/>
    </row>
    <row r="303" spans="1:30" ht="12.75" x14ac:dyDescent="0.2">
      <c r="A303" s="8"/>
      <c r="B303" s="8"/>
      <c r="C303" s="30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10"/>
      <c r="AC303" s="10"/>
      <c r="AD303" s="10"/>
    </row>
    <row r="304" spans="1:30" ht="12.75" x14ac:dyDescent="0.2">
      <c r="A304" s="8"/>
      <c r="B304" s="8"/>
      <c r="C304" s="30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10"/>
      <c r="AC304" s="10"/>
      <c r="AD304" s="10"/>
    </row>
    <row r="305" spans="1:30" ht="12.75" x14ac:dyDescent="0.2">
      <c r="A305" s="8"/>
      <c r="B305" s="8"/>
      <c r="C305" s="30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10"/>
      <c r="AC305" s="10"/>
      <c r="AD305" s="10"/>
    </row>
    <row r="306" spans="1:30" ht="12.75" x14ac:dyDescent="0.2">
      <c r="A306" s="8"/>
      <c r="B306" s="8"/>
      <c r="C306" s="30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10"/>
      <c r="AC306" s="10"/>
      <c r="AD306" s="10"/>
    </row>
    <row r="307" spans="1:30" ht="12.75" x14ac:dyDescent="0.2">
      <c r="A307" s="8"/>
      <c r="B307" s="8"/>
      <c r="C307" s="30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10"/>
      <c r="AC307" s="10"/>
      <c r="AD307" s="10"/>
    </row>
    <row r="308" spans="1:30" ht="12.75" x14ac:dyDescent="0.2">
      <c r="A308" s="8"/>
      <c r="B308" s="8"/>
      <c r="C308" s="30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10"/>
      <c r="AC308" s="10"/>
      <c r="AD308" s="10"/>
    </row>
    <row r="309" spans="1:30" ht="12.75" x14ac:dyDescent="0.2">
      <c r="A309" s="8"/>
      <c r="B309" s="8"/>
      <c r="C309" s="30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10"/>
      <c r="AC309" s="10"/>
      <c r="AD309" s="10"/>
    </row>
    <row r="310" spans="1:30" ht="12.75" x14ac:dyDescent="0.2">
      <c r="A310" s="8"/>
      <c r="B310" s="8"/>
      <c r="C310" s="30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10"/>
      <c r="AC310" s="10"/>
      <c r="AD310" s="10"/>
    </row>
    <row r="311" spans="1:30" ht="12.75" x14ac:dyDescent="0.2">
      <c r="A311" s="8"/>
      <c r="B311" s="8"/>
      <c r="C311" s="30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10"/>
      <c r="AC311" s="10"/>
      <c r="AD311" s="10"/>
    </row>
    <row r="312" spans="1:30" ht="12.75" x14ac:dyDescent="0.2">
      <c r="A312" s="8"/>
      <c r="B312" s="8"/>
      <c r="C312" s="30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10"/>
      <c r="AC312" s="10"/>
      <c r="AD312" s="10"/>
    </row>
    <row r="313" spans="1:30" ht="12.75" x14ac:dyDescent="0.2">
      <c r="A313" s="8"/>
      <c r="B313" s="8"/>
      <c r="C313" s="30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10"/>
      <c r="AC313" s="10"/>
      <c r="AD313" s="10"/>
    </row>
    <row r="314" spans="1:30" ht="12.75" x14ac:dyDescent="0.2">
      <c r="A314" s="8"/>
      <c r="B314" s="8"/>
      <c r="C314" s="30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10"/>
      <c r="AC314" s="10"/>
      <c r="AD314" s="10"/>
    </row>
    <row r="315" spans="1:30" ht="12.75" x14ac:dyDescent="0.2">
      <c r="A315" s="8"/>
      <c r="B315" s="8"/>
      <c r="C315" s="30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10"/>
      <c r="AC315" s="10"/>
      <c r="AD315" s="10"/>
    </row>
    <row r="316" spans="1:30" ht="12.75" x14ac:dyDescent="0.2">
      <c r="A316" s="8"/>
      <c r="B316" s="8"/>
      <c r="C316" s="30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10"/>
      <c r="AC316" s="10"/>
      <c r="AD316" s="10"/>
    </row>
    <row r="317" spans="1:30" ht="12.75" x14ac:dyDescent="0.2">
      <c r="A317" s="8"/>
      <c r="B317" s="8"/>
      <c r="C317" s="30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10"/>
      <c r="AC317" s="10"/>
      <c r="AD317" s="10"/>
    </row>
    <row r="318" spans="1:30" ht="12.75" x14ac:dyDescent="0.2">
      <c r="A318" s="8"/>
      <c r="B318" s="8"/>
      <c r="C318" s="30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10"/>
      <c r="AC318" s="10"/>
      <c r="AD318" s="10"/>
    </row>
    <row r="319" spans="1:30" ht="12.75" x14ac:dyDescent="0.2">
      <c r="A319" s="8"/>
      <c r="B319" s="8"/>
      <c r="C319" s="30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10"/>
      <c r="AC319" s="10"/>
      <c r="AD319" s="10"/>
    </row>
    <row r="320" spans="1:30" ht="12.75" x14ac:dyDescent="0.2">
      <c r="A320" s="8"/>
      <c r="B320" s="8"/>
      <c r="C320" s="30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10"/>
      <c r="AC320" s="10"/>
      <c r="AD320" s="10"/>
    </row>
    <row r="321" spans="1:30" ht="12.75" x14ac:dyDescent="0.2">
      <c r="A321" s="8"/>
      <c r="B321" s="8"/>
      <c r="C321" s="30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10"/>
      <c r="AC321" s="10"/>
      <c r="AD321" s="10"/>
    </row>
    <row r="322" spans="1:30" ht="12.75" x14ac:dyDescent="0.2">
      <c r="A322" s="8"/>
      <c r="B322" s="8"/>
      <c r="C322" s="30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10"/>
      <c r="AC322" s="10"/>
      <c r="AD322" s="10"/>
    </row>
    <row r="323" spans="1:30" ht="12.75" x14ac:dyDescent="0.2">
      <c r="A323" s="8"/>
      <c r="B323" s="8"/>
      <c r="C323" s="30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10"/>
      <c r="AC323" s="10"/>
      <c r="AD323" s="10"/>
    </row>
    <row r="324" spans="1:30" ht="12.75" x14ac:dyDescent="0.2">
      <c r="A324" s="8"/>
      <c r="B324" s="8"/>
      <c r="C324" s="30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10"/>
      <c r="AC324" s="10"/>
      <c r="AD324" s="10"/>
    </row>
    <row r="325" spans="1:30" ht="12.75" x14ac:dyDescent="0.2">
      <c r="A325" s="8"/>
      <c r="B325" s="8"/>
      <c r="C325" s="30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10"/>
      <c r="AC325" s="10"/>
      <c r="AD325" s="10"/>
    </row>
    <row r="326" spans="1:30" ht="12.75" x14ac:dyDescent="0.2">
      <c r="A326" s="8"/>
      <c r="B326" s="8"/>
      <c r="C326" s="30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10"/>
      <c r="AC326" s="10"/>
      <c r="AD326" s="10"/>
    </row>
    <row r="327" spans="1:30" ht="12.75" x14ac:dyDescent="0.2">
      <c r="A327" s="8"/>
      <c r="B327" s="8"/>
      <c r="C327" s="30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10"/>
      <c r="AC327" s="10"/>
      <c r="AD327" s="10"/>
    </row>
    <row r="328" spans="1:30" ht="12.75" x14ac:dyDescent="0.2">
      <c r="A328" s="8"/>
      <c r="B328" s="8"/>
      <c r="C328" s="30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10"/>
      <c r="AC328" s="10"/>
      <c r="AD328" s="10"/>
    </row>
    <row r="329" spans="1:30" ht="12.75" x14ac:dyDescent="0.2">
      <c r="A329" s="8"/>
      <c r="B329" s="8"/>
      <c r="C329" s="30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10"/>
      <c r="AC329" s="10"/>
      <c r="AD329" s="10"/>
    </row>
    <row r="330" spans="1:30" ht="12.75" x14ac:dyDescent="0.2">
      <c r="A330" s="8"/>
      <c r="B330" s="8"/>
      <c r="C330" s="30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10"/>
      <c r="AC330" s="10"/>
      <c r="AD330" s="10"/>
    </row>
    <row r="331" spans="1:30" ht="12.75" x14ac:dyDescent="0.2">
      <c r="A331" s="8"/>
      <c r="B331" s="8"/>
      <c r="C331" s="30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10"/>
      <c r="AC331" s="10"/>
      <c r="AD331" s="10"/>
    </row>
    <row r="332" spans="1:30" ht="12.75" x14ac:dyDescent="0.2">
      <c r="A332" s="8"/>
      <c r="B332" s="8"/>
      <c r="C332" s="30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10"/>
      <c r="AC332" s="10"/>
      <c r="AD332" s="10"/>
    </row>
    <row r="333" spans="1:30" ht="12.75" x14ac:dyDescent="0.2">
      <c r="A333" s="8"/>
      <c r="B333" s="8"/>
      <c r="C333" s="30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10"/>
      <c r="AC333" s="10"/>
      <c r="AD333" s="10"/>
    </row>
    <row r="334" spans="1:30" ht="12.75" x14ac:dyDescent="0.2">
      <c r="A334" s="8"/>
      <c r="B334" s="8"/>
      <c r="C334" s="30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10"/>
      <c r="AC334" s="10"/>
      <c r="AD334" s="10"/>
    </row>
    <row r="335" spans="1:30" ht="12.75" x14ac:dyDescent="0.2">
      <c r="A335" s="8"/>
      <c r="B335" s="8"/>
      <c r="C335" s="30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10"/>
      <c r="AC335" s="10"/>
      <c r="AD335" s="10"/>
    </row>
    <row r="336" spans="1:30" ht="12.75" x14ac:dyDescent="0.2">
      <c r="A336" s="8"/>
      <c r="B336" s="8"/>
      <c r="C336" s="30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10"/>
      <c r="AC336" s="10"/>
      <c r="AD336" s="10"/>
    </row>
    <row r="337" spans="1:30" ht="12.75" x14ac:dyDescent="0.2">
      <c r="A337" s="8"/>
      <c r="B337" s="8"/>
      <c r="C337" s="30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10"/>
      <c r="AC337" s="10"/>
      <c r="AD337" s="10"/>
    </row>
    <row r="338" spans="1:30" ht="12.75" x14ac:dyDescent="0.2">
      <c r="A338" s="8"/>
      <c r="B338" s="8"/>
      <c r="C338" s="30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10"/>
      <c r="AC338" s="10"/>
      <c r="AD338" s="10"/>
    </row>
    <row r="339" spans="1:30" ht="12.75" x14ac:dyDescent="0.2">
      <c r="A339" s="8"/>
      <c r="B339" s="8"/>
      <c r="C339" s="30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10"/>
      <c r="AC339" s="10"/>
      <c r="AD339" s="10"/>
    </row>
    <row r="340" spans="1:30" ht="12.75" x14ac:dyDescent="0.2">
      <c r="A340" s="8"/>
      <c r="B340" s="8"/>
      <c r="C340" s="30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10"/>
      <c r="AC340" s="10"/>
      <c r="AD340" s="10"/>
    </row>
    <row r="341" spans="1:30" ht="12.75" x14ac:dyDescent="0.2">
      <c r="A341" s="8"/>
      <c r="B341" s="8"/>
      <c r="C341" s="30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10"/>
      <c r="AC341" s="10"/>
      <c r="AD341" s="10"/>
    </row>
    <row r="342" spans="1:30" ht="12.75" x14ac:dyDescent="0.2">
      <c r="A342" s="8"/>
      <c r="B342" s="8"/>
      <c r="C342" s="30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10"/>
      <c r="AC342" s="10"/>
      <c r="AD342" s="10"/>
    </row>
    <row r="343" spans="1:30" ht="12.75" x14ac:dyDescent="0.2">
      <c r="A343" s="8"/>
      <c r="B343" s="8"/>
      <c r="C343" s="30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10"/>
      <c r="AC343" s="10"/>
      <c r="AD343" s="10"/>
    </row>
    <row r="344" spans="1:30" ht="12.75" x14ac:dyDescent="0.2">
      <c r="A344" s="8"/>
      <c r="B344" s="8"/>
      <c r="C344" s="30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10"/>
      <c r="AC344" s="10"/>
      <c r="AD344" s="10"/>
    </row>
    <row r="345" spans="1:30" ht="12.75" x14ac:dyDescent="0.2">
      <c r="A345" s="8"/>
      <c r="B345" s="8"/>
      <c r="C345" s="30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10"/>
      <c r="AC345" s="10"/>
      <c r="AD345" s="10"/>
    </row>
    <row r="346" spans="1:30" ht="12.75" x14ac:dyDescent="0.2">
      <c r="A346" s="8"/>
      <c r="B346" s="8"/>
      <c r="C346" s="30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10"/>
      <c r="AC346" s="10"/>
      <c r="AD346" s="10"/>
    </row>
    <row r="347" spans="1:30" ht="12.75" x14ac:dyDescent="0.2">
      <c r="A347" s="8"/>
      <c r="B347" s="8"/>
      <c r="C347" s="30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10"/>
      <c r="AC347" s="10"/>
      <c r="AD347" s="10"/>
    </row>
    <row r="348" spans="1:30" ht="12.75" x14ac:dyDescent="0.2">
      <c r="A348" s="8"/>
      <c r="B348" s="8"/>
      <c r="C348" s="30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10"/>
      <c r="AC348" s="10"/>
      <c r="AD348" s="10"/>
    </row>
    <row r="349" spans="1:30" ht="12.75" x14ac:dyDescent="0.2">
      <c r="A349" s="8"/>
      <c r="B349" s="8"/>
      <c r="C349" s="30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10"/>
      <c r="AC349" s="10"/>
      <c r="AD349" s="10"/>
    </row>
    <row r="350" spans="1:30" ht="12.75" x14ac:dyDescent="0.2">
      <c r="A350" s="8"/>
      <c r="B350" s="8"/>
      <c r="C350" s="30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10"/>
      <c r="AC350" s="10"/>
      <c r="AD350" s="10"/>
    </row>
    <row r="351" spans="1:30" ht="12.75" x14ac:dyDescent="0.2">
      <c r="A351" s="8"/>
      <c r="B351" s="8"/>
      <c r="C351" s="30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10"/>
      <c r="AC351" s="10"/>
      <c r="AD351" s="10"/>
    </row>
    <row r="352" spans="1:30" ht="12.75" x14ac:dyDescent="0.2">
      <c r="A352" s="8"/>
      <c r="B352" s="8"/>
      <c r="C352" s="30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10"/>
      <c r="AC352" s="10"/>
      <c r="AD352" s="10"/>
    </row>
    <row r="353" spans="1:30" ht="12.75" x14ac:dyDescent="0.2">
      <c r="A353" s="8"/>
      <c r="B353" s="8"/>
      <c r="C353" s="30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10"/>
      <c r="AC353" s="10"/>
      <c r="AD353" s="10"/>
    </row>
    <row r="354" spans="1:30" ht="12.75" x14ac:dyDescent="0.2">
      <c r="A354" s="8"/>
      <c r="B354" s="8"/>
      <c r="C354" s="30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10"/>
      <c r="AC354" s="10"/>
      <c r="AD354" s="10"/>
    </row>
    <row r="355" spans="1:30" ht="12.75" x14ac:dyDescent="0.2">
      <c r="A355" s="8"/>
      <c r="B355" s="8"/>
      <c r="C355" s="30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10"/>
      <c r="AC355" s="10"/>
      <c r="AD355" s="10"/>
    </row>
    <row r="356" spans="1:30" ht="12.75" x14ac:dyDescent="0.2">
      <c r="A356" s="8"/>
      <c r="B356" s="8"/>
      <c r="C356" s="30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10"/>
      <c r="AC356" s="10"/>
      <c r="AD356" s="10"/>
    </row>
    <row r="357" spans="1:30" ht="12.75" x14ac:dyDescent="0.2">
      <c r="A357" s="8"/>
      <c r="B357" s="8"/>
      <c r="C357" s="30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10"/>
      <c r="AC357" s="10"/>
      <c r="AD357" s="10"/>
    </row>
    <row r="358" spans="1:30" ht="12.75" x14ac:dyDescent="0.2">
      <c r="A358" s="8"/>
      <c r="B358" s="8"/>
      <c r="C358" s="30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10"/>
      <c r="AC358" s="10"/>
      <c r="AD358" s="10"/>
    </row>
    <row r="359" spans="1:30" ht="12.75" x14ac:dyDescent="0.2">
      <c r="A359" s="8"/>
      <c r="B359" s="8"/>
      <c r="C359" s="30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10"/>
      <c r="AC359" s="10"/>
      <c r="AD359" s="10"/>
    </row>
    <row r="360" spans="1:30" ht="12.75" x14ac:dyDescent="0.2">
      <c r="A360" s="8"/>
      <c r="B360" s="8"/>
      <c r="C360" s="30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10"/>
      <c r="AC360" s="10"/>
      <c r="AD360" s="10"/>
    </row>
    <row r="361" spans="1:30" ht="12.75" x14ac:dyDescent="0.2">
      <c r="A361" s="8"/>
      <c r="B361" s="8"/>
      <c r="C361" s="30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10"/>
      <c r="AC361" s="10"/>
      <c r="AD361" s="10"/>
    </row>
    <row r="362" spans="1:30" ht="12.75" x14ac:dyDescent="0.2">
      <c r="A362" s="8"/>
      <c r="B362" s="8"/>
      <c r="C362" s="30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10"/>
      <c r="AC362" s="10"/>
      <c r="AD362" s="10"/>
    </row>
    <row r="363" spans="1:30" ht="12.75" x14ac:dyDescent="0.2">
      <c r="A363" s="8"/>
      <c r="B363" s="8"/>
      <c r="C363" s="30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10"/>
      <c r="AC363" s="10"/>
      <c r="AD363" s="10"/>
    </row>
    <row r="364" spans="1:30" ht="12.75" x14ac:dyDescent="0.2">
      <c r="A364" s="8"/>
      <c r="B364" s="8"/>
      <c r="C364" s="30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10"/>
      <c r="AC364" s="10"/>
      <c r="AD364" s="10"/>
    </row>
    <row r="365" spans="1:30" ht="12.75" x14ac:dyDescent="0.2">
      <c r="A365" s="8"/>
      <c r="B365" s="8"/>
      <c r="C365" s="30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10"/>
      <c r="AC365" s="10"/>
      <c r="AD365" s="10"/>
    </row>
    <row r="366" spans="1:30" ht="12.75" x14ac:dyDescent="0.2">
      <c r="A366" s="8"/>
      <c r="B366" s="8"/>
      <c r="C366" s="30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10"/>
      <c r="AC366" s="10"/>
      <c r="AD366" s="10"/>
    </row>
    <row r="367" spans="1:30" ht="12.75" x14ac:dyDescent="0.2">
      <c r="A367" s="8"/>
      <c r="B367" s="8"/>
      <c r="C367" s="30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10"/>
      <c r="AC367" s="10"/>
      <c r="AD367" s="10"/>
    </row>
    <row r="368" spans="1:30" ht="12.75" x14ac:dyDescent="0.2">
      <c r="A368" s="8"/>
      <c r="B368" s="8"/>
      <c r="C368" s="30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10"/>
      <c r="AC368" s="10"/>
      <c r="AD368" s="10"/>
    </row>
    <row r="369" spans="1:30" ht="12.75" x14ac:dyDescent="0.2">
      <c r="A369" s="8"/>
      <c r="B369" s="8"/>
      <c r="C369" s="30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10"/>
      <c r="AC369" s="10"/>
      <c r="AD369" s="10"/>
    </row>
    <row r="370" spans="1:30" ht="12.75" x14ac:dyDescent="0.2">
      <c r="A370" s="8"/>
      <c r="B370" s="8"/>
      <c r="C370" s="30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10"/>
      <c r="AC370" s="10"/>
      <c r="AD370" s="10"/>
    </row>
    <row r="371" spans="1:30" ht="12.75" x14ac:dyDescent="0.2">
      <c r="A371" s="8"/>
      <c r="B371" s="8"/>
      <c r="C371" s="30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10"/>
      <c r="AC371" s="10"/>
      <c r="AD371" s="10"/>
    </row>
    <row r="372" spans="1:30" ht="12.75" x14ac:dyDescent="0.2">
      <c r="A372" s="8"/>
      <c r="B372" s="8"/>
      <c r="C372" s="30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10"/>
      <c r="AC372" s="10"/>
      <c r="AD372" s="10"/>
    </row>
    <row r="373" spans="1:30" ht="12.75" x14ac:dyDescent="0.2">
      <c r="A373" s="8"/>
      <c r="B373" s="8"/>
      <c r="C373" s="30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10"/>
      <c r="AC373" s="10"/>
      <c r="AD373" s="10"/>
    </row>
    <row r="374" spans="1:30" ht="12.75" x14ac:dyDescent="0.2">
      <c r="A374" s="8"/>
      <c r="B374" s="8"/>
      <c r="C374" s="30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10"/>
      <c r="AC374" s="10"/>
      <c r="AD374" s="10"/>
    </row>
    <row r="375" spans="1:30" ht="12.75" x14ac:dyDescent="0.2">
      <c r="A375" s="8"/>
      <c r="B375" s="8"/>
      <c r="C375" s="30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10"/>
      <c r="AC375" s="10"/>
      <c r="AD375" s="10"/>
    </row>
    <row r="376" spans="1:30" ht="12.75" x14ac:dyDescent="0.2">
      <c r="A376" s="8"/>
      <c r="B376" s="8"/>
      <c r="C376" s="30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10"/>
      <c r="AC376" s="10"/>
      <c r="AD376" s="10"/>
    </row>
    <row r="377" spans="1:30" ht="12.75" x14ac:dyDescent="0.2">
      <c r="A377" s="8"/>
      <c r="B377" s="8"/>
      <c r="C377" s="30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10"/>
      <c r="AC377" s="10"/>
      <c r="AD377" s="10"/>
    </row>
    <row r="378" spans="1:30" ht="12.75" x14ac:dyDescent="0.2">
      <c r="A378" s="8"/>
      <c r="B378" s="8"/>
      <c r="C378" s="30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10"/>
      <c r="AC378" s="10"/>
      <c r="AD378" s="10"/>
    </row>
    <row r="379" spans="1:30" ht="12.75" x14ac:dyDescent="0.2">
      <c r="A379" s="8"/>
      <c r="B379" s="8"/>
      <c r="C379" s="30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10"/>
      <c r="AC379" s="10"/>
      <c r="AD379" s="10"/>
    </row>
    <row r="380" spans="1:30" ht="12.75" x14ac:dyDescent="0.2">
      <c r="A380" s="8"/>
      <c r="B380" s="8"/>
      <c r="C380" s="30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10"/>
      <c r="AC380" s="10"/>
      <c r="AD380" s="10"/>
    </row>
    <row r="381" spans="1:30" ht="12.75" x14ac:dyDescent="0.2">
      <c r="A381" s="8"/>
      <c r="B381" s="8"/>
      <c r="C381" s="30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10"/>
      <c r="AC381" s="10"/>
      <c r="AD381" s="10"/>
    </row>
    <row r="382" spans="1:30" ht="12.75" x14ac:dyDescent="0.2">
      <c r="A382" s="8"/>
      <c r="B382" s="8"/>
      <c r="C382" s="30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10"/>
      <c r="AC382" s="10"/>
      <c r="AD382" s="10"/>
    </row>
    <row r="383" spans="1:30" ht="12.75" x14ac:dyDescent="0.2">
      <c r="A383" s="8"/>
      <c r="B383" s="8"/>
      <c r="C383" s="30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10"/>
      <c r="AC383" s="10"/>
      <c r="AD383" s="10"/>
    </row>
    <row r="384" spans="1:30" ht="12.75" x14ac:dyDescent="0.2">
      <c r="A384" s="8"/>
      <c r="B384" s="8"/>
      <c r="C384" s="30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10"/>
      <c r="AC384" s="10"/>
      <c r="AD384" s="10"/>
    </row>
    <row r="385" spans="1:30" ht="12.75" x14ac:dyDescent="0.2">
      <c r="A385" s="8"/>
      <c r="B385" s="8"/>
      <c r="C385" s="30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10"/>
      <c r="AC385" s="10"/>
      <c r="AD385" s="10"/>
    </row>
    <row r="386" spans="1:30" ht="12.75" x14ac:dyDescent="0.2">
      <c r="A386" s="8"/>
      <c r="B386" s="8"/>
      <c r="C386" s="30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10"/>
      <c r="AC386" s="10"/>
      <c r="AD386" s="10"/>
    </row>
    <row r="387" spans="1:30" ht="12.75" x14ac:dyDescent="0.2">
      <c r="A387" s="8"/>
      <c r="B387" s="8"/>
      <c r="C387" s="30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10"/>
      <c r="AC387" s="10"/>
      <c r="AD387" s="10"/>
    </row>
    <row r="388" spans="1:30" ht="12.75" x14ac:dyDescent="0.2">
      <c r="A388" s="8"/>
      <c r="B388" s="8"/>
      <c r="C388" s="30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10"/>
      <c r="AC388" s="10"/>
      <c r="AD388" s="10"/>
    </row>
    <row r="389" spans="1:30" ht="12.75" x14ac:dyDescent="0.2">
      <c r="A389" s="8"/>
      <c r="B389" s="8"/>
      <c r="C389" s="30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10"/>
      <c r="AC389" s="10"/>
      <c r="AD389" s="10"/>
    </row>
    <row r="390" spans="1:30" ht="12.75" x14ac:dyDescent="0.2">
      <c r="A390" s="8"/>
      <c r="B390" s="8"/>
      <c r="C390" s="30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10"/>
      <c r="AC390" s="10"/>
      <c r="AD390" s="10"/>
    </row>
    <row r="391" spans="1:30" ht="12.75" x14ac:dyDescent="0.2">
      <c r="A391" s="8"/>
      <c r="B391" s="8"/>
      <c r="C391" s="30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10"/>
      <c r="AC391" s="10"/>
      <c r="AD391" s="10"/>
    </row>
    <row r="392" spans="1:30" ht="12.75" x14ac:dyDescent="0.2">
      <c r="A392" s="8"/>
      <c r="B392" s="8"/>
      <c r="C392" s="30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10"/>
      <c r="AC392" s="10"/>
      <c r="AD392" s="10"/>
    </row>
    <row r="393" spans="1:30" ht="12.75" x14ac:dyDescent="0.2">
      <c r="A393" s="8"/>
      <c r="B393" s="8"/>
      <c r="C393" s="30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10"/>
      <c r="AC393" s="10"/>
      <c r="AD393" s="10"/>
    </row>
    <row r="394" spans="1:30" ht="12.75" x14ac:dyDescent="0.2">
      <c r="A394" s="8"/>
      <c r="B394" s="8"/>
      <c r="C394" s="30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10"/>
      <c r="AC394" s="10"/>
      <c r="AD394" s="10"/>
    </row>
    <row r="395" spans="1:30" ht="12.75" x14ac:dyDescent="0.2">
      <c r="A395" s="8"/>
      <c r="B395" s="8"/>
      <c r="C395" s="30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10"/>
      <c r="AC395" s="10"/>
      <c r="AD395" s="10"/>
    </row>
    <row r="396" spans="1:30" ht="12.75" x14ac:dyDescent="0.2">
      <c r="A396" s="8"/>
      <c r="B396" s="8"/>
      <c r="C396" s="30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10"/>
      <c r="AC396" s="10"/>
      <c r="AD396" s="10"/>
    </row>
    <row r="397" spans="1:30" ht="12.75" x14ac:dyDescent="0.2">
      <c r="A397" s="8"/>
      <c r="B397" s="8"/>
      <c r="C397" s="30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10"/>
      <c r="AC397" s="10"/>
      <c r="AD397" s="10"/>
    </row>
    <row r="398" spans="1:30" ht="12.75" x14ac:dyDescent="0.2">
      <c r="A398" s="8"/>
      <c r="B398" s="8"/>
      <c r="C398" s="30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10"/>
      <c r="AC398" s="10"/>
      <c r="AD398" s="10"/>
    </row>
    <row r="399" spans="1:30" ht="12.75" x14ac:dyDescent="0.2">
      <c r="A399" s="8"/>
      <c r="B399" s="8"/>
      <c r="C399" s="30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10"/>
      <c r="AC399" s="10"/>
      <c r="AD399" s="10"/>
    </row>
    <row r="400" spans="1:30" ht="12.75" x14ac:dyDescent="0.2">
      <c r="A400" s="8"/>
      <c r="B400" s="8"/>
      <c r="C400" s="30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10"/>
      <c r="AC400" s="10"/>
      <c r="AD400" s="10"/>
    </row>
    <row r="401" spans="1:30" ht="12.75" x14ac:dyDescent="0.2">
      <c r="A401" s="8"/>
      <c r="B401" s="8"/>
      <c r="C401" s="30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10"/>
      <c r="AC401" s="10"/>
      <c r="AD401" s="10"/>
    </row>
    <row r="402" spans="1:30" ht="12.75" x14ac:dyDescent="0.2">
      <c r="A402" s="8"/>
      <c r="B402" s="8"/>
      <c r="C402" s="30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10"/>
      <c r="AC402" s="10"/>
      <c r="AD402" s="10"/>
    </row>
    <row r="403" spans="1:30" ht="12.75" x14ac:dyDescent="0.2">
      <c r="A403" s="8"/>
      <c r="B403" s="8"/>
      <c r="C403" s="30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10"/>
      <c r="AC403" s="10"/>
      <c r="AD403" s="10"/>
    </row>
    <row r="404" spans="1:30" ht="12.75" x14ac:dyDescent="0.2">
      <c r="A404" s="8"/>
      <c r="B404" s="8"/>
      <c r="C404" s="30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10"/>
      <c r="AC404" s="10"/>
      <c r="AD404" s="10"/>
    </row>
    <row r="405" spans="1:30" ht="12.75" x14ac:dyDescent="0.2">
      <c r="A405" s="8"/>
      <c r="B405" s="8"/>
      <c r="C405" s="30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10"/>
      <c r="AC405" s="10"/>
      <c r="AD405" s="10"/>
    </row>
    <row r="406" spans="1:30" ht="12.75" x14ac:dyDescent="0.2">
      <c r="A406" s="8"/>
      <c r="B406" s="8"/>
      <c r="C406" s="30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10"/>
      <c r="AC406" s="10"/>
      <c r="AD406" s="10"/>
    </row>
    <row r="407" spans="1:30" ht="12.75" x14ac:dyDescent="0.2">
      <c r="A407" s="8"/>
      <c r="B407" s="8"/>
      <c r="C407" s="30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10"/>
      <c r="AC407" s="10"/>
      <c r="AD407" s="10"/>
    </row>
    <row r="408" spans="1:30" ht="12.75" x14ac:dyDescent="0.2">
      <c r="A408" s="8"/>
      <c r="B408" s="8"/>
      <c r="C408" s="30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10"/>
      <c r="AC408" s="10"/>
      <c r="AD408" s="10"/>
    </row>
    <row r="409" spans="1:30" ht="12.75" x14ac:dyDescent="0.2">
      <c r="A409" s="8"/>
      <c r="B409" s="8"/>
      <c r="C409" s="30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10"/>
      <c r="AC409" s="10"/>
      <c r="AD409" s="10"/>
    </row>
    <row r="410" spans="1:30" ht="12.75" x14ac:dyDescent="0.2">
      <c r="A410" s="8"/>
      <c r="B410" s="8"/>
      <c r="C410" s="30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10"/>
      <c r="AC410" s="10"/>
      <c r="AD410" s="10"/>
    </row>
    <row r="411" spans="1:30" ht="12.75" x14ac:dyDescent="0.2">
      <c r="A411" s="8"/>
      <c r="B411" s="8"/>
      <c r="C411" s="30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10"/>
      <c r="AC411" s="10"/>
      <c r="AD411" s="10"/>
    </row>
    <row r="412" spans="1:30" ht="12.75" x14ac:dyDescent="0.2">
      <c r="A412" s="8"/>
      <c r="B412" s="8"/>
      <c r="C412" s="30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10"/>
      <c r="AC412" s="10"/>
      <c r="AD412" s="10"/>
    </row>
    <row r="413" spans="1:30" ht="12.75" x14ac:dyDescent="0.2">
      <c r="A413" s="8"/>
      <c r="B413" s="8"/>
      <c r="C413" s="30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10"/>
      <c r="AC413" s="10"/>
      <c r="AD413" s="10"/>
    </row>
    <row r="414" spans="1:30" ht="12.75" x14ac:dyDescent="0.2">
      <c r="A414" s="8"/>
      <c r="B414" s="8"/>
      <c r="C414" s="30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10"/>
      <c r="AC414" s="10"/>
      <c r="AD414" s="10"/>
    </row>
    <row r="415" spans="1:30" ht="12.75" x14ac:dyDescent="0.2">
      <c r="A415" s="8"/>
      <c r="B415" s="8"/>
      <c r="C415" s="30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10"/>
      <c r="AC415" s="10"/>
      <c r="AD415" s="10"/>
    </row>
    <row r="416" spans="1:30" ht="12.75" x14ac:dyDescent="0.2">
      <c r="A416" s="8"/>
      <c r="B416" s="8"/>
      <c r="C416" s="30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10"/>
      <c r="AC416" s="10"/>
      <c r="AD416" s="10"/>
    </row>
    <row r="417" spans="1:30" ht="12.75" x14ac:dyDescent="0.2">
      <c r="A417" s="8"/>
      <c r="B417" s="8"/>
      <c r="C417" s="30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10"/>
      <c r="AC417" s="10"/>
      <c r="AD417" s="10"/>
    </row>
    <row r="418" spans="1:30" ht="12.75" x14ac:dyDescent="0.2">
      <c r="A418" s="8"/>
      <c r="B418" s="8"/>
      <c r="C418" s="30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10"/>
      <c r="AC418" s="10"/>
      <c r="AD418" s="10"/>
    </row>
    <row r="419" spans="1:30" ht="12.75" x14ac:dyDescent="0.2">
      <c r="A419" s="8"/>
      <c r="B419" s="8"/>
      <c r="C419" s="30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10"/>
      <c r="AC419" s="10"/>
      <c r="AD419" s="10"/>
    </row>
    <row r="420" spans="1:30" ht="12.75" x14ac:dyDescent="0.2">
      <c r="A420" s="8"/>
      <c r="B420" s="8"/>
      <c r="C420" s="30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10"/>
      <c r="AC420" s="10"/>
      <c r="AD420" s="10"/>
    </row>
    <row r="421" spans="1:30" ht="12.75" x14ac:dyDescent="0.2">
      <c r="A421" s="8"/>
      <c r="B421" s="8"/>
      <c r="C421" s="30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10"/>
      <c r="AC421" s="10"/>
      <c r="AD421" s="10"/>
    </row>
    <row r="422" spans="1:30" ht="12.75" x14ac:dyDescent="0.2">
      <c r="A422" s="8"/>
      <c r="B422" s="8"/>
      <c r="C422" s="30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10"/>
      <c r="AC422" s="10"/>
      <c r="AD422" s="10"/>
    </row>
    <row r="423" spans="1:30" ht="12.75" x14ac:dyDescent="0.2">
      <c r="A423" s="8"/>
      <c r="B423" s="8"/>
      <c r="C423" s="30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10"/>
      <c r="AC423" s="10"/>
      <c r="AD423" s="10"/>
    </row>
    <row r="424" spans="1:30" ht="12.75" x14ac:dyDescent="0.2">
      <c r="A424" s="8"/>
      <c r="B424" s="8"/>
      <c r="C424" s="30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10"/>
      <c r="AC424" s="10"/>
      <c r="AD424" s="10"/>
    </row>
    <row r="425" spans="1:30" ht="12.75" x14ac:dyDescent="0.2">
      <c r="A425" s="8"/>
      <c r="B425" s="8"/>
      <c r="C425" s="30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10"/>
      <c r="AC425" s="10"/>
      <c r="AD425" s="10"/>
    </row>
    <row r="426" spans="1:30" ht="12.75" x14ac:dyDescent="0.2">
      <c r="A426" s="8"/>
      <c r="B426" s="8"/>
      <c r="C426" s="30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10"/>
      <c r="AC426" s="10"/>
      <c r="AD426" s="10"/>
    </row>
    <row r="427" spans="1:30" ht="12.75" x14ac:dyDescent="0.2">
      <c r="A427" s="8"/>
      <c r="B427" s="8"/>
      <c r="C427" s="30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10"/>
      <c r="AC427" s="10"/>
      <c r="AD427" s="10"/>
    </row>
    <row r="428" spans="1:30" ht="12.75" x14ac:dyDescent="0.2">
      <c r="A428" s="8"/>
      <c r="B428" s="8"/>
      <c r="C428" s="30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10"/>
      <c r="AC428" s="10"/>
      <c r="AD428" s="10"/>
    </row>
    <row r="429" spans="1:30" ht="12.75" x14ac:dyDescent="0.2">
      <c r="A429" s="8"/>
      <c r="B429" s="8"/>
      <c r="C429" s="30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10"/>
      <c r="AC429" s="10"/>
      <c r="AD429" s="10"/>
    </row>
    <row r="430" spans="1:30" ht="12.75" x14ac:dyDescent="0.2">
      <c r="A430" s="8"/>
      <c r="B430" s="8"/>
      <c r="C430" s="30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10"/>
      <c r="AC430" s="10"/>
      <c r="AD430" s="10"/>
    </row>
    <row r="431" spans="1:30" ht="12.75" x14ac:dyDescent="0.2">
      <c r="A431" s="8"/>
      <c r="B431" s="8"/>
      <c r="C431" s="30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10"/>
      <c r="AC431" s="10"/>
      <c r="AD431" s="10"/>
    </row>
    <row r="432" spans="1:30" ht="12.75" x14ac:dyDescent="0.2">
      <c r="A432" s="8"/>
      <c r="B432" s="8"/>
      <c r="C432" s="30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10"/>
      <c r="AC432" s="10"/>
      <c r="AD432" s="10"/>
    </row>
    <row r="433" spans="1:30" ht="12.75" x14ac:dyDescent="0.2">
      <c r="A433" s="8"/>
      <c r="B433" s="8"/>
      <c r="C433" s="30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10"/>
      <c r="AC433" s="10"/>
      <c r="AD433" s="10"/>
    </row>
    <row r="434" spans="1:30" ht="12.75" x14ac:dyDescent="0.2">
      <c r="A434" s="8"/>
      <c r="B434" s="8"/>
      <c r="C434" s="30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10"/>
      <c r="AC434" s="10"/>
      <c r="AD434" s="10"/>
    </row>
    <row r="435" spans="1:30" ht="12.75" x14ac:dyDescent="0.2">
      <c r="A435" s="8"/>
      <c r="B435" s="8"/>
      <c r="C435" s="30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10"/>
      <c r="AC435" s="10"/>
      <c r="AD435" s="10"/>
    </row>
    <row r="436" spans="1:30" ht="12.75" x14ac:dyDescent="0.2">
      <c r="A436" s="8"/>
      <c r="B436" s="8"/>
      <c r="C436" s="30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10"/>
      <c r="AC436" s="10"/>
      <c r="AD436" s="10"/>
    </row>
    <row r="437" spans="1:30" ht="12.75" x14ac:dyDescent="0.2">
      <c r="A437" s="8"/>
      <c r="B437" s="8"/>
      <c r="C437" s="30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10"/>
      <c r="AC437" s="10"/>
      <c r="AD437" s="10"/>
    </row>
    <row r="438" spans="1:30" ht="12.75" x14ac:dyDescent="0.2">
      <c r="A438" s="8"/>
      <c r="B438" s="8"/>
      <c r="C438" s="30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10"/>
      <c r="AC438" s="10"/>
      <c r="AD438" s="10"/>
    </row>
    <row r="439" spans="1:30" ht="12.75" x14ac:dyDescent="0.2">
      <c r="A439" s="8"/>
      <c r="B439" s="8"/>
      <c r="C439" s="30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10"/>
      <c r="AC439" s="10"/>
      <c r="AD439" s="10"/>
    </row>
    <row r="440" spans="1:30" ht="12.75" x14ac:dyDescent="0.2">
      <c r="A440" s="8"/>
      <c r="B440" s="8"/>
      <c r="C440" s="30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10"/>
      <c r="AC440" s="10"/>
      <c r="AD440" s="10"/>
    </row>
    <row r="441" spans="1:30" ht="12.75" x14ac:dyDescent="0.2">
      <c r="A441" s="8"/>
      <c r="B441" s="8"/>
      <c r="C441" s="30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10"/>
      <c r="AC441" s="10"/>
      <c r="AD441" s="10"/>
    </row>
    <row r="442" spans="1:30" ht="12.75" x14ac:dyDescent="0.2">
      <c r="A442" s="8"/>
      <c r="B442" s="8"/>
      <c r="C442" s="30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10"/>
      <c r="AC442" s="10"/>
      <c r="AD442" s="10"/>
    </row>
    <row r="443" spans="1:30" ht="12.75" x14ac:dyDescent="0.2">
      <c r="A443" s="8"/>
      <c r="B443" s="8"/>
      <c r="C443" s="30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10"/>
      <c r="AC443" s="10"/>
      <c r="AD443" s="10"/>
    </row>
    <row r="444" spans="1:30" ht="12.75" x14ac:dyDescent="0.2">
      <c r="A444" s="8"/>
      <c r="B444" s="8"/>
      <c r="C444" s="30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10"/>
      <c r="AC444" s="10"/>
      <c r="AD444" s="10"/>
    </row>
    <row r="445" spans="1:30" ht="12.75" x14ac:dyDescent="0.2">
      <c r="A445" s="8"/>
      <c r="B445" s="8"/>
      <c r="C445" s="30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10"/>
      <c r="AC445" s="10"/>
      <c r="AD445" s="10"/>
    </row>
    <row r="446" spans="1:30" ht="12.75" x14ac:dyDescent="0.2">
      <c r="A446" s="8"/>
      <c r="B446" s="8"/>
      <c r="C446" s="30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10"/>
      <c r="AC446" s="10"/>
      <c r="AD446" s="10"/>
    </row>
    <row r="447" spans="1:30" ht="12.75" x14ac:dyDescent="0.2">
      <c r="A447" s="8"/>
      <c r="B447" s="8"/>
      <c r="C447" s="30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10"/>
      <c r="AC447" s="10"/>
      <c r="AD447" s="10"/>
    </row>
    <row r="448" spans="1:30" ht="12.75" x14ac:dyDescent="0.2">
      <c r="A448" s="8"/>
      <c r="B448" s="8"/>
      <c r="C448" s="30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10"/>
      <c r="AC448" s="10"/>
      <c r="AD448" s="10"/>
    </row>
    <row r="449" spans="1:30" ht="12.75" x14ac:dyDescent="0.2">
      <c r="A449" s="8"/>
      <c r="B449" s="8"/>
      <c r="C449" s="30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10"/>
      <c r="AC449" s="10"/>
      <c r="AD449" s="10"/>
    </row>
    <row r="450" spans="1:30" ht="12.75" x14ac:dyDescent="0.2">
      <c r="A450" s="8"/>
      <c r="B450" s="8"/>
      <c r="C450" s="30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10"/>
      <c r="AC450" s="10"/>
      <c r="AD450" s="10"/>
    </row>
    <row r="451" spans="1:30" ht="12.75" x14ac:dyDescent="0.2">
      <c r="A451" s="8"/>
      <c r="B451" s="8"/>
      <c r="C451" s="30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10"/>
      <c r="AC451" s="10"/>
      <c r="AD451" s="10"/>
    </row>
    <row r="452" spans="1:30" ht="12.75" x14ac:dyDescent="0.2">
      <c r="A452" s="8"/>
      <c r="B452" s="8"/>
      <c r="C452" s="30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10"/>
      <c r="AC452" s="10"/>
      <c r="AD452" s="10"/>
    </row>
    <row r="453" spans="1:30" ht="12.75" x14ac:dyDescent="0.2">
      <c r="A453" s="8"/>
      <c r="B453" s="8"/>
      <c r="C453" s="30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10"/>
      <c r="AC453" s="10"/>
      <c r="AD453" s="10"/>
    </row>
    <row r="454" spans="1:30" ht="12.75" x14ac:dyDescent="0.2">
      <c r="A454" s="8"/>
      <c r="B454" s="8"/>
      <c r="C454" s="30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10"/>
      <c r="AC454" s="10"/>
      <c r="AD454" s="10"/>
    </row>
    <row r="455" spans="1:30" ht="12.75" x14ac:dyDescent="0.2">
      <c r="A455" s="8"/>
      <c r="B455" s="8"/>
      <c r="C455" s="30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10"/>
      <c r="AC455" s="10"/>
      <c r="AD455" s="10"/>
    </row>
    <row r="456" spans="1:30" ht="12.75" x14ac:dyDescent="0.2">
      <c r="A456" s="8"/>
      <c r="B456" s="8"/>
      <c r="C456" s="30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10"/>
      <c r="AC456" s="10"/>
      <c r="AD456" s="10"/>
    </row>
    <row r="457" spans="1:30" ht="12.75" x14ac:dyDescent="0.2">
      <c r="A457" s="8"/>
      <c r="B457" s="8"/>
      <c r="C457" s="30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10"/>
      <c r="AC457" s="10"/>
      <c r="AD457" s="10"/>
    </row>
    <row r="458" spans="1:30" ht="12.75" x14ac:dyDescent="0.2">
      <c r="A458" s="8"/>
      <c r="B458" s="8"/>
      <c r="C458" s="30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10"/>
      <c r="AC458" s="10"/>
      <c r="AD458" s="10"/>
    </row>
    <row r="459" spans="1:30" ht="12.75" x14ac:dyDescent="0.2">
      <c r="A459" s="8"/>
      <c r="B459" s="8"/>
      <c r="C459" s="30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10"/>
      <c r="AC459" s="10"/>
      <c r="AD459" s="10"/>
    </row>
    <row r="460" spans="1:30" ht="12.75" x14ac:dyDescent="0.2">
      <c r="A460" s="8"/>
      <c r="B460" s="8"/>
      <c r="C460" s="30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10"/>
      <c r="AC460" s="10"/>
      <c r="AD460" s="10"/>
    </row>
    <row r="461" spans="1:30" ht="12.75" x14ac:dyDescent="0.2">
      <c r="A461" s="8"/>
      <c r="B461" s="8"/>
      <c r="C461" s="30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10"/>
      <c r="AC461" s="10"/>
      <c r="AD461" s="10"/>
    </row>
    <row r="462" spans="1:30" ht="12.75" x14ac:dyDescent="0.2">
      <c r="A462" s="8"/>
      <c r="B462" s="8"/>
      <c r="C462" s="30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10"/>
      <c r="AC462" s="10"/>
      <c r="AD462" s="10"/>
    </row>
    <row r="463" spans="1:30" ht="12.75" x14ac:dyDescent="0.2">
      <c r="A463" s="8"/>
      <c r="B463" s="8"/>
      <c r="C463" s="30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10"/>
      <c r="AC463" s="10"/>
      <c r="AD463" s="10"/>
    </row>
    <row r="464" spans="1:30" ht="12.75" x14ac:dyDescent="0.2">
      <c r="A464" s="8"/>
      <c r="B464" s="8"/>
      <c r="C464" s="30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10"/>
      <c r="AC464" s="10"/>
      <c r="AD464" s="10"/>
    </row>
    <row r="465" spans="1:30" ht="12.75" x14ac:dyDescent="0.2">
      <c r="A465" s="8"/>
      <c r="B465" s="8"/>
      <c r="C465" s="30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10"/>
      <c r="AC465" s="10"/>
      <c r="AD465" s="10"/>
    </row>
    <row r="466" spans="1:30" ht="12.75" x14ac:dyDescent="0.2">
      <c r="A466" s="8"/>
      <c r="B466" s="8"/>
      <c r="C466" s="30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10"/>
      <c r="AC466" s="10"/>
      <c r="AD466" s="10"/>
    </row>
    <row r="467" spans="1:30" ht="12.75" x14ac:dyDescent="0.2">
      <c r="A467" s="8"/>
      <c r="B467" s="8"/>
      <c r="C467" s="30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10"/>
      <c r="AC467" s="10"/>
      <c r="AD467" s="10"/>
    </row>
    <row r="468" spans="1:30" ht="12.75" x14ac:dyDescent="0.2">
      <c r="A468" s="8"/>
      <c r="B468" s="8"/>
      <c r="C468" s="30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10"/>
      <c r="AC468" s="10"/>
      <c r="AD468" s="10"/>
    </row>
    <row r="469" spans="1:30" ht="12.75" x14ac:dyDescent="0.2">
      <c r="A469" s="8"/>
      <c r="B469" s="8"/>
      <c r="C469" s="30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10"/>
      <c r="AC469" s="10"/>
      <c r="AD469" s="10"/>
    </row>
    <row r="470" spans="1:30" ht="12.75" x14ac:dyDescent="0.2">
      <c r="A470" s="8"/>
      <c r="B470" s="8"/>
      <c r="C470" s="30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10"/>
      <c r="AC470" s="10"/>
      <c r="AD470" s="10"/>
    </row>
    <row r="471" spans="1:30" ht="12.75" x14ac:dyDescent="0.2">
      <c r="A471" s="8"/>
      <c r="B471" s="8"/>
      <c r="C471" s="30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10"/>
      <c r="AC471" s="10"/>
      <c r="AD471" s="10"/>
    </row>
    <row r="472" spans="1:30" ht="12.75" x14ac:dyDescent="0.2">
      <c r="A472" s="8"/>
      <c r="B472" s="8"/>
      <c r="C472" s="30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10"/>
      <c r="AC472" s="10"/>
      <c r="AD472" s="10"/>
    </row>
    <row r="473" spans="1:30" ht="12.75" x14ac:dyDescent="0.2">
      <c r="A473" s="8"/>
      <c r="B473" s="8"/>
      <c r="C473" s="30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10"/>
      <c r="AC473" s="10"/>
      <c r="AD473" s="10"/>
    </row>
    <row r="474" spans="1:30" ht="12.75" x14ac:dyDescent="0.2">
      <c r="A474" s="8"/>
      <c r="B474" s="8"/>
      <c r="C474" s="30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10"/>
      <c r="AC474" s="10"/>
      <c r="AD474" s="10"/>
    </row>
    <row r="475" spans="1:30" ht="12.75" x14ac:dyDescent="0.2">
      <c r="A475" s="8"/>
      <c r="B475" s="8"/>
      <c r="C475" s="30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10"/>
      <c r="AC475" s="10"/>
      <c r="AD475" s="10"/>
    </row>
    <row r="476" spans="1:30" ht="12.75" x14ac:dyDescent="0.2">
      <c r="A476" s="8"/>
      <c r="B476" s="8"/>
      <c r="C476" s="30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10"/>
      <c r="AC476" s="10"/>
      <c r="AD476" s="10"/>
    </row>
    <row r="477" spans="1:30" ht="12.75" x14ac:dyDescent="0.2">
      <c r="A477" s="8"/>
      <c r="B477" s="8"/>
      <c r="C477" s="30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10"/>
      <c r="AC477" s="10"/>
      <c r="AD477" s="10"/>
    </row>
    <row r="478" spans="1:30" ht="12.75" x14ac:dyDescent="0.2">
      <c r="A478" s="8"/>
      <c r="B478" s="8"/>
      <c r="C478" s="30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10"/>
      <c r="AC478" s="10"/>
      <c r="AD478" s="10"/>
    </row>
    <row r="479" spans="1:30" ht="12.75" x14ac:dyDescent="0.2">
      <c r="A479" s="8"/>
      <c r="B479" s="8"/>
      <c r="C479" s="30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10"/>
      <c r="AC479" s="10"/>
      <c r="AD479" s="10"/>
    </row>
    <row r="480" spans="1:30" ht="12.75" x14ac:dyDescent="0.2">
      <c r="A480" s="8"/>
      <c r="B480" s="8"/>
      <c r="C480" s="30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10"/>
      <c r="AC480" s="10"/>
      <c r="AD480" s="10"/>
    </row>
    <row r="481" spans="1:30" ht="12.75" x14ac:dyDescent="0.2">
      <c r="A481" s="8"/>
      <c r="B481" s="8"/>
      <c r="C481" s="30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10"/>
      <c r="AC481" s="10"/>
      <c r="AD481" s="10"/>
    </row>
    <row r="482" spans="1:30" ht="12.75" x14ac:dyDescent="0.2">
      <c r="A482" s="8"/>
      <c r="B482" s="8"/>
      <c r="C482" s="30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10"/>
      <c r="AC482" s="10"/>
      <c r="AD482" s="10"/>
    </row>
    <row r="483" spans="1:30" ht="12.75" x14ac:dyDescent="0.2">
      <c r="A483" s="8"/>
      <c r="B483" s="8"/>
      <c r="C483" s="30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10"/>
      <c r="AC483" s="10"/>
      <c r="AD483" s="10"/>
    </row>
    <row r="484" spans="1:30" ht="12.75" x14ac:dyDescent="0.2">
      <c r="A484" s="8"/>
      <c r="B484" s="8"/>
      <c r="C484" s="30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10"/>
      <c r="AC484" s="10"/>
      <c r="AD484" s="10"/>
    </row>
    <row r="485" spans="1:30" ht="12.75" x14ac:dyDescent="0.2">
      <c r="A485" s="8"/>
      <c r="B485" s="8"/>
      <c r="C485" s="30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10"/>
      <c r="AC485" s="10"/>
      <c r="AD485" s="10"/>
    </row>
    <row r="486" spans="1:30" ht="12.75" x14ac:dyDescent="0.2">
      <c r="A486" s="8"/>
      <c r="B486" s="8"/>
      <c r="C486" s="30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10"/>
      <c r="AC486" s="10"/>
      <c r="AD486" s="10"/>
    </row>
    <row r="487" spans="1:30" ht="12.75" x14ac:dyDescent="0.2">
      <c r="A487" s="8"/>
      <c r="B487" s="8"/>
      <c r="C487" s="30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10"/>
      <c r="AC487" s="10"/>
      <c r="AD487" s="10"/>
    </row>
    <row r="488" spans="1:30" ht="12.75" x14ac:dyDescent="0.2">
      <c r="A488" s="8"/>
      <c r="B488" s="8"/>
      <c r="C488" s="30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10"/>
      <c r="AC488" s="10"/>
      <c r="AD488" s="10"/>
    </row>
    <row r="489" spans="1:30" ht="12.75" x14ac:dyDescent="0.2">
      <c r="A489" s="8"/>
      <c r="B489" s="8"/>
      <c r="C489" s="30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10"/>
      <c r="AC489" s="10"/>
      <c r="AD489" s="10"/>
    </row>
    <row r="490" spans="1:30" ht="12.75" x14ac:dyDescent="0.2">
      <c r="A490" s="8"/>
      <c r="B490" s="8"/>
      <c r="C490" s="30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10"/>
      <c r="AC490" s="10"/>
      <c r="AD490" s="10"/>
    </row>
    <row r="491" spans="1:30" ht="12.75" x14ac:dyDescent="0.2">
      <c r="A491" s="8"/>
      <c r="B491" s="8"/>
      <c r="C491" s="30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10"/>
      <c r="AC491" s="10"/>
      <c r="AD491" s="10"/>
    </row>
    <row r="492" spans="1:30" ht="12.75" x14ac:dyDescent="0.2">
      <c r="A492" s="8"/>
      <c r="B492" s="8"/>
      <c r="C492" s="30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10"/>
      <c r="AC492" s="10"/>
      <c r="AD492" s="10"/>
    </row>
    <row r="493" spans="1:30" ht="12.75" x14ac:dyDescent="0.2">
      <c r="A493" s="8"/>
      <c r="B493" s="8"/>
      <c r="C493" s="30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10"/>
      <c r="AC493" s="10"/>
      <c r="AD493" s="10"/>
    </row>
    <row r="494" spans="1:30" ht="12.75" x14ac:dyDescent="0.2">
      <c r="A494" s="8"/>
      <c r="B494" s="8"/>
      <c r="C494" s="30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10"/>
      <c r="AC494" s="10"/>
      <c r="AD494" s="10"/>
    </row>
    <row r="495" spans="1:30" ht="12.75" x14ac:dyDescent="0.2">
      <c r="A495" s="8"/>
      <c r="B495" s="8"/>
      <c r="C495" s="30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10"/>
      <c r="AC495" s="10"/>
      <c r="AD495" s="10"/>
    </row>
    <row r="496" spans="1:30" ht="12.75" x14ac:dyDescent="0.2">
      <c r="A496" s="8"/>
      <c r="B496" s="8"/>
      <c r="C496" s="30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10"/>
      <c r="AC496" s="10"/>
      <c r="AD496" s="10"/>
    </row>
    <row r="497" spans="1:30" ht="12.75" x14ac:dyDescent="0.2">
      <c r="A497" s="8"/>
      <c r="B497" s="8"/>
      <c r="C497" s="30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10"/>
      <c r="AC497" s="10"/>
      <c r="AD497" s="10"/>
    </row>
    <row r="498" spans="1:30" ht="12.75" x14ac:dyDescent="0.2">
      <c r="A498" s="8"/>
      <c r="B498" s="8"/>
      <c r="C498" s="30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10"/>
      <c r="AC498" s="10"/>
      <c r="AD498" s="10"/>
    </row>
    <row r="499" spans="1:30" ht="12.75" x14ac:dyDescent="0.2">
      <c r="A499" s="8"/>
      <c r="B499" s="8"/>
      <c r="C499" s="30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10"/>
      <c r="AC499" s="10"/>
      <c r="AD499" s="10"/>
    </row>
    <row r="500" spans="1:30" ht="12.75" x14ac:dyDescent="0.2">
      <c r="A500" s="8"/>
      <c r="B500" s="8"/>
      <c r="C500" s="30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10"/>
      <c r="AC500" s="10"/>
      <c r="AD500" s="10"/>
    </row>
    <row r="501" spans="1:30" ht="12.75" x14ac:dyDescent="0.2">
      <c r="A501" s="8"/>
      <c r="B501" s="8"/>
      <c r="C501" s="30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10"/>
      <c r="AC501" s="10"/>
      <c r="AD501" s="10"/>
    </row>
    <row r="502" spans="1:30" ht="12.75" x14ac:dyDescent="0.2">
      <c r="A502" s="8"/>
      <c r="B502" s="8"/>
      <c r="C502" s="30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10"/>
      <c r="AC502" s="10"/>
      <c r="AD502" s="10"/>
    </row>
    <row r="503" spans="1:30" ht="12.75" x14ac:dyDescent="0.2">
      <c r="A503" s="8"/>
      <c r="B503" s="8"/>
      <c r="C503" s="30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10"/>
      <c r="AC503" s="10"/>
      <c r="AD503" s="10"/>
    </row>
    <row r="504" spans="1:30" ht="12.75" x14ac:dyDescent="0.2">
      <c r="A504" s="8"/>
      <c r="B504" s="8"/>
      <c r="C504" s="30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10"/>
      <c r="AC504" s="10"/>
      <c r="AD504" s="10"/>
    </row>
    <row r="505" spans="1:30" ht="12.75" x14ac:dyDescent="0.2">
      <c r="A505" s="8"/>
      <c r="B505" s="8"/>
      <c r="C505" s="30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10"/>
      <c r="AC505" s="10"/>
      <c r="AD505" s="10"/>
    </row>
    <row r="506" spans="1:30" ht="12.75" x14ac:dyDescent="0.2">
      <c r="A506" s="8"/>
      <c r="B506" s="8"/>
      <c r="C506" s="30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10"/>
      <c r="AC506" s="10"/>
      <c r="AD506" s="10"/>
    </row>
    <row r="507" spans="1:30" ht="12.75" x14ac:dyDescent="0.2">
      <c r="A507" s="8"/>
      <c r="B507" s="8"/>
      <c r="C507" s="30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10"/>
      <c r="AC507" s="10"/>
      <c r="AD507" s="10"/>
    </row>
    <row r="508" spans="1:30" ht="12.75" x14ac:dyDescent="0.2">
      <c r="A508" s="8"/>
      <c r="B508" s="8"/>
      <c r="C508" s="30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10"/>
      <c r="AC508" s="10"/>
      <c r="AD508" s="10"/>
    </row>
    <row r="509" spans="1:30" ht="12.75" x14ac:dyDescent="0.2">
      <c r="A509" s="8"/>
      <c r="B509" s="8"/>
      <c r="C509" s="30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10"/>
      <c r="AC509" s="10"/>
      <c r="AD509" s="10"/>
    </row>
    <row r="510" spans="1:30" ht="12.75" x14ac:dyDescent="0.2">
      <c r="A510" s="8"/>
      <c r="B510" s="8"/>
      <c r="C510" s="30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10"/>
      <c r="AC510" s="10"/>
      <c r="AD510" s="10"/>
    </row>
    <row r="511" spans="1:30" ht="12.75" x14ac:dyDescent="0.2">
      <c r="A511" s="8"/>
      <c r="B511" s="8"/>
      <c r="C511" s="30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10"/>
      <c r="AC511" s="10"/>
      <c r="AD511" s="10"/>
    </row>
    <row r="512" spans="1:30" ht="12.75" x14ac:dyDescent="0.2">
      <c r="A512" s="8"/>
      <c r="B512" s="8"/>
      <c r="C512" s="30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10"/>
      <c r="AC512" s="10"/>
      <c r="AD512" s="10"/>
    </row>
    <row r="513" spans="1:30" ht="12.75" x14ac:dyDescent="0.2">
      <c r="A513" s="8"/>
      <c r="B513" s="8"/>
      <c r="C513" s="30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10"/>
      <c r="AC513" s="10"/>
      <c r="AD513" s="10"/>
    </row>
    <row r="514" spans="1:30" ht="12.75" x14ac:dyDescent="0.2">
      <c r="A514" s="8"/>
      <c r="B514" s="8"/>
      <c r="C514" s="30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10"/>
      <c r="AC514" s="10"/>
      <c r="AD514" s="10"/>
    </row>
    <row r="515" spans="1:30" ht="12.75" x14ac:dyDescent="0.2">
      <c r="A515" s="8"/>
      <c r="B515" s="8"/>
      <c r="C515" s="30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10"/>
      <c r="AC515" s="10"/>
      <c r="AD515" s="10"/>
    </row>
    <row r="516" spans="1:30" ht="12.75" x14ac:dyDescent="0.2">
      <c r="A516" s="8"/>
      <c r="B516" s="8"/>
      <c r="C516" s="30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10"/>
      <c r="AC516" s="10"/>
      <c r="AD516" s="10"/>
    </row>
    <row r="517" spans="1:30" ht="12.75" x14ac:dyDescent="0.2">
      <c r="A517" s="8"/>
      <c r="B517" s="8"/>
      <c r="C517" s="30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10"/>
      <c r="AC517" s="10"/>
      <c r="AD517" s="10"/>
    </row>
    <row r="518" spans="1:30" ht="12.75" x14ac:dyDescent="0.2">
      <c r="A518" s="8"/>
      <c r="B518" s="8"/>
      <c r="C518" s="30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10"/>
      <c r="AC518" s="10"/>
      <c r="AD518" s="10"/>
    </row>
    <row r="519" spans="1:30" ht="12.75" x14ac:dyDescent="0.2">
      <c r="A519" s="8"/>
      <c r="B519" s="8"/>
      <c r="C519" s="30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10"/>
      <c r="AC519" s="10"/>
      <c r="AD519" s="10"/>
    </row>
    <row r="520" spans="1:30" ht="12.75" x14ac:dyDescent="0.2">
      <c r="A520" s="8"/>
      <c r="B520" s="8"/>
      <c r="C520" s="30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10"/>
      <c r="AC520" s="10"/>
      <c r="AD520" s="10"/>
    </row>
    <row r="521" spans="1:30" ht="12.75" x14ac:dyDescent="0.2">
      <c r="A521" s="8"/>
      <c r="B521" s="8"/>
      <c r="C521" s="30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10"/>
      <c r="AC521" s="10"/>
      <c r="AD521" s="10"/>
    </row>
    <row r="522" spans="1:30" ht="12.75" x14ac:dyDescent="0.2">
      <c r="A522" s="8"/>
      <c r="B522" s="8"/>
      <c r="C522" s="30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10"/>
      <c r="AC522" s="10"/>
      <c r="AD522" s="10"/>
    </row>
    <row r="523" spans="1:30" ht="12.75" x14ac:dyDescent="0.2">
      <c r="A523" s="8"/>
      <c r="B523" s="8"/>
      <c r="C523" s="30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10"/>
      <c r="AC523" s="10"/>
      <c r="AD523" s="10"/>
    </row>
    <row r="524" spans="1:30" ht="12.75" x14ac:dyDescent="0.2">
      <c r="A524" s="8"/>
      <c r="B524" s="8"/>
      <c r="C524" s="30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10"/>
      <c r="AC524" s="10"/>
      <c r="AD524" s="10"/>
    </row>
    <row r="525" spans="1:30" ht="12.75" x14ac:dyDescent="0.2">
      <c r="A525" s="8"/>
      <c r="B525" s="8"/>
      <c r="C525" s="30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10"/>
      <c r="AC525" s="10"/>
      <c r="AD525" s="10"/>
    </row>
    <row r="526" spans="1:30" ht="12.75" x14ac:dyDescent="0.2">
      <c r="A526" s="8"/>
      <c r="B526" s="8"/>
      <c r="C526" s="30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10"/>
      <c r="AC526" s="10"/>
      <c r="AD526" s="10"/>
    </row>
    <row r="527" spans="1:30" ht="12.75" x14ac:dyDescent="0.2">
      <c r="A527" s="8"/>
      <c r="B527" s="8"/>
      <c r="C527" s="30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10"/>
      <c r="AC527" s="10"/>
      <c r="AD527" s="10"/>
    </row>
    <row r="528" spans="1:30" ht="12.75" x14ac:dyDescent="0.2">
      <c r="A528" s="8"/>
      <c r="B528" s="8"/>
      <c r="C528" s="30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10"/>
      <c r="AC528" s="10"/>
      <c r="AD528" s="10"/>
    </row>
    <row r="529" spans="1:30" ht="12.75" x14ac:dyDescent="0.2">
      <c r="A529" s="8"/>
      <c r="B529" s="8"/>
      <c r="C529" s="30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10"/>
      <c r="AC529" s="10"/>
      <c r="AD529" s="10"/>
    </row>
    <row r="530" spans="1:30" ht="12.75" x14ac:dyDescent="0.2">
      <c r="A530" s="8"/>
      <c r="B530" s="8"/>
      <c r="C530" s="30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10"/>
      <c r="AC530" s="10"/>
      <c r="AD530" s="10"/>
    </row>
    <row r="531" spans="1:30" ht="12.75" x14ac:dyDescent="0.2">
      <c r="A531" s="8"/>
      <c r="B531" s="8"/>
      <c r="C531" s="30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10"/>
      <c r="AC531" s="10"/>
      <c r="AD531" s="10"/>
    </row>
    <row r="532" spans="1:30" ht="12.75" x14ac:dyDescent="0.2">
      <c r="A532" s="8"/>
      <c r="B532" s="8"/>
      <c r="C532" s="30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10"/>
      <c r="AC532" s="10"/>
      <c r="AD532" s="10"/>
    </row>
    <row r="533" spans="1:30" ht="12.75" x14ac:dyDescent="0.2">
      <c r="A533" s="8"/>
      <c r="B533" s="8"/>
      <c r="C533" s="30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10"/>
      <c r="AC533" s="10"/>
      <c r="AD533" s="10"/>
    </row>
    <row r="534" spans="1:30" ht="12.75" x14ac:dyDescent="0.2">
      <c r="A534" s="8"/>
      <c r="B534" s="8"/>
      <c r="C534" s="30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10"/>
      <c r="AC534" s="10"/>
      <c r="AD534" s="10"/>
    </row>
    <row r="535" spans="1:30" ht="12.75" x14ac:dyDescent="0.2">
      <c r="A535" s="8"/>
      <c r="B535" s="8"/>
      <c r="C535" s="30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10"/>
      <c r="AC535" s="10"/>
      <c r="AD535" s="10"/>
    </row>
    <row r="536" spans="1:30" ht="12.75" x14ac:dyDescent="0.2">
      <c r="A536" s="8"/>
      <c r="B536" s="8"/>
      <c r="C536" s="30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10"/>
      <c r="AC536" s="10"/>
      <c r="AD536" s="10"/>
    </row>
    <row r="537" spans="1:30" ht="12.75" x14ac:dyDescent="0.2">
      <c r="A537" s="8"/>
      <c r="B537" s="8"/>
      <c r="C537" s="30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10"/>
      <c r="AC537" s="10"/>
      <c r="AD537" s="10"/>
    </row>
    <row r="538" spans="1:30" ht="12.75" x14ac:dyDescent="0.2">
      <c r="A538" s="8"/>
      <c r="B538" s="8"/>
      <c r="C538" s="30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10"/>
      <c r="AC538" s="10"/>
      <c r="AD538" s="10"/>
    </row>
    <row r="539" spans="1:30" ht="12.75" x14ac:dyDescent="0.2">
      <c r="A539" s="8"/>
      <c r="B539" s="8"/>
      <c r="C539" s="30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10"/>
      <c r="AC539" s="10"/>
      <c r="AD539" s="10"/>
    </row>
    <row r="540" spans="1:30" ht="12.75" x14ac:dyDescent="0.2">
      <c r="A540" s="8"/>
      <c r="B540" s="8"/>
      <c r="C540" s="30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10"/>
      <c r="AC540" s="10"/>
      <c r="AD540" s="10"/>
    </row>
    <row r="541" spans="1:30" ht="12.75" x14ac:dyDescent="0.2">
      <c r="A541" s="8"/>
      <c r="B541" s="8"/>
      <c r="C541" s="30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10"/>
      <c r="AC541" s="10"/>
      <c r="AD541" s="10"/>
    </row>
    <row r="542" spans="1:30" ht="12.75" x14ac:dyDescent="0.2">
      <c r="A542" s="8"/>
      <c r="B542" s="8"/>
      <c r="C542" s="30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10"/>
      <c r="AC542" s="10"/>
      <c r="AD542" s="10"/>
    </row>
    <row r="543" spans="1:30" ht="12.75" x14ac:dyDescent="0.2">
      <c r="A543" s="8"/>
      <c r="B543" s="8"/>
      <c r="C543" s="30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10"/>
      <c r="AC543" s="10"/>
      <c r="AD543" s="10"/>
    </row>
    <row r="544" spans="1:30" ht="12.75" x14ac:dyDescent="0.2">
      <c r="A544" s="8"/>
      <c r="B544" s="8"/>
      <c r="C544" s="30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10"/>
      <c r="AC544" s="10"/>
      <c r="AD544" s="10"/>
    </row>
    <row r="545" spans="1:30" ht="12.75" x14ac:dyDescent="0.2">
      <c r="A545" s="8"/>
      <c r="B545" s="8"/>
      <c r="C545" s="30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10"/>
      <c r="AC545" s="10"/>
      <c r="AD545" s="10"/>
    </row>
    <row r="546" spans="1:30" ht="12.75" x14ac:dyDescent="0.2">
      <c r="A546" s="8"/>
      <c r="B546" s="8"/>
      <c r="C546" s="30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10"/>
      <c r="AC546" s="10"/>
      <c r="AD546" s="10"/>
    </row>
    <row r="547" spans="1:30" ht="12.75" x14ac:dyDescent="0.2">
      <c r="A547" s="8"/>
      <c r="B547" s="8"/>
      <c r="C547" s="30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10"/>
      <c r="AC547" s="10"/>
      <c r="AD547" s="10"/>
    </row>
    <row r="548" spans="1:30" ht="12.75" x14ac:dyDescent="0.2">
      <c r="A548" s="8"/>
      <c r="B548" s="8"/>
      <c r="C548" s="30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10"/>
      <c r="AC548" s="10"/>
      <c r="AD548" s="10"/>
    </row>
    <row r="549" spans="1:30" ht="12.75" x14ac:dyDescent="0.2">
      <c r="A549" s="8"/>
      <c r="B549" s="8"/>
      <c r="C549" s="30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10"/>
      <c r="AC549" s="10"/>
      <c r="AD549" s="10"/>
    </row>
    <row r="550" spans="1:30" ht="12.75" x14ac:dyDescent="0.2">
      <c r="A550" s="8"/>
      <c r="B550" s="8"/>
      <c r="C550" s="30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10"/>
      <c r="AC550" s="10"/>
      <c r="AD550" s="10"/>
    </row>
    <row r="551" spans="1:30" ht="12.75" x14ac:dyDescent="0.2">
      <c r="A551" s="8"/>
      <c r="B551" s="8"/>
      <c r="C551" s="30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10"/>
      <c r="AC551" s="10"/>
      <c r="AD551" s="10"/>
    </row>
    <row r="552" spans="1:30" ht="12.75" x14ac:dyDescent="0.2">
      <c r="A552" s="8"/>
      <c r="B552" s="8"/>
      <c r="C552" s="30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10"/>
      <c r="AC552" s="10"/>
      <c r="AD552" s="10"/>
    </row>
    <row r="553" spans="1:30" ht="12.75" x14ac:dyDescent="0.2">
      <c r="A553" s="8"/>
      <c r="B553" s="8"/>
      <c r="C553" s="30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10"/>
      <c r="AC553" s="10"/>
      <c r="AD553" s="10"/>
    </row>
    <row r="554" spans="1:30" ht="12.75" x14ac:dyDescent="0.2">
      <c r="A554" s="8"/>
      <c r="B554" s="8"/>
      <c r="C554" s="30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10"/>
      <c r="AC554" s="10"/>
      <c r="AD554" s="10"/>
    </row>
    <row r="555" spans="1:30" ht="12.75" x14ac:dyDescent="0.2">
      <c r="A555" s="8"/>
      <c r="B555" s="8"/>
      <c r="C555" s="30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10"/>
      <c r="AC555" s="10"/>
      <c r="AD555" s="10"/>
    </row>
    <row r="556" spans="1:30" ht="12.75" x14ac:dyDescent="0.2">
      <c r="A556" s="8"/>
      <c r="B556" s="8"/>
      <c r="C556" s="30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10"/>
      <c r="AC556" s="10"/>
      <c r="AD556" s="10"/>
    </row>
    <row r="557" spans="1:30" ht="12.75" x14ac:dyDescent="0.2">
      <c r="A557" s="8"/>
      <c r="B557" s="8"/>
      <c r="C557" s="30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10"/>
      <c r="AC557" s="10"/>
      <c r="AD557" s="10"/>
    </row>
    <row r="558" spans="1:30" ht="12.75" x14ac:dyDescent="0.2">
      <c r="A558" s="8"/>
      <c r="B558" s="8"/>
      <c r="C558" s="30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10"/>
      <c r="AC558" s="10"/>
      <c r="AD558" s="10"/>
    </row>
    <row r="559" spans="1:30" ht="12.75" x14ac:dyDescent="0.2">
      <c r="A559" s="8"/>
      <c r="B559" s="8"/>
      <c r="C559" s="30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10"/>
      <c r="AC559" s="10"/>
      <c r="AD559" s="10"/>
    </row>
    <row r="560" spans="1:30" ht="12.75" x14ac:dyDescent="0.2">
      <c r="A560" s="8"/>
      <c r="B560" s="8"/>
      <c r="C560" s="30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10"/>
      <c r="AC560" s="10"/>
      <c r="AD560" s="10"/>
    </row>
    <row r="561" spans="1:30" ht="12.75" x14ac:dyDescent="0.2">
      <c r="A561" s="8"/>
      <c r="B561" s="8"/>
      <c r="C561" s="30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10"/>
      <c r="AC561" s="10"/>
      <c r="AD561" s="10"/>
    </row>
    <row r="562" spans="1:30" ht="12.75" x14ac:dyDescent="0.2">
      <c r="A562" s="8"/>
      <c r="B562" s="8"/>
      <c r="C562" s="30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10"/>
      <c r="AC562" s="10"/>
      <c r="AD562" s="10"/>
    </row>
    <row r="563" spans="1:30" ht="12.75" x14ac:dyDescent="0.2">
      <c r="A563" s="8"/>
      <c r="B563" s="8"/>
      <c r="C563" s="30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10"/>
      <c r="AC563" s="10"/>
      <c r="AD563" s="10"/>
    </row>
    <row r="564" spans="1:30" ht="12.75" x14ac:dyDescent="0.2">
      <c r="A564" s="8"/>
      <c r="B564" s="8"/>
      <c r="C564" s="30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10"/>
      <c r="AC564" s="10"/>
      <c r="AD564" s="10"/>
    </row>
    <row r="565" spans="1:30" ht="12.75" x14ac:dyDescent="0.2">
      <c r="A565" s="8"/>
      <c r="B565" s="8"/>
      <c r="C565" s="30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10"/>
      <c r="AC565" s="10"/>
      <c r="AD565" s="10"/>
    </row>
    <row r="566" spans="1:30" ht="12.75" x14ac:dyDescent="0.2">
      <c r="A566" s="8"/>
      <c r="B566" s="8"/>
      <c r="C566" s="30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10"/>
      <c r="AC566" s="10"/>
      <c r="AD566" s="10"/>
    </row>
    <row r="567" spans="1:30" ht="12.75" x14ac:dyDescent="0.2">
      <c r="A567" s="8"/>
      <c r="B567" s="8"/>
      <c r="C567" s="30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10"/>
      <c r="AC567" s="10"/>
      <c r="AD567" s="10"/>
    </row>
    <row r="568" spans="1:30" ht="12.75" x14ac:dyDescent="0.2">
      <c r="A568" s="8"/>
      <c r="B568" s="8"/>
      <c r="C568" s="30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10"/>
      <c r="AC568" s="10"/>
      <c r="AD568" s="10"/>
    </row>
    <row r="569" spans="1:30" ht="12.75" x14ac:dyDescent="0.2">
      <c r="A569" s="8"/>
      <c r="B569" s="8"/>
      <c r="C569" s="30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10"/>
      <c r="AC569" s="10"/>
      <c r="AD569" s="10"/>
    </row>
    <row r="570" spans="1:30" ht="12.75" x14ac:dyDescent="0.2">
      <c r="A570" s="8"/>
      <c r="B570" s="8"/>
      <c r="C570" s="30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10"/>
      <c r="AC570" s="10"/>
      <c r="AD570" s="10"/>
    </row>
    <row r="571" spans="1:30" ht="12.75" x14ac:dyDescent="0.2">
      <c r="A571" s="8"/>
      <c r="B571" s="8"/>
      <c r="C571" s="30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10"/>
      <c r="AC571" s="10"/>
      <c r="AD571" s="10"/>
    </row>
    <row r="572" spans="1:30" ht="12.75" x14ac:dyDescent="0.2">
      <c r="A572" s="8"/>
      <c r="B572" s="8"/>
      <c r="C572" s="30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10"/>
      <c r="AC572" s="10"/>
      <c r="AD572" s="10"/>
    </row>
    <row r="573" spans="1:30" ht="12.75" x14ac:dyDescent="0.2">
      <c r="A573" s="8"/>
      <c r="B573" s="8"/>
      <c r="C573" s="30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10"/>
      <c r="AC573" s="10"/>
      <c r="AD573" s="10"/>
    </row>
    <row r="574" spans="1:30" ht="12.75" x14ac:dyDescent="0.2">
      <c r="A574" s="8"/>
      <c r="B574" s="8"/>
      <c r="C574" s="30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10"/>
      <c r="AC574" s="10"/>
      <c r="AD574" s="10"/>
    </row>
    <row r="575" spans="1:30" ht="12.75" x14ac:dyDescent="0.2">
      <c r="A575" s="8"/>
      <c r="B575" s="8"/>
      <c r="C575" s="30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10"/>
      <c r="AC575" s="10"/>
      <c r="AD575" s="10"/>
    </row>
    <row r="576" spans="1:30" ht="12.75" x14ac:dyDescent="0.2">
      <c r="A576" s="8"/>
      <c r="B576" s="8"/>
      <c r="C576" s="30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10"/>
      <c r="AC576" s="10"/>
      <c r="AD576" s="10"/>
    </row>
    <row r="577" spans="1:30" ht="12.75" x14ac:dyDescent="0.2">
      <c r="A577" s="8"/>
      <c r="B577" s="8"/>
      <c r="C577" s="30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10"/>
      <c r="AC577" s="10"/>
      <c r="AD577" s="10"/>
    </row>
    <row r="578" spans="1:30" ht="12.75" x14ac:dyDescent="0.2">
      <c r="A578" s="8"/>
      <c r="B578" s="8"/>
      <c r="C578" s="30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10"/>
      <c r="AC578" s="10"/>
      <c r="AD578" s="10"/>
    </row>
    <row r="579" spans="1:30" ht="12.75" x14ac:dyDescent="0.2">
      <c r="A579" s="8"/>
      <c r="B579" s="8"/>
      <c r="C579" s="30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10"/>
      <c r="AC579" s="10"/>
      <c r="AD579" s="10"/>
    </row>
    <row r="580" spans="1:30" ht="12.75" x14ac:dyDescent="0.2">
      <c r="A580" s="8"/>
      <c r="B580" s="8"/>
      <c r="C580" s="30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10"/>
      <c r="AC580" s="10"/>
      <c r="AD580" s="10"/>
    </row>
    <row r="581" spans="1:30" ht="12.75" x14ac:dyDescent="0.2">
      <c r="A581" s="8"/>
      <c r="B581" s="8"/>
      <c r="C581" s="30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10"/>
      <c r="AC581" s="10"/>
      <c r="AD581" s="10"/>
    </row>
    <row r="582" spans="1:30" ht="12.75" x14ac:dyDescent="0.2">
      <c r="A582" s="8"/>
      <c r="B582" s="8"/>
      <c r="C582" s="30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10"/>
      <c r="AC582" s="10"/>
      <c r="AD582" s="10"/>
    </row>
    <row r="583" spans="1:30" ht="12.75" x14ac:dyDescent="0.2">
      <c r="A583" s="8"/>
      <c r="B583" s="8"/>
      <c r="C583" s="30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10"/>
      <c r="AC583" s="10"/>
      <c r="AD583" s="10"/>
    </row>
    <row r="584" spans="1:30" ht="12.75" x14ac:dyDescent="0.2">
      <c r="A584" s="8"/>
      <c r="B584" s="8"/>
      <c r="C584" s="30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10"/>
      <c r="AC584" s="10"/>
      <c r="AD584" s="10"/>
    </row>
    <row r="585" spans="1:30" ht="12.75" x14ac:dyDescent="0.2">
      <c r="A585" s="8"/>
      <c r="B585" s="8"/>
      <c r="C585" s="30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10"/>
      <c r="AC585" s="10"/>
      <c r="AD585" s="10"/>
    </row>
    <row r="586" spans="1:30" ht="12.75" x14ac:dyDescent="0.2">
      <c r="A586" s="8"/>
      <c r="B586" s="8"/>
      <c r="C586" s="30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10"/>
      <c r="AC586" s="10"/>
      <c r="AD586" s="10"/>
    </row>
    <row r="587" spans="1:30" ht="12.75" x14ac:dyDescent="0.2">
      <c r="A587" s="8"/>
      <c r="B587" s="8"/>
      <c r="C587" s="30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10"/>
      <c r="AC587" s="10"/>
      <c r="AD587" s="10"/>
    </row>
    <row r="588" spans="1:30" ht="12.75" x14ac:dyDescent="0.2">
      <c r="A588" s="8"/>
      <c r="B588" s="8"/>
      <c r="C588" s="30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10"/>
      <c r="AC588" s="10"/>
      <c r="AD588" s="10"/>
    </row>
    <row r="589" spans="1:30" ht="12.75" x14ac:dyDescent="0.2">
      <c r="A589" s="8"/>
      <c r="B589" s="8"/>
      <c r="C589" s="30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10"/>
      <c r="AC589" s="10"/>
      <c r="AD589" s="10"/>
    </row>
    <row r="590" spans="1:30" ht="12.75" x14ac:dyDescent="0.2">
      <c r="A590" s="8"/>
      <c r="B590" s="8"/>
      <c r="C590" s="30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10"/>
      <c r="AC590" s="10"/>
      <c r="AD590" s="10"/>
    </row>
    <row r="591" spans="1:30" ht="12.75" x14ac:dyDescent="0.2">
      <c r="A591" s="8"/>
      <c r="B591" s="8"/>
      <c r="C591" s="30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10"/>
      <c r="AC591" s="10"/>
      <c r="AD591" s="10"/>
    </row>
    <row r="592" spans="1:30" ht="12.75" x14ac:dyDescent="0.2">
      <c r="A592" s="8"/>
      <c r="B592" s="8"/>
      <c r="C592" s="30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10"/>
      <c r="AC592" s="10"/>
      <c r="AD592" s="10"/>
    </row>
    <row r="593" spans="1:30" ht="12.75" x14ac:dyDescent="0.2">
      <c r="A593" s="8"/>
      <c r="B593" s="8"/>
      <c r="C593" s="30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10"/>
      <c r="AC593" s="10"/>
      <c r="AD593" s="10"/>
    </row>
    <row r="594" spans="1:30" ht="12.75" x14ac:dyDescent="0.2">
      <c r="A594" s="8"/>
      <c r="B594" s="8"/>
      <c r="C594" s="30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10"/>
      <c r="AC594" s="10"/>
      <c r="AD594" s="10"/>
    </row>
    <row r="595" spans="1:30" ht="12.75" x14ac:dyDescent="0.2">
      <c r="A595" s="8"/>
      <c r="B595" s="8"/>
      <c r="C595" s="30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10"/>
      <c r="AC595" s="10"/>
      <c r="AD595" s="10"/>
    </row>
    <row r="596" spans="1:30" ht="12.75" x14ac:dyDescent="0.2">
      <c r="A596" s="8"/>
      <c r="B596" s="8"/>
      <c r="C596" s="30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10"/>
      <c r="AC596" s="10"/>
      <c r="AD596" s="10"/>
    </row>
    <row r="597" spans="1:30" ht="12.75" x14ac:dyDescent="0.2">
      <c r="A597" s="8"/>
      <c r="B597" s="8"/>
      <c r="C597" s="30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10"/>
      <c r="AC597" s="10"/>
      <c r="AD597" s="10"/>
    </row>
    <row r="598" spans="1:30" ht="12.75" x14ac:dyDescent="0.2">
      <c r="A598" s="8"/>
      <c r="B598" s="8"/>
      <c r="C598" s="30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10"/>
      <c r="AC598" s="10"/>
      <c r="AD598" s="10"/>
    </row>
    <row r="599" spans="1:30" ht="12.75" x14ac:dyDescent="0.2">
      <c r="A599" s="8"/>
      <c r="B599" s="8"/>
      <c r="C599" s="30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10"/>
      <c r="AC599" s="10"/>
      <c r="AD599" s="10"/>
    </row>
    <row r="600" spans="1:30" ht="12.75" x14ac:dyDescent="0.2">
      <c r="A600" s="8"/>
      <c r="B600" s="8"/>
      <c r="C600" s="30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10"/>
      <c r="AC600" s="10"/>
      <c r="AD600" s="10"/>
    </row>
    <row r="601" spans="1:30" ht="12.75" x14ac:dyDescent="0.2">
      <c r="A601" s="8"/>
      <c r="B601" s="8"/>
      <c r="C601" s="30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10"/>
      <c r="AC601" s="10"/>
      <c r="AD601" s="10"/>
    </row>
    <row r="602" spans="1:30" ht="12.75" x14ac:dyDescent="0.2">
      <c r="A602" s="8"/>
      <c r="B602" s="8"/>
      <c r="C602" s="30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10"/>
      <c r="AC602" s="10"/>
      <c r="AD602" s="10"/>
    </row>
    <row r="603" spans="1:30" ht="12.75" x14ac:dyDescent="0.2">
      <c r="A603" s="8"/>
      <c r="B603" s="8"/>
      <c r="C603" s="30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10"/>
      <c r="AC603" s="10"/>
      <c r="AD603" s="10"/>
    </row>
    <row r="604" spans="1:30" ht="12.75" x14ac:dyDescent="0.2">
      <c r="A604" s="8"/>
      <c r="B604" s="8"/>
      <c r="C604" s="30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10"/>
      <c r="AC604" s="10"/>
      <c r="AD604" s="10"/>
    </row>
    <row r="605" spans="1:30" ht="12.75" x14ac:dyDescent="0.2">
      <c r="A605" s="8"/>
      <c r="B605" s="8"/>
      <c r="C605" s="30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10"/>
      <c r="AC605" s="10"/>
      <c r="AD605" s="10"/>
    </row>
    <row r="606" spans="1:30" ht="12.75" x14ac:dyDescent="0.2">
      <c r="A606" s="8"/>
      <c r="B606" s="8"/>
      <c r="C606" s="30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10"/>
      <c r="AC606" s="10"/>
      <c r="AD606" s="10"/>
    </row>
    <row r="607" spans="1:30" ht="12.75" x14ac:dyDescent="0.2">
      <c r="A607" s="8"/>
      <c r="B607" s="8"/>
      <c r="C607" s="30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10"/>
      <c r="AC607" s="10"/>
      <c r="AD607" s="10"/>
    </row>
    <row r="608" spans="1:30" ht="12.75" x14ac:dyDescent="0.2">
      <c r="A608" s="8"/>
      <c r="B608" s="8"/>
      <c r="C608" s="30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10"/>
      <c r="AC608" s="10"/>
      <c r="AD608" s="10"/>
    </row>
    <row r="609" spans="1:30" ht="12.75" x14ac:dyDescent="0.2">
      <c r="A609" s="8"/>
      <c r="B609" s="8"/>
      <c r="C609" s="30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10"/>
      <c r="AC609" s="10"/>
      <c r="AD609" s="10"/>
    </row>
    <row r="610" spans="1:30" ht="12.75" x14ac:dyDescent="0.2">
      <c r="A610" s="8"/>
      <c r="B610" s="8"/>
      <c r="C610" s="30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10"/>
      <c r="AC610" s="10"/>
      <c r="AD610" s="10"/>
    </row>
    <row r="611" spans="1:30" ht="12.75" x14ac:dyDescent="0.2">
      <c r="A611" s="8"/>
      <c r="B611" s="8"/>
      <c r="C611" s="30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10"/>
      <c r="AC611" s="10"/>
      <c r="AD611" s="10"/>
    </row>
    <row r="612" spans="1:30" ht="12.75" x14ac:dyDescent="0.2">
      <c r="A612" s="8"/>
      <c r="B612" s="8"/>
      <c r="C612" s="30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10"/>
      <c r="AC612" s="10"/>
      <c r="AD612" s="10"/>
    </row>
    <row r="613" spans="1:30" ht="12.75" x14ac:dyDescent="0.2">
      <c r="A613" s="8"/>
      <c r="B613" s="8"/>
      <c r="C613" s="30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10"/>
      <c r="AC613" s="10"/>
      <c r="AD613" s="10"/>
    </row>
    <row r="614" spans="1:30" ht="12.75" x14ac:dyDescent="0.2">
      <c r="A614" s="8"/>
      <c r="B614" s="8"/>
      <c r="C614" s="30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10"/>
      <c r="AC614" s="10"/>
      <c r="AD614" s="10"/>
    </row>
    <row r="615" spans="1:30" ht="12.75" x14ac:dyDescent="0.2">
      <c r="A615" s="8"/>
      <c r="B615" s="8"/>
      <c r="C615" s="30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10"/>
      <c r="AC615" s="10"/>
      <c r="AD615" s="10"/>
    </row>
    <row r="616" spans="1:30" ht="12.75" x14ac:dyDescent="0.2">
      <c r="A616" s="8"/>
      <c r="B616" s="8"/>
      <c r="C616" s="30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10"/>
      <c r="AC616" s="10"/>
      <c r="AD616" s="10"/>
    </row>
    <row r="617" spans="1:30" ht="12.75" x14ac:dyDescent="0.2">
      <c r="A617" s="8"/>
      <c r="B617" s="8"/>
      <c r="C617" s="30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10"/>
      <c r="AC617" s="10"/>
      <c r="AD617" s="10"/>
    </row>
    <row r="618" spans="1:30" ht="12.75" x14ac:dyDescent="0.2">
      <c r="A618" s="8"/>
      <c r="B618" s="8"/>
      <c r="C618" s="30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10"/>
      <c r="AC618" s="10"/>
      <c r="AD618" s="10"/>
    </row>
    <row r="619" spans="1:30" ht="12.75" x14ac:dyDescent="0.2">
      <c r="A619" s="8"/>
      <c r="B619" s="8"/>
      <c r="C619" s="30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10"/>
      <c r="AC619" s="10"/>
      <c r="AD619" s="10"/>
    </row>
    <row r="620" spans="1:30" ht="12.75" x14ac:dyDescent="0.2">
      <c r="A620" s="8"/>
      <c r="B620" s="8"/>
      <c r="C620" s="30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10"/>
      <c r="AC620" s="10"/>
      <c r="AD620" s="10"/>
    </row>
    <row r="621" spans="1:30" ht="12.75" x14ac:dyDescent="0.2">
      <c r="A621" s="8"/>
      <c r="B621" s="8"/>
      <c r="C621" s="30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10"/>
      <c r="AC621" s="10"/>
      <c r="AD621" s="10"/>
    </row>
    <row r="622" spans="1:30" ht="12.75" x14ac:dyDescent="0.2">
      <c r="A622" s="8"/>
      <c r="B622" s="8"/>
      <c r="C622" s="30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10"/>
      <c r="AC622" s="10"/>
      <c r="AD622" s="10"/>
    </row>
    <row r="623" spans="1:30" ht="12.75" x14ac:dyDescent="0.2">
      <c r="A623" s="8"/>
      <c r="B623" s="8"/>
      <c r="C623" s="30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10"/>
      <c r="AC623" s="10"/>
      <c r="AD623" s="10"/>
    </row>
    <row r="624" spans="1:30" ht="12.75" x14ac:dyDescent="0.2">
      <c r="A624" s="8"/>
      <c r="B624" s="8"/>
      <c r="C624" s="30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10"/>
      <c r="AC624" s="10"/>
      <c r="AD624" s="10"/>
    </row>
    <row r="625" spans="1:30" ht="12.75" x14ac:dyDescent="0.2">
      <c r="A625" s="8"/>
      <c r="B625" s="8"/>
      <c r="C625" s="30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10"/>
      <c r="AC625" s="10"/>
      <c r="AD625" s="10"/>
    </row>
    <row r="626" spans="1:30" ht="12.75" x14ac:dyDescent="0.2">
      <c r="A626" s="8"/>
      <c r="B626" s="8"/>
      <c r="C626" s="30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10"/>
      <c r="AC626" s="10"/>
      <c r="AD626" s="10"/>
    </row>
    <row r="627" spans="1:30" ht="12.75" x14ac:dyDescent="0.2">
      <c r="A627" s="8"/>
      <c r="B627" s="8"/>
      <c r="C627" s="30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10"/>
      <c r="AC627" s="10"/>
      <c r="AD627" s="10"/>
    </row>
    <row r="628" spans="1:30" ht="12.75" x14ac:dyDescent="0.2">
      <c r="A628" s="8"/>
      <c r="B628" s="8"/>
      <c r="C628" s="30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10"/>
      <c r="AC628" s="10"/>
      <c r="AD628" s="10"/>
    </row>
    <row r="629" spans="1:30" ht="12.75" x14ac:dyDescent="0.2">
      <c r="A629" s="8"/>
      <c r="B629" s="8"/>
      <c r="C629" s="30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10"/>
      <c r="AC629" s="10"/>
      <c r="AD629" s="10"/>
    </row>
    <row r="630" spans="1:30" ht="12.75" x14ac:dyDescent="0.2">
      <c r="A630" s="8"/>
      <c r="B630" s="8"/>
      <c r="C630" s="30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10"/>
      <c r="AC630" s="10"/>
      <c r="AD630" s="10"/>
    </row>
    <row r="631" spans="1:30" ht="12.75" x14ac:dyDescent="0.2">
      <c r="A631" s="8"/>
      <c r="B631" s="8"/>
      <c r="C631" s="30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10"/>
      <c r="AC631" s="10"/>
      <c r="AD631" s="10"/>
    </row>
    <row r="632" spans="1:30" ht="12.75" x14ac:dyDescent="0.2">
      <c r="A632" s="8"/>
      <c r="B632" s="8"/>
      <c r="C632" s="30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10"/>
      <c r="AC632" s="10"/>
      <c r="AD632" s="10"/>
    </row>
    <row r="633" spans="1:30" ht="12.75" x14ac:dyDescent="0.2">
      <c r="A633" s="8"/>
      <c r="B633" s="8"/>
      <c r="C633" s="30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10"/>
      <c r="AC633" s="10"/>
      <c r="AD633" s="10"/>
    </row>
    <row r="634" spans="1:30" ht="12.75" x14ac:dyDescent="0.2">
      <c r="A634" s="8"/>
      <c r="B634" s="8"/>
      <c r="C634" s="30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10"/>
      <c r="AC634" s="10"/>
      <c r="AD634" s="10"/>
    </row>
    <row r="635" spans="1:30" ht="12.75" x14ac:dyDescent="0.2">
      <c r="A635" s="8"/>
      <c r="B635" s="8"/>
      <c r="C635" s="30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10"/>
      <c r="AC635" s="10"/>
      <c r="AD635" s="10"/>
    </row>
    <row r="636" spans="1:30" ht="12.75" x14ac:dyDescent="0.2">
      <c r="A636" s="8"/>
      <c r="B636" s="8"/>
      <c r="C636" s="30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10"/>
      <c r="AC636" s="10"/>
      <c r="AD636" s="10"/>
    </row>
    <row r="637" spans="1:30" ht="12.75" x14ac:dyDescent="0.2">
      <c r="A637" s="8"/>
      <c r="B637" s="8"/>
      <c r="C637" s="30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10"/>
      <c r="AC637" s="10"/>
      <c r="AD637" s="10"/>
    </row>
    <row r="638" spans="1:30" ht="12.75" x14ac:dyDescent="0.2">
      <c r="A638" s="8"/>
      <c r="B638" s="8"/>
      <c r="C638" s="30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10"/>
      <c r="AC638" s="10"/>
      <c r="AD638" s="10"/>
    </row>
    <row r="639" spans="1:30" ht="12.75" x14ac:dyDescent="0.2">
      <c r="A639" s="8"/>
      <c r="B639" s="8"/>
      <c r="C639" s="30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10"/>
      <c r="AC639" s="10"/>
      <c r="AD639" s="10"/>
    </row>
    <row r="640" spans="1:30" ht="12.75" x14ac:dyDescent="0.2">
      <c r="A640" s="8"/>
      <c r="B640" s="8"/>
      <c r="C640" s="30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10"/>
      <c r="AC640" s="10"/>
      <c r="AD640" s="10"/>
    </row>
    <row r="641" spans="1:30" ht="12.75" x14ac:dyDescent="0.2">
      <c r="A641" s="8"/>
      <c r="B641" s="8"/>
      <c r="C641" s="30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10"/>
      <c r="AC641" s="10"/>
      <c r="AD641" s="10"/>
    </row>
    <row r="642" spans="1:30" ht="12.75" x14ac:dyDescent="0.2">
      <c r="A642" s="8"/>
      <c r="B642" s="8"/>
      <c r="C642" s="30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10"/>
      <c r="AC642" s="10"/>
      <c r="AD642" s="10"/>
    </row>
    <row r="643" spans="1:30" ht="12.75" x14ac:dyDescent="0.2">
      <c r="A643" s="8"/>
      <c r="B643" s="8"/>
      <c r="C643" s="30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10"/>
      <c r="AC643" s="10"/>
      <c r="AD643" s="10"/>
    </row>
    <row r="644" spans="1:30" ht="12.75" x14ac:dyDescent="0.2">
      <c r="A644" s="8"/>
      <c r="B644" s="8"/>
      <c r="C644" s="30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10"/>
      <c r="AC644" s="10"/>
      <c r="AD644" s="10"/>
    </row>
    <row r="645" spans="1:30" ht="12.75" x14ac:dyDescent="0.2">
      <c r="A645" s="8"/>
      <c r="B645" s="8"/>
      <c r="C645" s="30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10"/>
      <c r="AC645" s="10"/>
      <c r="AD645" s="10"/>
    </row>
    <row r="646" spans="1:30" ht="12.75" x14ac:dyDescent="0.2">
      <c r="A646" s="8"/>
      <c r="B646" s="8"/>
      <c r="C646" s="30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10"/>
      <c r="AC646" s="10"/>
      <c r="AD646" s="10"/>
    </row>
    <row r="647" spans="1:30" ht="12.75" x14ac:dyDescent="0.2">
      <c r="A647" s="8"/>
      <c r="B647" s="8"/>
      <c r="C647" s="30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10"/>
      <c r="AC647" s="10"/>
      <c r="AD647" s="10"/>
    </row>
    <row r="648" spans="1:30" ht="12.75" x14ac:dyDescent="0.2">
      <c r="A648" s="8"/>
      <c r="B648" s="8"/>
      <c r="C648" s="30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10"/>
      <c r="AC648" s="10"/>
      <c r="AD648" s="10"/>
    </row>
    <row r="649" spans="1:30" ht="12.75" x14ac:dyDescent="0.2">
      <c r="A649" s="8"/>
      <c r="B649" s="8"/>
      <c r="C649" s="30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10"/>
      <c r="AC649" s="10"/>
      <c r="AD649" s="10"/>
    </row>
    <row r="650" spans="1:30" ht="12.75" x14ac:dyDescent="0.2">
      <c r="A650" s="8"/>
      <c r="B650" s="8"/>
      <c r="C650" s="30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10"/>
      <c r="AC650" s="10"/>
      <c r="AD650" s="10"/>
    </row>
    <row r="651" spans="1:30" ht="12.75" x14ac:dyDescent="0.2">
      <c r="A651" s="8"/>
      <c r="B651" s="8"/>
      <c r="C651" s="30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10"/>
      <c r="AC651" s="10"/>
      <c r="AD651" s="10"/>
    </row>
    <row r="652" spans="1:30" ht="12.75" x14ac:dyDescent="0.2">
      <c r="A652" s="8"/>
      <c r="B652" s="8"/>
      <c r="C652" s="30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10"/>
      <c r="AC652" s="10"/>
      <c r="AD652" s="10"/>
    </row>
    <row r="653" spans="1:30" ht="12.75" x14ac:dyDescent="0.2">
      <c r="A653" s="8"/>
      <c r="B653" s="8"/>
      <c r="C653" s="30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10"/>
      <c r="AC653" s="10"/>
      <c r="AD653" s="10"/>
    </row>
    <row r="654" spans="1:30" ht="12.75" x14ac:dyDescent="0.2">
      <c r="A654" s="8"/>
      <c r="B654" s="8"/>
      <c r="C654" s="30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10"/>
      <c r="AC654" s="10"/>
      <c r="AD654" s="10"/>
    </row>
    <row r="655" spans="1:30" ht="12.75" x14ac:dyDescent="0.2">
      <c r="A655" s="8"/>
      <c r="B655" s="8"/>
      <c r="C655" s="30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10"/>
      <c r="AC655" s="10"/>
      <c r="AD655" s="10"/>
    </row>
    <row r="656" spans="1:30" ht="12.75" x14ac:dyDescent="0.2">
      <c r="A656" s="8"/>
      <c r="B656" s="8"/>
      <c r="C656" s="30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10"/>
      <c r="AC656" s="10"/>
      <c r="AD656" s="10"/>
    </row>
    <row r="657" spans="1:30" ht="12.75" x14ac:dyDescent="0.2">
      <c r="A657" s="8"/>
      <c r="B657" s="8"/>
      <c r="C657" s="30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10"/>
      <c r="AC657" s="10"/>
      <c r="AD657" s="10"/>
    </row>
    <row r="658" spans="1:30" ht="12.75" x14ac:dyDescent="0.2">
      <c r="A658" s="8"/>
      <c r="B658" s="8"/>
      <c r="C658" s="30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10"/>
      <c r="AC658" s="10"/>
      <c r="AD658" s="10"/>
    </row>
    <row r="659" spans="1:30" ht="12.75" x14ac:dyDescent="0.2">
      <c r="A659" s="8"/>
      <c r="B659" s="8"/>
      <c r="C659" s="30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10"/>
      <c r="AC659" s="10"/>
      <c r="AD659" s="10"/>
    </row>
    <row r="660" spans="1:30" ht="12.75" x14ac:dyDescent="0.2">
      <c r="A660" s="8"/>
      <c r="B660" s="8"/>
      <c r="C660" s="30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10"/>
      <c r="AC660" s="10"/>
      <c r="AD660" s="10"/>
    </row>
    <row r="661" spans="1:30" ht="12.75" x14ac:dyDescent="0.2">
      <c r="A661" s="8"/>
      <c r="B661" s="8"/>
      <c r="C661" s="30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10"/>
      <c r="AC661" s="10"/>
      <c r="AD661" s="10"/>
    </row>
    <row r="662" spans="1:30" ht="12.75" x14ac:dyDescent="0.2">
      <c r="A662" s="8"/>
      <c r="B662" s="8"/>
      <c r="C662" s="30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10"/>
      <c r="AC662" s="10"/>
      <c r="AD662" s="10"/>
    </row>
    <row r="663" spans="1:30" ht="12.75" x14ac:dyDescent="0.2">
      <c r="A663" s="8"/>
      <c r="B663" s="8"/>
      <c r="C663" s="30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10"/>
      <c r="AC663" s="10"/>
      <c r="AD663" s="10"/>
    </row>
    <row r="664" spans="1:30" ht="12.75" x14ac:dyDescent="0.2">
      <c r="A664" s="8"/>
      <c r="B664" s="8"/>
      <c r="C664" s="30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10"/>
      <c r="AC664" s="10"/>
      <c r="AD664" s="10"/>
    </row>
    <row r="665" spans="1:30" ht="12.75" x14ac:dyDescent="0.2">
      <c r="A665" s="8"/>
      <c r="B665" s="8"/>
      <c r="C665" s="30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10"/>
      <c r="AC665" s="10"/>
      <c r="AD665" s="10"/>
    </row>
    <row r="666" spans="1:30" ht="12.75" x14ac:dyDescent="0.2">
      <c r="A666" s="8"/>
      <c r="B666" s="8"/>
      <c r="C666" s="30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10"/>
      <c r="AC666" s="10"/>
      <c r="AD666" s="10"/>
    </row>
    <row r="667" spans="1:30" ht="12.75" x14ac:dyDescent="0.2">
      <c r="A667" s="8"/>
      <c r="B667" s="8"/>
      <c r="C667" s="30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10"/>
      <c r="AC667" s="10"/>
      <c r="AD667" s="10"/>
    </row>
    <row r="668" spans="1:30" ht="12.75" x14ac:dyDescent="0.2">
      <c r="A668" s="8"/>
      <c r="B668" s="8"/>
      <c r="C668" s="30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10"/>
      <c r="AC668" s="10"/>
      <c r="AD668" s="10"/>
    </row>
    <row r="669" spans="1:30" ht="12.75" x14ac:dyDescent="0.2">
      <c r="A669" s="8"/>
      <c r="B669" s="8"/>
      <c r="C669" s="30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10"/>
      <c r="AC669" s="10"/>
      <c r="AD669" s="10"/>
    </row>
    <row r="670" spans="1:30" ht="12.75" x14ac:dyDescent="0.2">
      <c r="A670" s="8"/>
      <c r="B670" s="8"/>
      <c r="C670" s="30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10"/>
      <c r="AC670" s="10"/>
      <c r="AD670" s="10"/>
    </row>
    <row r="671" spans="1:30" ht="12.75" x14ac:dyDescent="0.2">
      <c r="A671" s="8"/>
      <c r="B671" s="8"/>
      <c r="C671" s="30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10"/>
      <c r="AC671" s="10"/>
      <c r="AD671" s="10"/>
    </row>
    <row r="672" spans="1:30" ht="12.75" x14ac:dyDescent="0.2">
      <c r="A672" s="8"/>
      <c r="B672" s="8"/>
      <c r="C672" s="30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10"/>
      <c r="AC672" s="10"/>
      <c r="AD672" s="10"/>
    </row>
    <row r="673" spans="1:30" ht="12.75" x14ac:dyDescent="0.2">
      <c r="A673" s="8"/>
      <c r="B673" s="8"/>
      <c r="C673" s="30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10"/>
      <c r="AC673" s="10"/>
      <c r="AD673" s="10"/>
    </row>
    <row r="674" spans="1:30" ht="12.75" x14ac:dyDescent="0.2">
      <c r="A674" s="8"/>
      <c r="B674" s="8"/>
      <c r="C674" s="30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10"/>
      <c r="AC674" s="10"/>
      <c r="AD674" s="10"/>
    </row>
    <row r="675" spans="1:30" ht="12.75" x14ac:dyDescent="0.2">
      <c r="A675" s="8"/>
      <c r="B675" s="8"/>
      <c r="C675" s="30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10"/>
      <c r="AC675" s="10"/>
      <c r="AD675" s="10"/>
    </row>
    <row r="676" spans="1:30" ht="12.75" x14ac:dyDescent="0.2">
      <c r="A676" s="8"/>
      <c r="B676" s="8"/>
      <c r="C676" s="30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10"/>
      <c r="AC676" s="10"/>
      <c r="AD676" s="10"/>
    </row>
    <row r="677" spans="1:30" ht="12.75" x14ac:dyDescent="0.2">
      <c r="A677" s="8"/>
      <c r="B677" s="8"/>
      <c r="C677" s="30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10"/>
      <c r="AC677" s="10"/>
      <c r="AD677" s="10"/>
    </row>
    <row r="678" spans="1:30" ht="12.75" x14ac:dyDescent="0.2">
      <c r="A678" s="8"/>
      <c r="B678" s="8"/>
      <c r="C678" s="30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10"/>
      <c r="AC678" s="10"/>
      <c r="AD678" s="10"/>
    </row>
    <row r="679" spans="1:30" ht="12.75" x14ac:dyDescent="0.2">
      <c r="A679" s="8"/>
      <c r="B679" s="8"/>
      <c r="C679" s="30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10"/>
      <c r="AC679" s="10"/>
      <c r="AD679" s="10"/>
    </row>
    <row r="680" spans="1:30" ht="12.75" x14ac:dyDescent="0.2">
      <c r="A680" s="8"/>
      <c r="B680" s="8"/>
      <c r="C680" s="30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10"/>
      <c r="AC680" s="10"/>
      <c r="AD680" s="10"/>
    </row>
    <row r="681" spans="1:30" ht="12.75" x14ac:dyDescent="0.2">
      <c r="A681" s="8"/>
      <c r="B681" s="8"/>
      <c r="C681" s="30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10"/>
      <c r="AC681" s="10"/>
      <c r="AD681" s="10"/>
    </row>
    <row r="682" spans="1:30" ht="12.75" x14ac:dyDescent="0.2">
      <c r="A682" s="8"/>
      <c r="B682" s="8"/>
      <c r="C682" s="30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10"/>
      <c r="AC682" s="10"/>
      <c r="AD682" s="10"/>
    </row>
    <row r="683" spans="1:30" ht="12.75" x14ac:dyDescent="0.2">
      <c r="A683" s="8"/>
      <c r="B683" s="8"/>
      <c r="C683" s="30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10"/>
      <c r="AC683" s="10"/>
      <c r="AD683" s="10"/>
    </row>
    <row r="684" spans="1:30" ht="12.75" x14ac:dyDescent="0.2">
      <c r="A684" s="8"/>
      <c r="B684" s="8"/>
      <c r="C684" s="30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10"/>
      <c r="AC684" s="10"/>
      <c r="AD684" s="10"/>
    </row>
    <row r="685" spans="1:30" ht="12.75" x14ac:dyDescent="0.2">
      <c r="A685" s="8"/>
      <c r="B685" s="8"/>
      <c r="C685" s="30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10"/>
      <c r="AC685" s="10"/>
      <c r="AD685" s="10"/>
    </row>
    <row r="686" spans="1:30" ht="12.75" x14ac:dyDescent="0.2">
      <c r="A686" s="8"/>
      <c r="B686" s="8"/>
      <c r="C686" s="30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10"/>
      <c r="AC686" s="10"/>
      <c r="AD686" s="10"/>
    </row>
    <row r="687" spans="1:30" ht="12.75" x14ac:dyDescent="0.2">
      <c r="A687" s="8"/>
      <c r="B687" s="8"/>
      <c r="C687" s="30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10"/>
      <c r="AC687" s="10"/>
      <c r="AD687" s="10"/>
    </row>
    <row r="688" spans="1:30" ht="12.75" x14ac:dyDescent="0.2">
      <c r="A688" s="8"/>
      <c r="B688" s="8"/>
      <c r="C688" s="30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10"/>
      <c r="AC688" s="10"/>
      <c r="AD688" s="10"/>
    </row>
    <row r="689" spans="1:30" ht="12.75" x14ac:dyDescent="0.2">
      <c r="A689" s="8"/>
      <c r="B689" s="8"/>
      <c r="C689" s="30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10"/>
      <c r="AC689" s="10"/>
      <c r="AD689" s="10"/>
    </row>
    <row r="690" spans="1:30" ht="12.75" x14ac:dyDescent="0.2">
      <c r="A690" s="8"/>
      <c r="B690" s="8"/>
      <c r="C690" s="30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10"/>
      <c r="AC690" s="10"/>
      <c r="AD690" s="10"/>
    </row>
    <row r="691" spans="1:30" ht="12.75" x14ac:dyDescent="0.2">
      <c r="A691" s="8"/>
      <c r="B691" s="8"/>
      <c r="C691" s="30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10"/>
      <c r="AC691" s="10"/>
      <c r="AD691" s="10"/>
    </row>
    <row r="692" spans="1:30" ht="12.75" x14ac:dyDescent="0.2">
      <c r="A692" s="8"/>
      <c r="B692" s="8"/>
      <c r="C692" s="30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10"/>
      <c r="AC692" s="10"/>
      <c r="AD692" s="10"/>
    </row>
    <row r="693" spans="1:30" ht="12.75" x14ac:dyDescent="0.2">
      <c r="A693" s="8"/>
      <c r="B693" s="8"/>
      <c r="C693" s="30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10"/>
      <c r="AC693" s="10"/>
      <c r="AD693" s="10"/>
    </row>
    <row r="694" spans="1:30" ht="12.75" x14ac:dyDescent="0.2">
      <c r="A694" s="8"/>
      <c r="B694" s="8"/>
      <c r="C694" s="30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10"/>
      <c r="AC694" s="10"/>
      <c r="AD694" s="10"/>
    </row>
    <row r="695" spans="1:30" ht="12.75" x14ac:dyDescent="0.2">
      <c r="A695" s="8"/>
      <c r="B695" s="8"/>
      <c r="C695" s="30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10"/>
      <c r="AC695" s="10"/>
      <c r="AD695" s="10"/>
    </row>
    <row r="696" spans="1:30" ht="12.75" x14ac:dyDescent="0.2">
      <c r="A696" s="8"/>
      <c r="B696" s="8"/>
      <c r="C696" s="30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10"/>
      <c r="AC696" s="10"/>
      <c r="AD696" s="10"/>
    </row>
    <row r="697" spans="1:30" ht="12.75" x14ac:dyDescent="0.2">
      <c r="A697" s="8"/>
      <c r="B697" s="8"/>
      <c r="C697" s="30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10"/>
      <c r="AC697" s="10"/>
      <c r="AD697" s="10"/>
    </row>
    <row r="698" spans="1:30" ht="12.75" x14ac:dyDescent="0.2">
      <c r="A698" s="8"/>
      <c r="B698" s="8"/>
      <c r="C698" s="30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10"/>
      <c r="AC698" s="10"/>
      <c r="AD698" s="10"/>
    </row>
    <row r="699" spans="1:30" ht="12.75" x14ac:dyDescent="0.2">
      <c r="A699" s="8"/>
      <c r="B699" s="8"/>
      <c r="C699" s="30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10"/>
      <c r="AC699" s="10"/>
      <c r="AD699" s="10"/>
    </row>
    <row r="700" spans="1:30" ht="12.75" x14ac:dyDescent="0.2">
      <c r="A700" s="8"/>
      <c r="B700" s="8"/>
      <c r="C700" s="30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10"/>
      <c r="AC700" s="10"/>
      <c r="AD700" s="10"/>
    </row>
    <row r="701" spans="1:30" ht="12.75" x14ac:dyDescent="0.2">
      <c r="A701" s="8"/>
      <c r="B701" s="8"/>
      <c r="C701" s="30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10"/>
      <c r="AC701" s="10"/>
      <c r="AD701" s="10"/>
    </row>
    <row r="702" spans="1:30" ht="12.75" x14ac:dyDescent="0.2">
      <c r="A702" s="8"/>
      <c r="B702" s="8"/>
      <c r="C702" s="30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10"/>
      <c r="AC702" s="10"/>
      <c r="AD702" s="10"/>
    </row>
    <row r="703" spans="1:30" ht="12.75" x14ac:dyDescent="0.2">
      <c r="A703" s="8"/>
      <c r="B703" s="8"/>
      <c r="C703" s="30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10"/>
      <c r="AC703" s="10"/>
      <c r="AD703" s="10"/>
    </row>
    <row r="704" spans="1:30" ht="12.75" x14ac:dyDescent="0.2">
      <c r="A704" s="8"/>
      <c r="B704" s="8"/>
      <c r="C704" s="30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10"/>
      <c r="AC704" s="10"/>
      <c r="AD704" s="10"/>
    </row>
    <row r="705" spans="1:30" ht="12.75" x14ac:dyDescent="0.2">
      <c r="A705" s="8"/>
      <c r="B705" s="8"/>
      <c r="C705" s="30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10"/>
      <c r="AC705" s="10"/>
      <c r="AD705" s="10"/>
    </row>
    <row r="706" spans="1:30" ht="12.75" x14ac:dyDescent="0.2">
      <c r="A706" s="8"/>
      <c r="B706" s="8"/>
      <c r="C706" s="30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10"/>
      <c r="AC706" s="10"/>
      <c r="AD706" s="10"/>
    </row>
    <row r="707" spans="1:30" ht="12.75" x14ac:dyDescent="0.2">
      <c r="A707" s="8"/>
      <c r="B707" s="8"/>
      <c r="C707" s="30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10"/>
      <c r="AC707" s="10"/>
      <c r="AD707" s="10"/>
    </row>
    <row r="708" spans="1:30" ht="12.75" x14ac:dyDescent="0.2">
      <c r="A708" s="8"/>
      <c r="B708" s="8"/>
      <c r="C708" s="30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10"/>
      <c r="AC708" s="10"/>
      <c r="AD708" s="10"/>
    </row>
    <row r="709" spans="1:30" ht="12.75" x14ac:dyDescent="0.2">
      <c r="A709" s="8"/>
      <c r="B709" s="8"/>
      <c r="C709" s="30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10"/>
      <c r="AC709" s="10"/>
      <c r="AD709" s="10"/>
    </row>
    <row r="710" spans="1:30" ht="12.75" x14ac:dyDescent="0.2">
      <c r="A710" s="8"/>
      <c r="B710" s="8"/>
      <c r="C710" s="30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10"/>
      <c r="AC710" s="10"/>
      <c r="AD710" s="10"/>
    </row>
    <row r="711" spans="1:30" ht="12.75" x14ac:dyDescent="0.2">
      <c r="A711" s="8"/>
      <c r="B711" s="8"/>
      <c r="C711" s="30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10"/>
      <c r="AC711" s="10"/>
      <c r="AD711" s="10"/>
    </row>
    <row r="712" spans="1:30" ht="12.75" x14ac:dyDescent="0.2">
      <c r="A712" s="8"/>
      <c r="B712" s="8"/>
      <c r="C712" s="30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10"/>
      <c r="AC712" s="10"/>
      <c r="AD712" s="10"/>
    </row>
    <row r="713" spans="1:30" ht="12.75" x14ac:dyDescent="0.2">
      <c r="A713" s="8"/>
      <c r="B713" s="8"/>
      <c r="C713" s="30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10"/>
      <c r="AC713" s="10"/>
      <c r="AD713" s="10"/>
    </row>
    <row r="714" spans="1:30" ht="12.75" x14ac:dyDescent="0.2">
      <c r="A714" s="8"/>
      <c r="B714" s="8"/>
      <c r="C714" s="30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10"/>
      <c r="AC714" s="10"/>
      <c r="AD714" s="10"/>
    </row>
    <row r="715" spans="1:30" ht="12.75" x14ac:dyDescent="0.2">
      <c r="A715" s="8"/>
      <c r="B715" s="8"/>
      <c r="C715" s="30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10"/>
      <c r="AC715" s="10"/>
      <c r="AD715" s="10"/>
    </row>
    <row r="716" spans="1:30" ht="12.75" x14ac:dyDescent="0.2">
      <c r="A716" s="8"/>
      <c r="B716" s="8"/>
      <c r="C716" s="30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10"/>
      <c r="AC716" s="10"/>
      <c r="AD716" s="10"/>
    </row>
    <row r="717" spans="1:30" ht="12.75" x14ac:dyDescent="0.2">
      <c r="A717" s="8"/>
      <c r="B717" s="8"/>
      <c r="C717" s="30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10"/>
      <c r="AC717" s="10"/>
      <c r="AD717" s="10"/>
    </row>
    <row r="718" spans="1:30" ht="12.75" x14ac:dyDescent="0.2">
      <c r="A718" s="8"/>
      <c r="B718" s="8"/>
      <c r="C718" s="30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10"/>
      <c r="AC718" s="10"/>
      <c r="AD718" s="10"/>
    </row>
    <row r="719" spans="1:30" ht="12.75" x14ac:dyDescent="0.2">
      <c r="A719" s="8"/>
      <c r="B719" s="8"/>
      <c r="C719" s="30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10"/>
      <c r="AC719" s="10"/>
      <c r="AD719" s="10"/>
    </row>
    <row r="720" spans="1:30" ht="12.75" x14ac:dyDescent="0.2">
      <c r="A720" s="8"/>
      <c r="B720" s="8"/>
      <c r="C720" s="30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10"/>
      <c r="AC720" s="10"/>
      <c r="AD720" s="10"/>
    </row>
    <row r="721" spans="1:30" ht="12.75" x14ac:dyDescent="0.2">
      <c r="A721" s="8"/>
      <c r="B721" s="8"/>
      <c r="C721" s="30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10"/>
      <c r="AC721" s="10"/>
      <c r="AD721" s="10"/>
    </row>
    <row r="722" spans="1:30" ht="12.75" x14ac:dyDescent="0.2">
      <c r="A722" s="8"/>
      <c r="B722" s="8"/>
      <c r="C722" s="30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10"/>
      <c r="AC722" s="10"/>
      <c r="AD722" s="10"/>
    </row>
    <row r="723" spans="1:30" ht="12.75" x14ac:dyDescent="0.2">
      <c r="A723" s="8"/>
      <c r="B723" s="8"/>
      <c r="C723" s="30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10"/>
      <c r="AC723" s="10"/>
      <c r="AD723" s="10"/>
    </row>
    <row r="724" spans="1:30" ht="12.75" x14ac:dyDescent="0.2">
      <c r="A724" s="8"/>
      <c r="B724" s="8"/>
      <c r="C724" s="30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10"/>
      <c r="AC724" s="10"/>
      <c r="AD724" s="10"/>
    </row>
    <row r="725" spans="1:30" ht="12.75" x14ac:dyDescent="0.2">
      <c r="A725" s="8"/>
      <c r="B725" s="8"/>
      <c r="C725" s="30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10"/>
      <c r="AC725" s="10"/>
      <c r="AD725" s="10"/>
    </row>
    <row r="726" spans="1:30" ht="12.75" x14ac:dyDescent="0.2">
      <c r="A726" s="8"/>
      <c r="B726" s="8"/>
      <c r="C726" s="30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10"/>
      <c r="AC726" s="10"/>
      <c r="AD726" s="10"/>
    </row>
    <row r="727" spans="1:30" ht="12.75" x14ac:dyDescent="0.2">
      <c r="A727" s="8"/>
      <c r="B727" s="8"/>
      <c r="C727" s="30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10"/>
      <c r="AC727" s="10"/>
      <c r="AD727" s="10"/>
    </row>
    <row r="728" spans="1:30" ht="12.75" x14ac:dyDescent="0.2">
      <c r="A728" s="8"/>
      <c r="B728" s="8"/>
      <c r="C728" s="30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10"/>
      <c r="AC728" s="10"/>
      <c r="AD728" s="10"/>
    </row>
    <row r="729" spans="1:30" ht="12.75" x14ac:dyDescent="0.2">
      <c r="A729" s="8"/>
      <c r="B729" s="8"/>
      <c r="C729" s="30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10"/>
      <c r="AC729" s="10"/>
      <c r="AD729" s="10"/>
    </row>
    <row r="730" spans="1:30" ht="12.75" x14ac:dyDescent="0.2">
      <c r="A730" s="8"/>
      <c r="B730" s="8"/>
      <c r="C730" s="30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10"/>
      <c r="AC730" s="10"/>
      <c r="AD730" s="10"/>
    </row>
    <row r="731" spans="1:30" ht="12.75" x14ac:dyDescent="0.2">
      <c r="A731" s="8"/>
      <c r="B731" s="8"/>
      <c r="C731" s="30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10"/>
      <c r="AC731" s="10"/>
      <c r="AD731" s="10"/>
    </row>
    <row r="732" spans="1:30" ht="12.75" x14ac:dyDescent="0.2">
      <c r="A732" s="8"/>
      <c r="B732" s="8"/>
      <c r="C732" s="30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10"/>
      <c r="AC732" s="10"/>
      <c r="AD732" s="10"/>
    </row>
    <row r="733" spans="1:30" ht="12.75" x14ac:dyDescent="0.2">
      <c r="A733" s="8"/>
      <c r="B733" s="8"/>
      <c r="C733" s="30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10"/>
      <c r="AC733" s="10"/>
      <c r="AD733" s="10"/>
    </row>
    <row r="734" spans="1:30" ht="12.75" x14ac:dyDescent="0.2">
      <c r="A734" s="8"/>
      <c r="B734" s="8"/>
      <c r="C734" s="30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10"/>
      <c r="AC734" s="10"/>
      <c r="AD734" s="10"/>
    </row>
    <row r="735" spans="1:30" ht="12.75" x14ac:dyDescent="0.2">
      <c r="A735" s="8"/>
      <c r="B735" s="8"/>
      <c r="C735" s="30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10"/>
      <c r="AC735" s="10"/>
      <c r="AD735" s="10"/>
    </row>
    <row r="736" spans="1:30" ht="12.75" x14ac:dyDescent="0.2">
      <c r="A736" s="8"/>
      <c r="B736" s="8"/>
      <c r="C736" s="30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10"/>
      <c r="AC736" s="10"/>
      <c r="AD736" s="10"/>
    </row>
    <row r="737" spans="1:30" ht="12.75" x14ac:dyDescent="0.2">
      <c r="A737" s="8"/>
      <c r="B737" s="8"/>
      <c r="C737" s="30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10"/>
      <c r="AC737" s="10"/>
      <c r="AD737" s="10"/>
    </row>
    <row r="738" spans="1:30" ht="12.75" x14ac:dyDescent="0.2">
      <c r="A738" s="8"/>
      <c r="B738" s="8"/>
      <c r="C738" s="30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10"/>
      <c r="AC738" s="10"/>
      <c r="AD738" s="10"/>
    </row>
    <row r="739" spans="1:30" ht="12.75" x14ac:dyDescent="0.2">
      <c r="A739" s="8"/>
      <c r="B739" s="8"/>
      <c r="C739" s="30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10"/>
      <c r="AC739" s="10"/>
      <c r="AD739" s="10"/>
    </row>
    <row r="740" spans="1:30" ht="12.75" x14ac:dyDescent="0.2">
      <c r="A740" s="8"/>
      <c r="B740" s="8"/>
      <c r="C740" s="30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10"/>
      <c r="AC740" s="10"/>
      <c r="AD740" s="10"/>
    </row>
    <row r="741" spans="1:30" ht="12.75" x14ac:dyDescent="0.2">
      <c r="A741" s="8"/>
      <c r="B741" s="8"/>
      <c r="C741" s="30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10"/>
      <c r="AC741" s="10"/>
      <c r="AD741" s="10"/>
    </row>
    <row r="742" spans="1:30" ht="12.75" x14ac:dyDescent="0.2">
      <c r="A742" s="8"/>
      <c r="B742" s="8"/>
      <c r="C742" s="30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10"/>
      <c r="AC742" s="10"/>
      <c r="AD742" s="10"/>
    </row>
    <row r="743" spans="1:30" ht="12.75" x14ac:dyDescent="0.2">
      <c r="A743" s="8"/>
      <c r="B743" s="8"/>
      <c r="C743" s="30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10"/>
      <c r="AC743" s="10"/>
      <c r="AD743" s="10"/>
    </row>
    <row r="744" spans="1:30" ht="12.75" x14ac:dyDescent="0.2">
      <c r="A744" s="8"/>
      <c r="B744" s="8"/>
      <c r="C744" s="30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10"/>
      <c r="AC744" s="10"/>
      <c r="AD744" s="10"/>
    </row>
    <row r="745" spans="1:30" ht="12.75" x14ac:dyDescent="0.2">
      <c r="A745" s="8"/>
      <c r="B745" s="8"/>
      <c r="C745" s="30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10"/>
      <c r="AC745" s="10"/>
      <c r="AD745" s="10"/>
    </row>
    <row r="746" spans="1:30" ht="12.75" x14ac:dyDescent="0.2">
      <c r="A746" s="8"/>
      <c r="B746" s="8"/>
      <c r="C746" s="30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10"/>
      <c r="AC746" s="10"/>
      <c r="AD746" s="10"/>
    </row>
    <row r="747" spans="1:30" ht="12.75" x14ac:dyDescent="0.2">
      <c r="A747" s="8"/>
      <c r="B747" s="8"/>
      <c r="C747" s="30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10"/>
      <c r="AC747" s="10"/>
      <c r="AD747" s="10"/>
    </row>
    <row r="748" spans="1:30" ht="12.75" x14ac:dyDescent="0.2">
      <c r="A748" s="8"/>
      <c r="B748" s="8"/>
      <c r="C748" s="30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10"/>
      <c r="AC748" s="10"/>
      <c r="AD748" s="10"/>
    </row>
    <row r="749" spans="1:30" ht="12.75" x14ac:dyDescent="0.2">
      <c r="A749" s="8"/>
      <c r="B749" s="8"/>
      <c r="C749" s="30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10"/>
      <c r="AC749" s="10"/>
      <c r="AD749" s="10"/>
    </row>
    <row r="750" spans="1:30" ht="12.75" x14ac:dyDescent="0.2">
      <c r="A750" s="8"/>
      <c r="B750" s="8"/>
      <c r="C750" s="30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10"/>
      <c r="AC750" s="10"/>
      <c r="AD750" s="10"/>
    </row>
    <row r="751" spans="1:30" ht="12.75" x14ac:dyDescent="0.2">
      <c r="A751" s="8"/>
      <c r="B751" s="8"/>
      <c r="C751" s="30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10"/>
      <c r="AC751" s="10"/>
      <c r="AD751" s="10"/>
    </row>
    <row r="752" spans="1:30" ht="12.75" x14ac:dyDescent="0.2">
      <c r="A752" s="8"/>
      <c r="B752" s="8"/>
      <c r="C752" s="30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10"/>
      <c r="AC752" s="10"/>
      <c r="AD752" s="10"/>
    </row>
    <row r="753" spans="1:30" ht="12.75" x14ac:dyDescent="0.2">
      <c r="A753" s="8"/>
      <c r="B753" s="8"/>
      <c r="C753" s="30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10"/>
      <c r="AC753" s="10"/>
      <c r="AD753" s="10"/>
    </row>
    <row r="754" spans="1:30" ht="12.75" x14ac:dyDescent="0.2">
      <c r="A754" s="8"/>
      <c r="B754" s="8"/>
      <c r="C754" s="30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10"/>
      <c r="AC754" s="10"/>
      <c r="AD754" s="10"/>
    </row>
    <row r="755" spans="1:30" ht="12.75" x14ac:dyDescent="0.2">
      <c r="A755" s="8"/>
      <c r="B755" s="8"/>
      <c r="C755" s="30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10"/>
      <c r="AC755" s="10"/>
      <c r="AD755" s="10"/>
    </row>
    <row r="756" spans="1:30" ht="12.75" x14ac:dyDescent="0.2">
      <c r="A756" s="8"/>
      <c r="B756" s="8"/>
      <c r="C756" s="30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10"/>
      <c r="AC756" s="10"/>
      <c r="AD756" s="10"/>
    </row>
    <row r="757" spans="1:30" ht="12.75" x14ac:dyDescent="0.2">
      <c r="A757" s="8"/>
      <c r="B757" s="8"/>
      <c r="C757" s="30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10"/>
      <c r="AC757" s="10"/>
      <c r="AD757" s="10"/>
    </row>
    <row r="758" spans="1:30" ht="12.75" x14ac:dyDescent="0.2">
      <c r="A758" s="8"/>
      <c r="B758" s="8"/>
      <c r="C758" s="30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10"/>
      <c r="AC758" s="10"/>
      <c r="AD758" s="10"/>
    </row>
    <row r="759" spans="1:30" ht="12.75" x14ac:dyDescent="0.2">
      <c r="A759" s="8"/>
      <c r="B759" s="8"/>
      <c r="C759" s="30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10"/>
      <c r="AC759" s="10"/>
      <c r="AD759" s="10"/>
    </row>
    <row r="760" spans="1:30" ht="12.75" x14ac:dyDescent="0.2">
      <c r="A760" s="8"/>
      <c r="B760" s="8"/>
      <c r="C760" s="30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10"/>
      <c r="AC760" s="10"/>
      <c r="AD760" s="10"/>
    </row>
    <row r="761" spans="1:30" ht="12.75" x14ac:dyDescent="0.2">
      <c r="A761" s="8"/>
      <c r="B761" s="8"/>
      <c r="C761" s="30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10"/>
      <c r="AC761" s="10"/>
      <c r="AD761" s="10"/>
    </row>
    <row r="762" spans="1:30" ht="12.75" x14ac:dyDescent="0.2">
      <c r="A762" s="8"/>
      <c r="B762" s="8"/>
      <c r="C762" s="30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10"/>
      <c r="AC762" s="10"/>
      <c r="AD762" s="10"/>
    </row>
    <row r="763" spans="1:30" ht="12.75" x14ac:dyDescent="0.2">
      <c r="A763" s="8"/>
      <c r="B763" s="8"/>
      <c r="C763" s="30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10"/>
      <c r="AC763" s="10"/>
      <c r="AD763" s="10"/>
    </row>
    <row r="764" spans="1:30" ht="12.75" x14ac:dyDescent="0.2">
      <c r="A764" s="8"/>
      <c r="B764" s="8"/>
      <c r="C764" s="30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10"/>
      <c r="AC764" s="10"/>
      <c r="AD764" s="10"/>
    </row>
    <row r="765" spans="1:30" ht="12.75" x14ac:dyDescent="0.2">
      <c r="A765" s="8"/>
      <c r="B765" s="8"/>
      <c r="C765" s="30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10"/>
      <c r="AC765" s="10"/>
      <c r="AD765" s="10"/>
    </row>
    <row r="766" spans="1:30" ht="12.75" x14ac:dyDescent="0.2">
      <c r="A766" s="8"/>
      <c r="B766" s="8"/>
      <c r="C766" s="30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10"/>
      <c r="AC766" s="10"/>
      <c r="AD766" s="10"/>
    </row>
    <row r="767" spans="1:30" ht="12.75" x14ac:dyDescent="0.2">
      <c r="A767" s="8"/>
      <c r="B767" s="8"/>
      <c r="C767" s="30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10"/>
      <c r="AC767" s="10"/>
      <c r="AD767" s="10"/>
    </row>
    <row r="768" spans="1:30" ht="12.75" x14ac:dyDescent="0.2">
      <c r="A768" s="8"/>
      <c r="B768" s="8"/>
      <c r="C768" s="30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10"/>
      <c r="AC768" s="10"/>
      <c r="AD768" s="10"/>
    </row>
    <row r="769" spans="1:30" ht="12.75" x14ac:dyDescent="0.2">
      <c r="A769" s="8"/>
      <c r="B769" s="8"/>
      <c r="C769" s="30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10"/>
      <c r="AC769" s="10"/>
      <c r="AD769" s="10"/>
    </row>
    <row r="770" spans="1:30" ht="12.75" x14ac:dyDescent="0.2">
      <c r="A770" s="8"/>
      <c r="B770" s="8"/>
      <c r="C770" s="30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10"/>
      <c r="AC770" s="10"/>
      <c r="AD770" s="10"/>
    </row>
    <row r="771" spans="1:30" ht="12.75" x14ac:dyDescent="0.2">
      <c r="A771" s="8"/>
      <c r="B771" s="8"/>
      <c r="C771" s="30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10"/>
      <c r="AC771" s="10"/>
      <c r="AD771" s="10"/>
    </row>
    <row r="772" spans="1:30" ht="12.75" x14ac:dyDescent="0.2">
      <c r="A772" s="8"/>
      <c r="B772" s="8"/>
      <c r="C772" s="30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10"/>
      <c r="AC772" s="10"/>
      <c r="AD772" s="10"/>
    </row>
    <row r="773" spans="1:30" ht="12.75" x14ac:dyDescent="0.2">
      <c r="A773" s="8"/>
      <c r="B773" s="8"/>
      <c r="C773" s="30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10"/>
      <c r="AC773" s="10"/>
      <c r="AD773" s="10"/>
    </row>
    <row r="774" spans="1:30" ht="12.75" x14ac:dyDescent="0.2">
      <c r="A774" s="8"/>
      <c r="B774" s="8"/>
      <c r="C774" s="30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10"/>
      <c r="AC774" s="10"/>
      <c r="AD774" s="10"/>
    </row>
    <row r="775" spans="1:30" ht="12.75" x14ac:dyDescent="0.2">
      <c r="A775" s="8"/>
      <c r="B775" s="8"/>
      <c r="C775" s="30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10"/>
      <c r="AC775" s="10"/>
      <c r="AD775" s="10"/>
    </row>
    <row r="776" spans="1:30" ht="12.75" x14ac:dyDescent="0.2">
      <c r="A776" s="8"/>
      <c r="B776" s="8"/>
      <c r="C776" s="30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10"/>
      <c r="AC776" s="10"/>
      <c r="AD776" s="10"/>
    </row>
    <row r="777" spans="1:30" ht="12.75" x14ac:dyDescent="0.2">
      <c r="A777" s="8"/>
      <c r="B777" s="8"/>
      <c r="C777" s="30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10"/>
      <c r="AC777" s="10"/>
      <c r="AD777" s="10"/>
    </row>
    <row r="778" spans="1:30" ht="12.75" x14ac:dyDescent="0.2">
      <c r="A778" s="8"/>
      <c r="B778" s="8"/>
      <c r="C778" s="30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10"/>
      <c r="AC778" s="10"/>
      <c r="AD778" s="10"/>
    </row>
    <row r="779" spans="1:30" ht="12.75" x14ac:dyDescent="0.2">
      <c r="A779" s="8"/>
      <c r="B779" s="8"/>
      <c r="C779" s="30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10"/>
      <c r="AC779" s="10"/>
      <c r="AD779" s="10"/>
    </row>
    <row r="780" spans="1:30" ht="12.75" x14ac:dyDescent="0.2">
      <c r="A780" s="8"/>
      <c r="B780" s="8"/>
      <c r="C780" s="30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10"/>
      <c r="AC780" s="10"/>
      <c r="AD780" s="10"/>
    </row>
    <row r="781" spans="1:30" ht="12.75" x14ac:dyDescent="0.2">
      <c r="A781" s="8"/>
      <c r="B781" s="8"/>
      <c r="C781" s="30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10"/>
      <c r="AC781" s="10"/>
      <c r="AD781" s="10"/>
    </row>
    <row r="782" spans="1:30" ht="12.75" x14ac:dyDescent="0.2">
      <c r="A782" s="8"/>
      <c r="B782" s="8"/>
      <c r="C782" s="30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10"/>
      <c r="AC782" s="10"/>
      <c r="AD782" s="10"/>
    </row>
    <row r="783" spans="1:30" ht="12.75" x14ac:dyDescent="0.2">
      <c r="A783" s="8"/>
      <c r="B783" s="8"/>
      <c r="C783" s="30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10"/>
      <c r="AC783" s="10"/>
      <c r="AD783" s="10"/>
    </row>
    <row r="784" spans="1:30" ht="12.75" x14ac:dyDescent="0.2">
      <c r="A784" s="8"/>
      <c r="B784" s="8"/>
      <c r="C784" s="30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10"/>
      <c r="AC784" s="10"/>
      <c r="AD784" s="10"/>
    </row>
    <row r="785" spans="1:30" ht="12.75" x14ac:dyDescent="0.2">
      <c r="A785" s="8"/>
      <c r="B785" s="8"/>
      <c r="C785" s="30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10"/>
      <c r="AC785" s="10"/>
      <c r="AD785" s="10"/>
    </row>
    <row r="786" spans="1:30" ht="12.75" x14ac:dyDescent="0.2">
      <c r="A786" s="8"/>
      <c r="B786" s="8"/>
      <c r="C786" s="30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10"/>
      <c r="AC786" s="10"/>
      <c r="AD786" s="10"/>
    </row>
    <row r="787" spans="1:30" ht="12.75" x14ac:dyDescent="0.2">
      <c r="A787" s="8"/>
      <c r="B787" s="8"/>
      <c r="C787" s="30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10"/>
      <c r="AC787" s="10"/>
      <c r="AD787" s="10"/>
    </row>
    <row r="788" spans="1:30" ht="12.75" x14ac:dyDescent="0.2">
      <c r="A788" s="8"/>
      <c r="B788" s="8"/>
      <c r="C788" s="30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10"/>
      <c r="AC788" s="10"/>
      <c r="AD788" s="10"/>
    </row>
    <row r="789" spans="1:30" ht="12.75" x14ac:dyDescent="0.2">
      <c r="A789" s="8"/>
      <c r="B789" s="8"/>
      <c r="C789" s="30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10"/>
      <c r="AC789" s="10"/>
      <c r="AD789" s="10"/>
    </row>
    <row r="790" spans="1:30" ht="12.75" x14ac:dyDescent="0.2">
      <c r="A790" s="8"/>
      <c r="B790" s="8"/>
      <c r="C790" s="30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10"/>
      <c r="AC790" s="10"/>
      <c r="AD790" s="10"/>
    </row>
    <row r="791" spans="1:30" ht="12.75" x14ac:dyDescent="0.2">
      <c r="A791" s="8"/>
      <c r="B791" s="8"/>
      <c r="C791" s="30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10"/>
      <c r="AC791" s="10"/>
      <c r="AD791" s="10"/>
    </row>
    <row r="792" spans="1:30" ht="12.75" x14ac:dyDescent="0.2">
      <c r="A792" s="8"/>
      <c r="B792" s="8"/>
      <c r="C792" s="30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10"/>
      <c r="AC792" s="10"/>
      <c r="AD792" s="10"/>
    </row>
    <row r="793" spans="1:30" ht="12.75" x14ac:dyDescent="0.2">
      <c r="A793" s="8"/>
      <c r="B793" s="8"/>
      <c r="C793" s="30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10"/>
      <c r="AC793" s="10"/>
      <c r="AD793" s="10"/>
    </row>
    <row r="794" spans="1:30" ht="12.75" x14ac:dyDescent="0.2">
      <c r="A794" s="8"/>
      <c r="B794" s="8"/>
      <c r="C794" s="30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10"/>
      <c r="AC794" s="10"/>
      <c r="AD794" s="10"/>
    </row>
    <row r="795" spans="1:30" ht="12.75" x14ac:dyDescent="0.2">
      <c r="A795" s="8"/>
      <c r="B795" s="8"/>
      <c r="C795" s="30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10"/>
      <c r="AC795" s="10"/>
      <c r="AD795" s="10"/>
    </row>
    <row r="796" spans="1:30" ht="12.75" x14ac:dyDescent="0.2">
      <c r="A796" s="8"/>
      <c r="B796" s="8"/>
      <c r="C796" s="30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10"/>
      <c r="AC796" s="10"/>
      <c r="AD796" s="10"/>
    </row>
    <row r="797" spans="1:30" ht="12.75" x14ac:dyDescent="0.2">
      <c r="A797" s="8"/>
      <c r="B797" s="8"/>
      <c r="C797" s="30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10"/>
      <c r="AC797" s="10"/>
      <c r="AD797" s="10"/>
    </row>
    <row r="798" spans="1:30" ht="12.75" x14ac:dyDescent="0.2">
      <c r="A798" s="8"/>
      <c r="B798" s="8"/>
      <c r="C798" s="30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10"/>
      <c r="AC798" s="10"/>
      <c r="AD798" s="10"/>
    </row>
    <row r="799" spans="1:30" ht="12.75" x14ac:dyDescent="0.2">
      <c r="A799" s="8"/>
      <c r="B799" s="8"/>
      <c r="C799" s="30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10"/>
      <c r="AC799" s="10"/>
      <c r="AD799" s="10"/>
    </row>
    <row r="800" spans="1:30" ht="12.75" x14ac:dyDescent="0.2">
      <c r="A800" s="8"/>
      <c r="B800" s="8"/>
      <c r="C800" s="30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10"/>
      <c r="AC800" s="10"/>
      <c r="AD800" s="10"/>
    </row>
    <row r="801" spans="1:30" ht="12.75" x14ac:dyDescent="0.2">
      <c r="A801" s="8"/>
      <c r="B801" s="8"/>
      <c r="C801" s="30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10"/>
      <c r="AC801" s="10"/>
      <c r="AD801" s="10"/>
    </row>
    <row r="802" spans="1:30" ht="12.75" x14ac:dyDescent="0.2">
      <c r="A802" s="8"/>
      <c r="B802" s="8"/>
      <c r="C802" s="30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10"/>
      <c r="AC802" s="10"/>
      <c r="AD802" s="10"/>
    </row>
    <row r="803" spans="1:30" ht="12.75" x14ac:dyDescent="0.2">
      <c r="A803" s="8"/>
      <c r="B803" s="8"/>
      <c r="C803" s="30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10"/>
      <c r="AC803" s="10"/>
      <c r="AD803" s="10"/>
    </row>
    <row r="804" spans="1:30" ht="12.75" x14ac:dyDescent="0.2">
      <c r="A804" s="8"/>
      <c r="B804" s="8"/>
      <c r="C804" s="30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10"/>
      <c r="AC804" s="10"/>
      <c r="AD804" s="10"/>
    </row>
    <row r="805" spans="1:30" ht="12.75" x14ac:dyDescent="0.2">
      <c r="A805" s="8"/>
      <c r="B805" s="8"/>
      <c r="C805" s="30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10"/>
      <c r="AC805" s="10"/>
      <c r="AD805" s="10"/>
    </row>
    <row r="806" spans="1:30" ht="12.75" x14ac:dyDescent="0.2">
      <c r="A806" s="8"/>
      <c r="B806" s="8"/>
      <c r="C806" s="30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10"/>
      <c r="AC806" s="10"/>
      <c r="AD806" s="10"/>
    </row>
    <row r="807" spans="1:30" ht="12.75" x14ac:dyDescent="0.2">
      <c r="A807" s="8"/>
      <c r="B807" s="8"/>
      <c r="C807" s="30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10"/>
      <c r="AC807" s="10"/>
      <c r="AD807" s="10"/>
    </row>
    <row r="808" spans="1:30" ht="12.75" x14ac:dyDescent="0.2">
      <c r="A808" s="8"/>
      <c r="B808" s="8"/>
      <c r="C808" s="30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10"/>
      <c r="AC808" s="10"/>
      <c r="AD808" s="10"/>
    </row>
    <row r="809" spans="1:30" ht="12.75" x14ac:dyDescent="0.2">
      <c r="A809" s="8"/>
      <c r="B809" s="8"/>
      <c r="C809" s="30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10"/>
      <c r="AC809" s="10"/>
      <c r="AD809" s="10"/>
    </row>
    <row r="810" spans="1:30" ht="12.75" x14ac:dyDescent="0.2">
      <c r="A810" s="8"/>
      <c r="B810" s="8"/>
      <c r="C810" s="30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10"/>
      <c r="AC810" s="10"/>
      <c r="AD810" s="10"/>
    </row>
    <row r="811" spans="1:30" ht="12.75" x14ac:dyDescent="0.2">
      <c r="A811" s="8"/>
      <c r="B811" s="8"/>
      <c r="C811" s="30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10"/>
      <c r="AC811" s="10"/>
      <c r="AD811" s="10"/>
    </row>
    <row r="812" spans="1:30" ht="12.75" x14ac:dyDescent="0.2">
      <c r="A812" s="8"/>
      <c r="B812" s="8"/>
      <c r="C812" s="30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10"/>
      <c r="AC812" s="10"/>
      <c r="AD812" s="10"/>
    </row>
    <row r="813" spans="1:30" ht="12.75" x14ac:dyDescent="0.2">
      <c r="A813" s="8"/>
      <c r="B813" s="8"/>
      <c r="C813" s="30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10"/>
      <c r="AC813" s="10"/>
      <c r="AD813" s="10"/>
    </row>
    <row r="814" spans="1:30" ht="12.75" x14ac:dyDescent="0.2">
      <c r="A814" s="8"/>
      <c r="B814" s="8"/>
      <c r="C814" s="30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10"/>
      <c r="AC814" s="10"/>
      <c r="AD814" s="10"/>
    </row>
    <row r="815" spans="1:30" ht="12.75" x14ac:dyDescent="0.2">
      <c r="A815" s="8"/>
      <c r="B815" s="8"/>
      <c r="C815" s="30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10"/>
      <c r="AC815" s="10"/>
      <c r="AD815" s="10"/>
    </row>
    <row r="816" spans="1:30" ht="12.75" x14ac:dyDescent="0.2">
      <c r="A816" s="8"/>
      <c r="B816" s="8"/>
      <c r="C816" s="30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10"/>
      <c r="AC816" s="10"/>
      <c r="AD816" s="10"/>
    </row>
    <row r="817" spans="1:30" ht="12.75" x14ac:dyDescent="0.2">
      <c r="A817" s="8"/>
      <c r="B817" s="8"/>
      <c r="C817" s="30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10"/>
      <c r="AC817" s="10"/>
      <c r="AD817" s="10"/>
    </row>
    <row r="818" spans="1:30" ht="12.75" x14ac:dyDescent="0.2">
      <c r="A818" s="8"/>
      <c r="B818" s="8"/>
      <c r="C818" s="30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10"/>
      <c r="AC818" s="10"/>
      <c r="AD818" s="10"/>
    </row>
    <row r="819" spans="1:30" ht="12.75" x14ac:dyDescent="0.2">
      <c r="A819" s="8"/>
      <c r="B819" s="8"/>
      <c r="C819" s="30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10"/>
      <c r="AC819" s="10"/>
      <c r="AD819" s="10"/>
    </row>
    <row r="820" spans="1:30" ht="12.75" x14ac:dyDescent="0.2">
      <c r="A820" s="8"/>
      <c r="B820" s="8"/>
      <c r="C820" s="30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10"/>
      <c r="AC820" s="10"/>
      <c r="AD820" s="10"/>
    </row>
    <row r="821" spans="1:30" ht="12.75" x14ac:dyDescent="0.2">
      <c r="A821" s="8"/>
      <c r="B821" s="8"/>
      <c r="C821" s="30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10"/>
      <c r="AC821" s="10"/>
      <c r="AD821" s="10"/>
    </row>
    <row r="822" spans="1:30" ht="12.75" x14ac:dyDescent="0.2">
      <c r="A822" s="8"/>
      <c r="B822" s="8"/>
      <c r="C822" s="30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10"/>
      <c r="AC822" s="10"/>
      <c r="AD822" s="10"/>
    </row>
    <row r="823" spans="1:30" ht="12.75" x14ac:dyDescent="0.2">
      <c r="A823" s="8"/>
      <c r="B823" s="8"/>
      <c r="C823" s="30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10"/>
      <c r="AC823" s="10"/>
      <c r="AD823" s="10"/>
    </row>
    <row r="824" spans="1:30" ht="12.75" x14ac:dyDescent="0.2">
      <c r="A824" s="8"/>
      <c r="B824" s="8"/>
      <c r="C824" s="30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10"/>
      <c r="AC824" s="10"/>
      <c r="AD824" s="10"/>
    </row>
    <row r="825" spans="1:30" ht="12.75" x14ac:dyDescent="0.2">
      <c r="A825" s="8"/>
      <c r="B825" s="8"/>
      <c r="C825" s="30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10"/>
      <c r="AC825" s="10"/>
      <c r="AD825" s="10"/>
    </row>
    <row r="826" spans="1:30" ht="12.75" x14ac:dyDescent="0.2">
      <c r="A826" s="8"/>
      <c r="B826" s="8"/>
      <c r="C826" s="30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10"/>
      <c r="AC826" s="10"/>
      <c r="AD826" s="10"/>
    </row>
    <row r="827" spans="1:30" ht="12.75" x14ac:dyDescent="0.2">
      <c r="A827" s="8"/>
      <c r="B827" s="8"/>
      <c r="C827" s="30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10"/>
      <c r="AC827" s="10"/>
      <c r="AD827" s="10"/>
    </row>
    <row r="828" spans="1:30" ht="12.75" x14ac:dyDescent="0.2">
      <c r="A828" s="8"/>
      <c r="B828" s="8"/>
      <c r="C828" s="30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10"/>
      <c r="AC828" s="10"/>
      <c r="AD828" s="10"/>
    </row>
    <row r="829" spans="1:30" ht="12.75" x14ac:dyDescent="0.2">
      <c r="A829" s="8"/>
      <c r="B829" s="8"/>
      <c r="C829" s="30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10"/>
      <c r="AC829" s="10"/>
      <c r="AD829" s="10"/>
    </row>
    <row r="830" spans="1:30" ht="12.75" x14ac:dyDescent="0.2">
      <c r="A830" s="8"/>
      <c r="B830" s="8"/>
      <c r="C830" s="30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10"/>
      <c r="AC830" s="10"/>
      <c r="AD830" s="10"/>
    </row>
    <row r="831" spans="1:30" ht="12.75" x14ac:dyDescent="0.2">
      <c r="A831" s="8"/>
      <c r="B831" s="8"/>
      <c r="C831" s="30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10"/>
      <c r="AC831" s="10"/>
      <c r="AD831" s="10"/>
    </row>
    <row r="832" spans="1:30" ht="12.75" x14ac:dyDescent="0.2">
      <c r="A832" s="8"/>
      <c r="B832" s="8"/>
      <c r="C832" s="30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10"/>
      <c r="AC832" s="10"/>
      <c r="AD832" s="10"/>
    </row>
    <row r="833" spans="1:30" ht="12.75" x14ac:dyDescent="0.2">
      <c r="A833" s="8"/>
      <c r="B833" s="8"/>
      <c r="C833" s="30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10"/>
      <c r="AC833" s="10"/>
      <c r="AD833" s="10"/>
    </row>
    <row r="834" spans="1:30" ht="12.75" x14ac:dyDescent="0.2">
      <c r="A834" s="8"/>
      <c r="B834" s="8"/>
      <c r="C834" s="30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10"/>
      <c r="AC834" s="10"/>
      <c r="AD834" s="10"/>
    </row>
    <row r="835" spans="1:30" ht="12.75" x14ac:dyDescent="0.2">
      <c r="A835" s="8"/>
      <c r="B835" s="8"/>
      <c r="C835" s="30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10"/>
      <c r="AC835" s="10"/>
      <c r="AD835" s="10"/>
    </row>
    <row r="836" spans="1:30" ht="12.75" x14ac:dyDescent="0.2">
      <c r="A836" s="8"/>
      <c r="B836" s="8"/>
      <c r="C836" s="30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10"/>
      <c r="AC836" s="10"/>
      <c r="AD836" s="10"/>
    </row>
    <row r="837" spans="1:30" ht="12.75" x14ac:dyDescent="0.2">
      <c r="A837" s="8"/>
      <c r="B837" s="8"/>
      <c r="C837" s="30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10"/>
      <c r="AC837" s="10"/>
      <c r="AD837" s="10"/>
    </row>
    <row r="838" spans="1:30" ht="12.75" x14ac:dyDescent="0.2">
      <c r="A838" s="8"/>
      <c r="B838" s="8"/>
      <c r="C838" s="30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10"/>
      <c r="AC838" s="10"/>
      <c r="AD838" s="10"/>
    </row>
    <row r="839" spans="1:30" ht="12.75" x14ac:dyDescent="0.2">
      <c r="A839" s="8"/>
      <c r="B839" s="8"/>
      <c r="C839" s="30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10"/>
      <c r="AC839" s="10"/>
      <c r="AD839" s="10"/>
    </row>
    <row r="840" spans="1:30" ht="12.75" x14ac:dyDescent="0.2">
      <c r="A840" s="8"/>
      <c r="B840" s="8"/>
      <c r="C840" s="30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10"/>
      <c r="AC840" s="10"/>
      <c r="AD840" s="10"/>
    </row>
    <row r="841" spans="1:30" ht="12.75" x14ac:dyDescent="0.2">
      <c r="A841" s="8"/>
      <c r="B841" s="8"/>
      <c r="C841" s="30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10"/>
      <c r="AC841" s="10"/>
      <c r="AD841" s="10"/>
    </row>
    <row r="842" spans="1:30" ht="12.75" x14ac:dyDescent="0.2">
      <c r="A842" s="8"/>
      <c r="B842" s="8"/>
      <c r="C842" s="30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10"/>
      <c r="AC842" s="10"/>
      <c r="AD842" s="10"/>
    </row>
    <row r="843" spans="1:30" ht="12.75" x14ac:dyDescent="0.2">
      <c r="A843" s="8"/>
      <c r="B843" s="8"/>
      <c r="C843" s="30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10"/>
      <c r="AC843" s="10"/>
      <c r="AD843" s="10"/>
    </row>
    <row r="844" spans="1:30" ht="12.75" x14ac:dyDescent="0.2">
      <c r="A844" s="8"/>
      <c r="B844" s="8"/>
      <c r="C844" s="30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10"/>
      <c r="AC844" s="10"/>
      <c r="AD844" s="10"/>
    </row>
    <row r="845" spans="1:30" ht="12.75" x14ac:dyDescent="0.2">
      <c r="A845" s="8"/>
      <c r="B845" s="8"/>
      <c r="C845" s="30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10"/>
      <c r="AC845" s="10"/>
      <c r="AD845" s="10"/>
    </row>
    <row r="846" spans="1:30" ht="12.75" x14ac:dyDescent="0.2">
      <c r="A846" s="8"/>
      <c r="B846" s="8"/>
      <c r="C846" s="30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10"/>
      <c r="AC846" s="10"/>
      <c r="AD846" s="10"/>
    </row>
    <row r="847" spans="1:30" ht="12.75" x14ac:dyDescent="0.2">
      <c r="A847" s="8"/>
      <c r="B847" s="8"/>
      <c r="C847" s="30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10"/>
      <c r="AC847" s="10"/>
      <c r="AD847" s="10"/>
    </row>
    <row r="848" spans="1:30" ht="12.75" x14ac:dyDescent="0.2">
      <c r="A848" s="8"/>
      <c r="B848" s="8"/>
      <c r="C848" s="30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10"/>
      <c r="AC848" s="10"/>
      <c r="AD848" s="10"/>
    </row>
    <row r="849" spans="1:30" ht="12.75" x14ac:dyDescent="0.2">
      <c r="A849" s="8"/>
      <c r="B849" s="8"/>
      <c r="C849" s="30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10"/>
      <c r="AC849" s="10"/>
      <c r="AD849" s="10"/>
    </row>
    <row r="850" spans="1:30" ht="12.75" x14ac:dyDescent="0.2">
      <c r="A850" s="8"/>
      <c r="B850" s="8"/>
      <c r="C850" s="30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10"/>
      <c r="AC850" s="10"/>
      <c r="AD850" s="10"/>
    </row>
    <row r="851" spans="1:30" ht="12.75" x14ac:dyDescent="0.2">
      <c r="A851" s="8"/>
      <c r="B851" s="8"/>
      <c r="C851" s="30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10"/>
      <c r="AC851" s="10"/>
      <c r="AD851" s="10"/>
    </row>
    <row r="852" spans="1:30" ht="12.75" x14ac:dyDescent="0.2">
      <c r="A852" s="8"/>
      <c r="B852" s="8"/>
      <c r="C852" s="30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10"/>
      <c r="AC852" s="10"/>
      <c r="AD852" s="10"/>
    </row>
    <row r="853" spans="1:30" ht="12.75" x14ac:dyDescent="0.2">
      <c r="A853" s="8"/>
      <c r="B853" s="8"/>
      <c r="C853" s="30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10"/>
      <c r="AC853" s="10"/>
      <c r="AD853" s="10"/>
    </row>
    <row r="854" spans="1:30" ht="12.75" x14ac:dyDescent="0.2">
      <c r="A854" s="8"/>
      <c r="B854" s="8"/>
      <c r="C854" s="30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10"/>
      <c r="AC854" s="10"/>
      <c r="AD854" s="10"/>
    </row>
    <row r="855" spans="1:30" ht="12.75" x14ac:dyDescent="0.2">
      <c r="A855" s="8"/>
      <c r="B855" s="8"/>
      <c r="C855" s="30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10"/>
      <c r="AC855" s="10"/>
      <c r="AD855" s="10"/>
    </row>
    <row r="856" spans="1:30" ht="12.75" x14ac:dyDescent="0.2">
      <c r="A856" s="8"/>
      <c r="B856" s="8"/>
      <c r="C856" s="30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10"/>
      <c r="AC856" s="10"/>
      <c r="AD856" s="10"/>
    </row>
    <row r="857" spans="1:30" ht="12.75" x14ac:dyDescent="0.2">
      <c r="A857" s="8"/>
      <c r="B857" s="8"/>
      <c r="C857" s="30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10"/>
      <c r="AC857" s="10"/>
      <c r="AD857" s="10"/>
    </row>
    <row r="858" spans="1:30" ht="12.75" x14ac:dyDescent="0.2">
      <c r="A858" s="8"/>
      <c r="B858" s="8"/>
      <c r="C858" s="30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10"/>
      <c r="AC858" s="10"/>
      <c r="AD858" s="10"/>
    </row>
    <row r="859" spans="1:30" ht="12.75" x14ac:dyDescent="0.2">
      <c r="A859" s="8"/>
      <c r="B859" s="8"/>
      <c r="C859" s="30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10"/>
      <c r="AC859" s="10"/>
      <c r="AD859" s="10"/>
    </row>
    <row r="860" spans="1:30" ht="12.75" x14ac:dyDescent="0.2">
      <c r="A860" s="8"/>
      <c r="B860" s="8"/>
      <c r="C860" s="30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10"/>
      <c r="AC860" s="10"/>
      <c r="AD860" s="10"/>
    </row>
    <row r="861" spans="1:30" ht="12.75" x14ac:dyDescent="0.2">
      <c r="A861" s="8"/>
      <c r="B861" s="8"/>
      <c r="C861" s="30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10"/>
      <c r="AC861" s="10"/>
      <c r="AD861" s="10"/>
    </row>
    <row r="862" spans="1:30" ht="12.75" x14ac:dyDescent="0.2">
      <c r="A862" s="8"/>
      <c r="B862" s="8"/>
      <c r="C862" s="30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10"/>
      <c r="AC862" s="10"/>
      <c r="AD862" s="10"/>
    </row>
    <row r="863" spans="1:30" ht="12.75" x14ac:dyDescent="0.2">
      <c r="A863" s="8"/>
      <c r="B863" s="8"/>
      <c r="C863" s="30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10"/>
      <c r="AC863" s="10"/>
      <c r="AD863" s="10"/>
    </row>
    <row r="864" spans="1:30" ht="12.75" x14ac:dyDescent="0.2">
      <c r="A864" s="8"/>
      <c r="B864" s="8"/>
      <c r="C864" s="30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10"/>
      <c r="AC864" s="10"/>
      <c r="AD864" s="10"/>
    </row>
    <row r="865" spans="1:30" ht="12.75" x14ac:dyDescent="0.2">
      <c r="A865" s="8"/>
      <c r="B865" s="8"/>
      <c r="C865" s="30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10"/>
      <c r="AC865" s="10"/>
      <c r="AD865" s="10"/>
    </row>
    <row r="866" spans="1:30" ht="12.75" x14ac:dyDescent="0.2">
      <c r="A866" s="8"/>
      <c r="B866" s="8"/>
      <c r="C866" s="30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10"/>
      <c r="AC866" s="10"/>
      <c r="AD866" s="10"/>
    </row>
    <row r="867" spans="1:30" ht="12.75" x14ac:dyDescent="0.2">
      <c r="A867" s="8"/>
      <c r="B867" s="8"/>
      <c r="C867" s="30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10"/>
      <c r="AC867" s="10"/>
      <c r="AD867" s="10"/>
    </row>
    <row r="868" spans="1:30" ht="12.75" x14ac:dyDescent="0.2">
      <c r="A868" s="8"/>
      <c r="B868" s="8"/>
      <c r="C868" s="30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10"/>
      <c r="AC868" s="10"/>
      <c r="AD868" s="10"/>
    </row>
    <row r="869" spans="1:30" ht="12.75" x14ac:dyDescent="0.2">
      <c r="A869" s="8"/>
      <c r="B869" s="8"/>
      <c r="C869" s="30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10"/>
      <c r="AC869" s="10"/>
      <c r="AD869" s="10"/>
    </row>
    <row r="870" spans="1:30" ht="12.75" x14ac:dyDescent="0.2">
      <c r="A870" s="8"/>
      <c r="B870" s="8"/>
      <c r="C870" s="30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10"/>
      <c r="AC870" s="10"/>
      <c r="AD870" s="10"/>
    </row>
    <row r="871" spans="1:30" ht="12.75" x14ac:dyDescent="0.2">
      <c r="A871" s="8"/>
      <c r="B871" s="8"/>
      <c r="C871" s="30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10"/>
      <c r="AC871" s="10"/>
      <c r="AD871" s="10"/>
    </row>
    <row r="872" spans="1:30" ht="12.75" x14ac:dyDescent="0.2">
      <c r="A872" s="8"/>
      <c r="B872" s="8"/>
      <c r="C872" s="30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10"/>
      <c r="AC872" s="10"/>
      <c r="AD872" s="10"/>
    </row>
    <row r="873" spans="1:30" ht="12.75" x14ac:dyDescent="0.2">
      <c r="A873" s="8"/>
      <c r="B873" s="8"/>
      <c r="C873" s="30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10"/>
      <c r="AC873" s="10"/>
      <c r="AD873" s="10"/>
    </row>
    <row r="874" spans="1:30" ht="12.75" x14ac:dyDescent="0.2">
      <c r="A874" s="8"/>
      <c r="B874" s="8"/>
      <c r="C874" s="30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10"/>
      <c r="AC874" s="10"/>
      <c r="AD874" s="10"/>
    </row>
    <row r="875" spans="1:30" ht="12.75" x14ac:dyDescent="0.2">
      <c r="A875" s="8"/>
      <c r="B875" s="8"/>
      <c r="C875" s="30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10"/>
      <c r="AC875" s="10"/>
      <c r="AD875" s="10"/>
    </row>
    <row r="876" spans="1:30" ht="12.75" x14ac:dyDescent="0.2">
      <c r="A876" s="8"/>
      <c r="B876" s="8"/>
      <c r="C876" s="30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10"/>
      <c r="AC876" s="10"/>
      <c r="AD876" s="10"/>
    </row>
    <row r="877" spans="1:30" ht="12.75" x14ac:dyDescent="0.2">
      <c r="A877" s="8"/>
      <c r="B877" s="8"/>
      <c r="C877" s="30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10"/>
      <c r="AC877" s="10"/>
      <c r="AD877" s="10"/>
    </row>
    <row r="878" spans="1:30" ht="12.75" x14ac:dyDescent="0.2">
      <c r="A878" s="8"/>
      <c r="B878" s="8"/>
      <c r="C878" s="30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10"/>
      <c r="AC878" s="10"/>
      <c r="AD878" s="10"/>
    </row>
    <row r="879" spans="1:30" ht="12.75" x14ac:dyDescent="0.2">
      <c r="A879" s="8"/>
      <c r="B879" s="8"/>
      <c r="C879" s="30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10"/>
      <c r="AC879" s="10"/>
      <c r="AD879" s="10"/>
    </row>
    <row r="880" spans="1:30" ht="12.75" x14ac:dyDescent="0.2">
      <c r="A880" s="8"/>
      <c r="B880" s="8"/>
      <c r="C880" s="30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10"/>
      <c r="AC880" s="10"/>
      <c r="AD880" s="10"/>
    </row>
    <row r="881" spans="1:30" ht="12.75" x14ac:dyDescent="0.2">
      <c r="A881" s="8"/>
      <c r="B881" s="8"/>
      <c r="C881" s="30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10"/>
      <c r="AC881" s="10"/>
      <c r="AD881" s="10"/>
    </row>
    <row r="882" spans="1:30" ht="12.75" x14ac:dyDescent="0.2">
      <c r="A882" s="8"/>
      <c r="B882" s="8"/>
      <c r="C882" s="30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10"/>
      <c r="AC882" s="10"/>
      <c r="AD882" s="10"/>
    </row>
    <row r="883" spans="1:30" ht="12.75" x14ac:dyDescent="0.2">
      <c r="A883" s="8"/>
      <c r="B883" s="8"/>
      <c r="C883" s="30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10"/>
      <c r="AC883" s="10"/>
      <c r="AD883" s="10"/>
    </row>
    <row r="884" spans="1:30" ht="12.75" x14ac:dyDescent="0.2">
      <c r="A884" s="8"/>
      <c r="B884" s="8"/>
      <c r="C884" s="30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10"/>
      <c r="AC884" s="10"/>
      <c r="AD884" s="10"/>
    </row>
    <row r="885" spans="1:30" ht="12.75" x14ac:dyDescent="0.2">
      <c r="A885" s="8"/>
      <c r="B885" s="8"/>
      <c r="C885" s="30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10"/>
      <c r="AC885" s="10"/>
      <c r="AD885" s="10"/>
    </row>
    <row r="886" spans="1:30" ht="12.75" x14ac:dyDescent="0.2">
      <c r="A886" s="8"/>
      <c r="B886" s="8"/>
      <c r="C886" s="30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10"/>
      <c r="AC886" s="10"/>
      <c r="AD886" s="10"/>
    </row>
    <row r="887" spans="1:30" ht="12.75" x14ac:dyDescent="0.2">
      <c r="A887" s="8"/>
      <c r="B887" s="8"/>
      <c r="C887" s="30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10"/>
      <c r="AC887" s="10"/>
      <c r="AD887" s="10"/>
    </row>
    <row r="888" spans="1:30" ht="12.75" x14ac:dyDescent="0.2">
      <c r="A888" s="8"/>
      <c r="B888" s="8"/>
      <c r="C888" s="30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10"/>
      <c r="AC888" s="10"/>
      <c r="AD888" s="10"/>
    </row>
    <row r="889" spans="1:30" ht="12.75" x14ac:dyDescent="0.2">
      <c r="A889" s="8"/>
      <c r="B889" s="8"/>
      <c r="C889" s="30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10"/>
      <c r="AC889" s="10"/>
      <c r="AD889" s="10"/>
    </row>
    <row r="890" spans="1:30" ht="12.75" x14ac:dyDescent="0.2">
      <c r="A890" s="8"/>
      <c r="B890" s="8"/>
      <c r="C890" s="30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10"/>
      <c r="AC890" s="10"/>
      <c r="AD890" s="10"/>
    </row>
    <row r="891" spans="1:30" ht="12.75" x14ac:dyDescent="0.2">
      <c r="A891" s="8"/>
      <c r="B891" s="8"/>
      <c r="C891" s="30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10"/>
      <c r="AC891" s="10"/>
      <c r="AD891" s="10"/>
    </row>
    <row r="892" spans="1:30" ht="12.75" x14ac:dyDescent="0.2">
      <c r="A892" s="8"/>
      <c r="B892" s="8"/>
      <c r="C892" s="30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10"/>
      <c r="AC892" s="10"/>
      <c r="AD892" s="10"/>
    </row>
    <row r="893" spans="1:30" ht="12.75" x14ac:dyDescent="0.2">
      <c r="A893" s="8"/>
      <c r="B893" s="8"/>
      <c r="C893" s="30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10"/>
      <c r="AC893" s="10"/>
      <c r="AD893" s="10"/>
    </row>
    <row r="894" spans="1:30" ht="12.75" x14ac:dyDescent="0.2">
      <c r="A894" s="8"/>
      <c r="B894" s="8"/>
      <c r="C894" s="30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10"/>
      <c r="AC894" s="10"/>
      <c r="AD894" s="10"/>
    </row>
    <row r="895" spans="1:30" ht="12.75" x14ac:dyDescent="0.2">
      <c r="A895" s="8"/>
      <c r="B895" s="8"/>
      <c r="C895" s="30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10"/>
      <c r="AC895" s="10"/>
      <c r="AD895" s="10"/>
    </row>
    <row r="896" spans="1:30" ht="12.75" x14ac:dyDescent="0.2">
      <c r="A896" s="8"/>
      <c r="B896" s="8"/>
      <c r="C896" s="30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10"/>
      <c r="AC896" s="10"/>
      <c r="AD896" s="10"/>
    </row>
    <row r="897" spans="1:30" ht="12.75" x14ac:dyDescent="0.2">
      <c r="A897" s="8"/>
      <c r="B897" s="8"/>
      <c r="C897" s="30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10"/>
      <c r="AC897" s="10"/>
      <c r="AD897" s="10"/>
    </row>
    <row r="898" spans="1:30" ht="12.75" x14ac:dyDescent="0.2">
      <c r="A898" s="8"/>
      <c r="B898" s="8"/>
      <c r="C898" s="30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10"/>
      <c r="AC898" s="10"/>
      <c r="AD898" s="10"/>
    </row>
    <row r="899" spans="1:30" ht="12.75" x14ac:dyDescent="0.2">
      <c r="A899" s="8"/>
      <c r="B899" s="8"/>
      <c r="C899" s="30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10"/>
      <c r="AC899" s="10"/>
      <c r="AD899" s="10"/>
    </row>
    <row r="900" spans="1:30" ht="12.75" x14ac:dyDescent="0.2">
      <c r="A900" s="8"/>
      <c r="B900" s="8"/>
      <c r="C900" s="30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10"/>
      <c r="AC900" s="10"/>
      <c r="AD900" s="10"/>
    </row>
    <row r="901" spans="1:30" ht="12.75" x14ac:dyDescent="0.2">
      <c r="A901" s="8"/>
      <c r="B901" s="8"/>
      <c r="C901" s="30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10"/>
      <c r="AC901" s="10"/>
      <c r="AD901" s="10"/>
    </row>
    <row r="902" spans="1:30" ht="12.75" x14ac:dyDescent="0.2">
      <c r="A902" s="8"/>
      <c r="B902" s="8"/>
      <c r="C902" s="30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10"/>
      <c r="AC902" s="10"/>
      <c r="AD902" s="10"/>
    </row>
    <row r="903" spans="1:30" ht="12.75" x14ac:dyDescent="0.2">
      <c r="A903" s="8"/>
      <c r="B903" s="8"/>
      <c r="C903" s="30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10"/>
      <c r="AC903" s="10"/>
      <c r="AD903" s="10"/>
    </row>
    <row r="904" spans="1:30" ht="12.75" x14ac:dyDescent="0.2">
      <c r="A904" s="8"/>
      <c r="B904" s="8"/>
      <c r="C904" s="30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10"/>
      <c r="AC904" s="10"/>
      <c r="AD904" s="10"/>
    </row>
    <row r="905" spans="1:30" ht="12.75" x14ac:dyDescent="0.2">
      <c r="A905" s="8"/>
      <c r="B905" s="8"/>
      <c r="C905" s="30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10"/>
      <c r="AC905" s="10"/>
      <c r="AD905" s="10"/>
    </row>
    <row r="906" spans="1:30" ht="12.75" x14ac:dyDescent="0.2">
      <c r="A906" s="8"/>
      <c r="B906" s="8"/>
      <c r="C906" s="30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10"/>
      <c r="AC906" s="10"/>
      <c r="AD906" s="10"/>
    </row>
    <row r="907" spans="1:30" ht="12.75" x14ac:dyDescent="0.2">
      <c r="A907" s="8"/>
      <c r="B907" s="8"/>
      <c r="C907" s="30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10"/>
      <c r="AC907" s="10"/>
      <c r="AD907" s="10"/>
    </row>
    <row r="908" spans="1:30" ht="12.75" x14ac:dyDescent="0.2">
      <c r="A908" s="8"/>
      <c r="B908" s="8"/>
      <c r="C908" s="30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10"/>
      <c r="AC908" s="10"/>
      <c r="AD908" s="10"/>
    </row>
    <row r="909" spans="1:30" ht="12.75" x14ac:dyDescent="0.2">
      <c r="A909" s="8"/>
      <c r="B909" s="8"/>
      <c r="C909" s="30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10"/>
      <c r="AC909" s="10"/>
      <c r="AD909" s="10"/>
    </row>
    <row r="910" spans="1:30" ht="12.75" x14ac:dyDescent="0.2">
      <c r="A910" s="8"/>
      <c r="B910" s="8"/>
      <c r="C910" s="30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10"/>
      <c r="AC910" s="10"/>
      <c r="AD910" s="10"/>
    </row>
    <row r="911" spans="1:30" ht="12.75" x14ac:dyDescent="0.2">
      <c r="A911" s="8"/>
      <c r="B911" s="8"/>
      <c r="C911" s="30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10"/>
      <c r="AC911" s="10"/>
      <c r="AD911" s="10"/>
    </row>
    <row r="912" spans="1:30" ht="12.75" x14ac:dyDescent="0.2">
      <c r="A912" s="8"/>
      <c r="B912" s="8"/>
      <c r="C912" s="30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10"/>
      <c r="AC912" s="10"/>
      <c r="AD912" s="10"/>
    </row>
    <row r="913" spans="1:30" ht="12.75" x14ac:dyDescent="0.2">
      <c r="A913" s="8"/>
      <c r="B913" s="8"/>
      <c r="C913" s="30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10"/>
      <c r="AC913" s="10"/>
      <c r="AD913" s="10"/>
    </row>
    <row r="914" spans="1:30" ht="12.75" x14ac:dyDescent="0.2">
      <c r="A914" s="8"/>
      <c r="B914" s="8"/>
      <c r="C914" s="30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10"/>
      <c r="AC914" s="10"/>
      <c r="AD914" s="10"/>
    </row>
    <row r="915" spans="1:30" ht="12.75" x14ac:dyDescent="0.2">
      <c r="A915" s="8"/>
      <c r="B915" s="8"/>
      <c r="C915" s="30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10"/>
      <c r="AC915" s="10"/>
      <c r="AD915" s="10"/>
    </row>
    <row r="916" spans="1:30" ht="12.75" x14ac:dyDescent="0.2">
      <c r="A916" s="8"/>
      <c r="B916" s="8"/>
      <c r="C916" s="30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10"/>
      <c r="AC916" s="10"/>
      <c r="AD916" s="10"/>
    </row>
    <row r="917" spans="1:30" ht="12.75" x14ac:dyDescent="0.2">
      <c r="A917" s="8"/>
      <c r="B917" s="8"/>
      <c r="C917" s="30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10"/>
      <c r="AC917" s="10"/>
      <c r="AD917" s="10"/>
    </row>
    <row r="918" spans="1:30" ht="12.75" x14ac:dyDescent="0.2">
      <c r="A918" s="8"/>
      <c r="B918" s="8"/>
      <c r="C918" s="30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10"/>
      <c r="AC918" s="10"/>
      <c r="AD918" s="10"/>
    </row>
    <row r="919" spans="1:30" ht="12.75" x14ac:dyDescent="0.2">
      <c r="A919" s="8"/>
      <c r="B919" s="8"/>
      <c r="C919" s="30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10"/>
      <c r="AC919" s="10"/>
      <c r="AD919" s="10"/>
    </row>
    <row r="920" spans="1:30" ht="12.75" x14ac:dyDescent="0.2">
      <c r="A920" s="8"/>
      <c r="B920" s="8"/>
      <c r="C920" s="30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10"/>
      <c r="AC920" s="10"/>
      <c r="AD920" s="10"/>
    </row>
    <row r="921" spans="1:30" ht="12.75" x14ac:dyDescent="0.2">
      <c r="A921" s="8"/>
      <c r="B921" s="8"/>
      <c r="C921" s="30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10"/>
      <c r="AC921" s="10"/>
      <c r="AD921" s="10"/>
    </row>
    <row r="922" spans="1:30" ht="12.75" x14ac:dyDescent="0.2">
      <c r="A922" s="8"/>
      <c r="B922" s="8"/>
      <c r="C922" s="30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10"/>
      <c r="AC922" s="10"/>
      <c r="AD922" s="10"/>
    </row>
    <row r="923" spans="1:30" ht="12.75" x14ac:dyDescent="0.2">
      <c r="A923" s="8"/>
      <c r="B923" s="8"/>
      <c r="C923" s="30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10"/>
      <c r="AC923" s="10"/>
      <c r="AD923" s="10"/>
    </row>
    <row r="924" spans="1:30" ht="12.75" x14ac:dyDescent="0.2">
      <c r="A924" s="8"/>
      <c r="B924" s="8"/>
      <c r="C924" s="30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10"/>
      <c r="AC924" s="10"/>
      <c r="AD924" s="10"/>
    </row>
    <row r="925" spans="1:30" ht="12.75" x14ac:dyDescent="0.2">
      <c r="A925" s="8"/>
      <c r="B925" s="8"/>
      <c r="C925" s="30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10"/>
      <c r="AC925" s="10"/>
      <c r="AD925" s="10"/>
    </row>
    <row r="926" spans="1:30" ht="12.75" x14ac:dyDescent="0.2">
      <c r="A926" s="8"/>
      <c r="B926" s="8"/>
      <c r="C926" s="30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10"/>
      <c r="AC926" s="10"/>
      <c r="AD926" s="10"/>
    </row>
    <row r="927" spans="1:30" ht="12.75" x14ac:dyDescent="0.2">
      <c r="A927" s="8"/>
      <c r="B927" s="8"/>
      <c r="C927" s="30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10"/>
      <c r="AC927" s="10"/>
      <c r="AD927" s="10"/>
    </row>
    <row r="928" spans="1:30" ht="12.75" x14ac:dyDescent="0.2">
      <c r="A928" s="8"/>
      <c r="B928" s="8"/>
      <c r="C928" s="30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10"/>
      <c r="AC928" s="10"/>
      <c r="AD928" s="10"/>
    </row>
    <row r="929" spans="1:30" ht="12.75" x14ac:dyDescent="0.2">
      <c r="A929" s="8"/>
      <c r="B929" s="8"/>
      <c r="C929" s="30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10"/>
      <c r="AC929" s="10"/>
      <c r="AD929" s="10"/>
    </row>
    <row r="930" spans="1:30" ht="12.75" x14ac:dyDescent="0.2">
      <c r="A930" s="8"/>
      <c r="B930" s="8"/>
      <c r="C930" s="30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10"/>
      <c r="AC930" s="10"/>
      <c r="AD930" s="10"/>
    </row>
    <row r="931" spans="1:30" ht="12.75" x14ac:dyDescent="0.2">
      <c r="A931" s="8"/>
      <c r="B931" s="8"/>
      <c r="C931" s="30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10"/>
      <c r="AC931" s="10"/>
      <c r="AD931" s="10"/>
    </row>
    <row r="932" spans="1:30" ht="12.75" x14ac:dyDescent="0.2">
      <c r="A932" s="8"/>
      <c r="B932" s="8"/>
      <c r="C932" s="30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10"/>
      <c r="AC932" s="10"/>
      <c r="AD932" s="10"/>
    </row>
    <row r="933" spans="1:30" ht="12.75" x14ac:dyDescent="0.2">
      <c r="A933" s="8"/>
      <c r="B933" s="8"/>
      <c r="C933" s="30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10"/>
      <c r="AC933" s="10"/>
      <c r="AD933" s="10"/>
    </row>
    <row r="934" spans="1:30" ht="12.75" x14ac:dyDescent="0.2">
      <c r="A934" s="8"/>
      <c r="B934" s="8"/>
      <c r="C934" s="30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10"/>
      <c r="AC934" s="10"/>
      <c r="AD934" s="10"/>
    </row>
    <row r="935" spans="1:30" ht="12.75" x14ac:dyDescent="0.2">
      <c r="A935" s="8"/>
      <c r="B935" s="8"/>
      <c r="C935" s="30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10"/>
      <c r="AC935" s="10"/>
      <c r="AD935" s="10"/>
    </row>
    <row r="936" spans="1:30" ht="12.75" x14ac:dyDescent="0.2">
      <c r="A936" s="8"/>
      <c r="B936" s="8"/>
      <c r="C936" s="30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10"/>
      <c r="AC936" s="10"/>
      <c r="AD936" s="10"/>
    </row>
    <row r="937" spans="1:30" ht="12.75" x14ac:dyDescent="0.2">
      <c r="A937" s="8"/>
      <c r="B937" s="8"/>
      <c r="C937" s="30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10"/>
      <c r="AC937" s="10"/>
      <c r="AD937" s="10"/>
    </row>
    <row r="938" spans="1:30" ht="12.75" x14ac:dyDescent="0.2">
      <c r="A938" s="8"/>
      <c r="B938" s="8"/>
      <c r="C938" s="30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10"/>
      <c r="AC938" s="10"/>
      <c r="AD938" s="10"/>
    </row>
    <row r="939" spans="1:30" ht="12.75" x14ac:dyDescent="0.2">
      <c r="A939" s="8"/>
      <c r="B939" s="8"/>
      <c r="C939" s="30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10"/>
      <c r="AC939" s="10"/>
      <c r="AD939" s="10"/>
    </row>
    <row r="940" spans="1:30" ht="12.75" x14ac:dyDescent="0.2">
      <c r="A940" s="8"/>
      <c r="B940" s="8"/>
      <c r="C940" s="30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10"/>
      <c r="AC940" s="10"/>
      <c r="AD940" s="10"/>
    </row>
    <row r="941" spans="1:30" ht="12.75" x14ac:dyDescent="0.2">
      <c r="A941" s="8"/>
      <c r="B941" s="8"/>
      <c r="C941" s="30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10"/>
      <c r="AC941" s="10"/>
      <c r="AD941" s="10"/>
    </row>
    <row r="942" spans="1:30" ht="12.75" x14ac:dyDescent="0.2">
      <c r="A942" s="8"/>
      <c r="B942" s="8"/>
      <c r="C942" s="30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10"/>
      <c r="AC942" s="10"/>
      <c r="AD942" s="10"/>
    </row>
    <row r="943" spans="1:30" ht="12.75" x14ac:dyDescent="0.2">
      <c r="A943" s="8"/>
      <c r="B943" s="8"/>
      <c r="C943" s="30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10"/>
      <c r="AC943" s="10"/>
      <c r="AD943" s="10"/>
    </row>
    <row r="944" spans="1:30" ht="12.75" x14ac:dyDescent="0.2">
      <c r="A944" s="8"/>
      <c r="B944" s="8"/>
      <c r="C944" s="30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10"/>
      <c r="AC944" s="10"/>
      <c r="AD944" s="10"/>
    </row>
    <row r="945" spans="1:30" ht="12.75" x14ac:dyDescent="0.2">
      <c r="A945" s="8"/>
      <c r="B945" s="8"/>
      <c r="C945" s="30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10"/>
      <c r="AC945" s="10"/>
      <c r="AD945" s="10"/>
    </row>
    <row r="946" spans="1:30" ht="12.75" x14ac:dyDescent="0.2">
      <c r="A946" s="8"/>
      <c r="B946" s="8"/>
      <c r="C946" s="30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10"/>
      <c r="AC946" s="10"/>
      <c r="AD946" s="10"/>
    </row>
  </sheetData>
  <autoFilter ref="A1:AB66"/>
  <hyperlinks>
    <hyperlink ref="G63" r:id="rId1"/>
    <hyperlink ref="G2" r:id="rId2"/>
    <hyperlink ref="G7" r:id="rId3"/>
    <hyperlink ref="G55" r:id="rId4"/>
    <hyperlink ref="G21" r:id="rId5"/>
    <hyperlink ref="G5" r:id="rId6"/>
    <hyperlink ref="G3" r:id="rId7"/>
    <hyperlink ref="G12" r:id="rId8"/>
    <hyperlink ref="G16" r:id="rId9"/>
    <hyperlink ref="G18" r:id="rId10"/>
    <hyperlink ref="G19" r:id="rId11"/>
    <hyperlink ref="G20" r:id="rId12"/>
    <hyperlink ref="G28" r:id="rId13"/>
    <hyperlink ref="G32" r:id="rId14"/>
    <hyperlink ref="G15" r:id="rId15"/>
    <hyperlink ref="G61" r:id="rId16"/>
    <hyperlink ref="G62" r:id="rId17"/>
    <hyperlink ref="G56" r:id="rId18"/>
    <hyperlink ref="G8" r:id="rId19"/>
    <hyperlink ref="G22" r:id="rId20"/>
    <hyperlink ref="G30" r:id="rId21"/>
    <hyperlink ref="G31" r:id="rId22"/>
    <hyperlink ref="G33" r:id="rId23"/>
    <hyperlink ref="G36" r:id="rId24"/>
    <hyperlink ref="G42" r:id="rId25"/>
    <hyperlink ref="G39" r:id="rId26"/>
    <hyperlink ref="G41" r:id="rId27"/>
    <hyperlink ref="G43" r:id="rId28"/>
    <hyperlink ref="G48" r:id="rId29"/>
    <hyperlink ref="G45" r:id="rId30"/>
    <hyperlink ref="G49" r:id="rId31"/>
    <hyperlink ref="G52" r:id="rId32"/>
    <hyperlink ref="G66" r:id="rId33"/>
    <hyperlink ref="G29" r:id="rId34"/>
    <hyperlink ref="G50" r:id="rId35"/>
    <hyperlink ref="G51" r:id="rId36"/>
    <hyperlink ref="G65" r:id="rId37"/>
    <hyperlink ref="G40" r:id="rId38"/>
    <hyperlink ref="G64" r:id="rId39"/>
    <hyperlink ref="G37" r:id="rId40"/>
  </hyperlinks>
  <pageMargins left="0.7" right="0.7" top="0.75" bottom="0.75" header="0.3" footer="0.3"/>
  <pageSetup paperSize="9" orientation="portrait" r:id="rId41"/>
  <legacyDrawing r:id="rId4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نطاقات تمت تسميتها</vt:lpstr>
      </vt:variant>
      <vt:variant>
        <vt:i4>2</vt:i4>
      </vt:variant>
    </vt:vector>
  </HeadingPairs>
  <TitlesOfParts>
    <vt:vector size="3" baseType="lpstr">
      <vt:lpstr>Sheet182</vt:lpstr>
      <vt:lpstr>ديالو</vt:lpstr>
      <vt:lpstr>لاسن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Abobakr</dc:creator>
  <cp:lastModifiedBy>‏‏مستخدم Windows</cp:lastModifiedBy>
  <dcterms:created xsi:type="dcterms:W3CDTF">2025-02-22T13:01:05Z</dcterms:created>
  <dcterms:modified xsi:type="dcterms:W3CDTF">2026-01-31T11:19:58Z</dcterms:modified>
</cp:coreProperties>
</file>