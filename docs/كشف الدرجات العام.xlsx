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62b4eddd2095285/Desktop/الكشوف الشامل/"/>
    </mc:Choice>
  </mc:AlternateContent>
  <xr:revisionPtr revIDLastSave="1" documentId="13_ncr:1_{222D144D-EEF3-4ACE-B9AB-1FB5B464B8F4}" xr6:coauthVersionLast="47" xr6:coauthVersionMax="47" xr10:uidLastSave="{72E61184-E9E0-4B91-A490-58E58EA87CEF}"/>
  <bookViews>
    <workbookView xWindow="-108" yWindow="-108" windowWidth="23256" windowHeight="12456" activeTab="2" xr2:uid="{00000000-000D-0000-FFFF-FFFF00000000}"/>
  </bookViews>
  <sheets>
    <sheet name="المستوى الثاني 2024-2023" sheetId="1" r:id="rId1"/>
    <sheet name="المستوى الثالث 2024-2025 ف 1" sheetId="2" r:id="rId2"/>
    <sheet name="المستوى الرابع 2024-2025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2" l="1"/>
  <c r="F19" i="2"/>
  <c r="I67" i="2"/>
  <c r="H72" i="2"/>
  <c r="C72" i="2"/>
  <c r="C42" i="2"/>
  <c r="L76" i="2"/>
  <c r="K76" i="2"/>
  <c r="J76" i="2"/>
  <c r="I76" i="2"/>
  <c r="H76" i="2"/>
  <c r="G76" i="2"/>
  <c r="F76" i="2"/>
  <c r="E76" i="2"/>
  <c r="D76" i="2"/>
  <c r="C76" i="2"/>
  <c r="L77" i="2"/>
  <c r="K77" i="2"/>
  <c r="J77" i="2"/>
  <c r="I77" i="2"/>
  <c r="H77" i="2"/>
  <c r="G77" i="2"/>
  <c r="F77" i="2"/>
  <c r="E77" i="2"/>
  <c r="D77" i="2"/>
  <c r="C77" i="2"/>
  <c r="L75" i="2"/>
  <c r="K75" i="2"/>
  <c r="J75" i="2"/>
  <c r="I75" i="2"/>
  <c r="H75" i="2"/>
  <c r="G75" i="2"/>
  <c r="F75" i="2"/>
  <c r="E75" i="2"/>
  <c r="D75" i="2"/>
  <c r="C75" i="2"/>
  <c r="L74" i="2"/>
  <c r="K74" i="2"/>
  <c r="J74" i="2"/>
  <c r="I74" i="2"/>
  <c r="H74" i="2"/>
  <c r="G74" i="2"/>
  <c r="F74" i="2"/>
  <c r="E74" i="2"/>
  <c r="D74" i="2"/>
  <c r="C74" i="2"/>
  <c r="L66" i="2"/>
  <c r="K66" i="2"/>
  <c r="I66" i="2"/>
  <c r="H66" i="2"/>
  <c r="G66" i="2"/>
  <c r="E66" i="2"/>
  <c r="D66" i="2"/>
  <c r="C66" i="2"/>
  <c r="K49" i="2"/>
  <c r="J49" i="2"/>
  <c r="G49" i="2"/>
  <c r="F49" i="2"/>
  <c r="E49" i="2"/>
  <c r="D49" i="2"/>
  <c r="L54" i="2"/>
  <c r="K54" i="2"/>
  <c r="J54" i="2"/>
  <c r="I54" i="2"/>
  <c r="H54" i="2"/>
  <c r="G54" i="2"/>
  <c r="F54" i="2"/>
  <c r="E54" i="2"/>
  <c r="D54" i="2"/>
  <c r="C54" i="2"/>
  <c r="L67" i="2"/>
  <c r="K67" i="2"/>
  <c r="H67" i="2"/>
  <c r="G67" i="2"/>
  <c r="E67" i="2"/>
  <c r="D67" i="2"/>
  <c r="C67" i="2"/>
  <c r="L70" i="2"/>
  <c r="K70" i="2"/>
  <c r="I70" i="2"/>
  <c r="H70" i="2"/>
  <c r="G70" i="2"/>
  <c r="E70" i="2"/>
  <c r="D70" i="2"/>
  <c r="C70" i="2"/>
  <c r="L60" i="2"/>
  <c r="K60" i="2"/>
  <c r="J60" i="2"/>
  <c r="I60" i="2"/>
  <c r="H60" i="2"/>
  <c r="G60" i="2"/>
  <c r="F60" i="2"/>
  <c r="E60" i="2"/>
  <c r="D60" i="2"/>
  <c r="C60" i="2"/>
  <c r="L69" i="2"/>
  <c r="K69" i="2"/>
  <c r="I69" i="2"/>
  <c r="H69" i="2"/>
  <c r="G69" i="2"/>
  <c r="E69" i="2"/>
  <c r="D69" i="2"/>
  <c r="C69" i="2"/>
  <c r="L19" i="2"/>
  <c r="J19" i="2"/>
  <c r="I19" i="2"/>
  <c r="H19" i="2"/>
  <c r="G19" i="2"/>
  <c r="E19" i="2"/>
  <c r="D19" i="2"/>
  <c r="C19" i="2"/>
  <c r="L50" i="2"/>
  <c r="J50" i="2"/>
  <c r="H50" i="2"/>
  <c r="G50" i="2"/>
  <c r="F50" i="2"/>
  <c r="E50" i="2"/>
  <c r="L55" i="2"/>
  <c r="J55" i="2"/>
  <c r="G55" i="2"/>
  <c r="F55" i="2"/>
  <c r="E55" i="2"/>
  <c r="D55" i="2"/>
  <c r="L61" i="2"/>
  <c r="K61" i="2"/>
  <c r="J61" i="2"/>
  <c r="I61" i="2"/>
  <c r="H61" i="2"/>
  <c r="G61" i="2"/>
  <c r="E61" i="2"/>
  <c r="C61" i="2"/>
  <c r="L64" i="2"/>
  <c r="K64" i="2"/>
  <c r="J64" i="2"/>
  <c r="I64" i="2"/>
  <c r="H64" i="2"/>
  <c r="G64" i="2"/>
  <c r="F64" i="2"/>
  <c r="E64" i="2"/>
  <c r="D64" i="2"/>
  <c r="C64" i="2"/>
  <c r="L63" i="2"/>
  <c r="K63" i="2"/>
  <c r="J63" i="2"/>
  <c r="I63" i="2"/>
  <c r="H63" i="2"/>
  <c r="G63" i="2"/>
  <c r="F63" i="2"/>
  <c r="E63" i="2"/>
  <c r="D63" i="2"/>
  <c r="C63" i="2"/>
  <c r="L48" i="2"/>
  <c r="K48" i="2"/>
  <c r="J48" i="2"/>
  <c r="I48" i="2"/>
  <c r="H48" i="2"/>
  <c r="G48" i="2"/>
  <c r="F48" i="2"/>
  <c r="E48" i="2"/>
  <c r="L65" i="2"/>
  <c r="K65" i="2"/>
  <c r="J65" i="2"/>
  <c r="I65" i="2"/>
  <c r="H65" i="2"/>
  <c r="G65" i="2"/>
  <c r="F65" i="2"/>
  <c r="E65" i="2"/>
  <c r="D65" i="2"/>
  <c r="C65" i="2"/>
  <c r="J73" i="2"/>
  <c r="I73" i="2"/>
  <c r="H73" i="2"/>
  <c r="G73" i="2"/>
  <c r="E73" i="2"/>
  <c r="C73" i="2"/>
  <c r="K56" i="2"/>
  <c r="J56" i="2"/>
  <c r="I56" i="2"/>
  <c r="H56" i="2"/>
  <c r="G56" i="2"/>
  <c r="F56" i="2"/>
  <c r="E56" i="2"/>
  <c r="D56" i="2"/>
  <c r="L22" i="2"/>
  <c r="K22" i="2"/>
  <c r="J22" i="2"/>
  <c r="I22" i="2"/>
  <c r="H22" i="2"/>
  <c r="G22" i="2"/>
  <c r="F22" i="2"/>
  <c r="E22" i="2"/>
  <c r="D22" i="2"/>
  <c r="C22" i="2"/>
  <c r="L62" i="2"/>
  <c r="K62" i="2"/>
  <c r="I62" i="2"/>
  <c r="H62" i="2"/>
  <c r="G62" i="2"/>
  <c r="E62" i="2"/>
  <c r="D62" i="2"/>
  <c r="C62" i="2"/>
  <c r="L59" i="2"/>
  <c r="K59" i="2"/>
  <c r="J59" i="2"/>
  <c r="I59" i="2"/>
  <c r="G59" i="2"/>
  <c r="F59" i="2"/>
  <c r="E59" i="2"/>
  <c r="D59" i="2"/>
  <c r="L57" i="2"/>
  <c r="K57" i="2"/>
  <c r="J57" i="2"/>
  <c r="I57" i="2"/>
  <c r="H57" i="2"/>
  <c r="G57" i="2"/>
  <c r="F57" i="2"/>
  <c r="E57" i="2"/>
  <c r="D57" i="2"/>
  <c r="C57" i="2"/>
  <c r="L30" i="2"/>
  <c r="K30" i="2"/>
  <c r="J30" i="2"/>
  <c r="I30" i="2"/>
  <c r="H30" i="2"/>
  <c r="G30" i="2"/>
  <c r="F30" i="2"/>
  <c r="E30" i="2"/>
  <c r="D30" i="2"/>
  <c r="C30" i="2"/>
  <c r="L53" i="2"/>
  <c r="K53" i="2"/>
  <c r="J53" i="2"/>
  <c r="I53" i="2"/>
  <c r="H53" i="2"/>
  <c r="G53" i="2"/>
  <c r="F53" i="2"/>
  <c r="E53" i="2"/>
  <c r="D53" i="2"/>
  <c r="C53" i="2"/>
  <c r="L52" i="2"/>
  <c r="K52" i="2"/>
  <c r="J52" i="2"/>
  <c r="I52" i="2"/>
  <c r="H52" i="2"/>
  <c r="G52" i="2"/>
  <c r="F52" i="2"/>
  <c r="E52" i="2"/>
  <c r="D52" i="2"/>
  <c r="C52" i="2"/>
  <c r="L68" i="2"/>
  <c r="K68" i="2"/>
  <c r="I68" i="2"/>
  <c r="H68" i="2"/>
  <c r="G68" i="2"/>
  <c r="F68" i="2"/>
  <c r="E68" i="2"/>
  <c r="C68" i="2"/>
  <c r="L41" i="2"/>
  <c r="K41" i="2"/>
  <c r="J41" i="2"/>
  <c r="I41" i="2"/>
  <c r="H41" i="2"/>
  <c r="G41" i="2"/>
  <c r="F41" i="2"/>
  <c r="E41" i="2"/>
  <c r="D41" i="2"/>
  <c r="C41" i="2"/>
  <c r="L51" i="2"/>
  <c r="K51" i="2"/>
  <c r="J51" i="2"/>
  <c r="F51" i="2"/>
  <c r="E51" i="2"/>
  <c r="K47" i="2"/>
  <c r="J47" i="2"/>
  <c r="I47" i="2"/>
  <c r="H47" i="2"/>
  <c r="G47" i="2"/>
  <c r="F47" i="2"/>
  <c r="E47" i="2"/>
  <c r="D47" i="2"/>
  <c r="L46" i="2"/>
  <c r="K46" i="2"/>
  <c r="J46" i="2"/>
  <c r="I46" i="2"/>
  <c r="H46" i="2"/>
  <c r="G46" i="2"/>
  <c r="F46" i="2"/>
  <c r="E46" i="2"/>
  <c r="D46" i="2"/>
  <c r="C46" i="2"/>
  <c r="L45" i="2"/>
  <c r="K45" i="2"/>
  <c r="J45" i="2"/>
  <c r="I45" i="2"/>
  <c r="H45" i="2"/>
  <c r="G45" i="2"/>
  <c r="F45" i="2"/>
  <c r="D45" i="2"/>
  <c r="L58" i="2"/>
  <c r="K58" i="2"/>
  <c r="J58" i="2"/>
  <c r="I58" i="2"/>
  <c r="H58" i="2"/>
  <c r="G58" i="2"/>
  <c r="F58" i="2"/>
  <c r="D58" i="2"/>
  <c r="L40" i="2"/>
  <c r="K40" i="2"/>
  <c r="J40" i="2"/>
  <c r="I40" i="2"/>
  <c r="H40" i="2"/>
  <c r="G40" i="2"/>
  <c r="F40" i="2"/>
  <c r="E40" i="2"/>
  <c r="D40" i="2"/>
  <c r="C40" i="2"/>
  <c r="L44" i="2"/>
  <c r="K44" i="2"/>
  <c r="J44" i="2"/>
  <c r="I44" i="2"/>
  <c r="H44" i="2"/>
  <c r="G44" i="2"/>
  <c r="F44" i="2"/>
  <c r="E44" i="2"/>
  <c r="D44" i="2"/>
  <c r="C44" i="2"/>
  <c r="L43" i="2"/>
  <c r="K43" i="2"/>
  <c r="J43" i="2"/>
  <c r="I43" i="2"/>
  <c r="H43" i="2"/>
  <c r="G43" i="2"/>
  <c r="F43" i="2"/>
  <c r="E43" i="2"/>
  <c r="D43" i="2"/>
  <c r="C43" i="2"/>
  <c r="K42" i="2"/>
  <c r="J42" i="2"/>
  <c r="I42" i="2"/>
  <c r="H42" i="2"/>
  <c r="F42" i="2"/>
  <c r="E42" i="2"/>
  <c r="D42" i="2"/>
  <c r="L72" i="2"/>
  <c r="K72" i="2"/>
  <c r="J72" i="2"/>
  <c r="G72" i="2"/>
  <c r="L33" i="2"/>
  <c r="K33" i="2"/>
  <c r="J33" i="2"/>
  <c r="I33" i="2"/>
  <c r="H33" i="2"/>
  <c r="G33" i="2"/>
  <c r="F33" i="2"/>
  <c r="E33" i="2"/>
  <c r="D33" i="2"/>
  <c r="C33" i="2"/>
  <c r="L36" i="2"/>
  <c r="K36" i="2"/>
  <c r="J36" i="2"/>
  <c r="I36" i="2"/>
  <c r="H36" i="2"/>
  <c r="G36" i="2"/>
  <c r="F36" i="2"/>
  <c r="E36" i="2"/>
  <c r="D36" i="2"/>
  <c r="C36" i="2"/>
  <c r="L21" i="2"/>
  <c r="K21" i="2"/>
  <c r="J21" i="2"/>
  <c r="I21" i="2"/>
  <c r="H21" i="2"/>
  <c r="G21" i="2"/>
  <c r="F21" i="2"/>
  <c r="E21" i="2"/>
  <c r="D21" i="2"/>
  <c r="C21" i="2"/>
  <c r="L39" i="2"/>
  <c r="K39" i="2"/>
  <c r="J39" i="2"/>
  <c r="I39" i="2"/>
  <c r="H39" i="2"/>
  <c r="G39" i="2"/>
  <c r="F39" i="2"/>
  <c r="E39" i="2"/>
  <c r="D39" i="2"/>
  <c r="C39" i="2"/>
  <c r="L38" i="2"/>
  <c r="K38" i="2"/>
  <c r="J38" i="2"/>
  <c r="I38" i="2"/>
  <c r="H38" i="2"/>
  <c r="G38" i="2"/>
  <c r="F38" i="2"/>
  <c r="E38" i="2"/>
  <c r="D38" i="2"/>
  <c r="C38" i="2"/>
  <c r="L35" i="2"/>
  <c r="K35" i="2"/>
  <c r="J35" i="2"/>
  <c r="I35" i="2"/>
  <c r="H35" i="2"/>
  <c r="G35" i="2"/>
  <c r="F35" i="2"/>
  <c r="E35" i="2"/>
  <c r="D35" i="2"/>
  <c r="C35" i="2"/>
  <c r="L34" i="2"/>
  <c r="K34" i="2"/>
  <c r="J34" i="2"/>
  <c r="I34" i="2"/>
  <c r="H34" i="2"/>
  <c r="G34" i="2"/>
  <c r="F34" i="2"/>
  <c r="E34" i="2"/>
  <c r="D34" i="2"/>
  <c r="C34" i="2"/>
  <c r="L37" i="2"/>
  <c r="K37" i="2"/>
  <c r="J37" i="2"/>
  <c r="I37" i="2"/>
  <c r="H37" i="2"/>
  <c r="G37" i="2"/>
  <c r="F37" i="2"/>
  <c r="E37" i="2"/>
  <c r="D37" i="2"/>
  <c r="C37" i="2"/>
  <c r="L32" i="2"/>
  <c r="K32" i="2"/>
  <c r="J32" i="2"/>
  <c r="I32" i="2"/>
  <c r="H32" i="2"/>
  <c r="G32" i="2"/>
  <c r="F32" i="2"/>
  <c r="E32" i="2"/>
  <c r="D32" i="2"/>
  <c r="C32" i="2"/>
  <c r="L31" i="2"/>
  <c r="K31" i="2"/>
  <c r="J31" i="2"/>
  <c r="I31" i="2"/>
  <c r="H31" i="2"/>
  <c r="G31" i="2"/>
  <c r="F31" i="2"/>
  <c r="E31" i="2"/>
  <c r="D31" i="2"/>
  <c r="C31" i="2"/>
  <c r="L29" i="2"/>
  <c r="K29" i="2"/>
  <c r="J29" i="2"/>
  <c r="I29" i="2"/>
  <c r="H29" i="2"/>
  <c r="G29" i="2"/>
  <c r="F29" i="2"/>
  <c r="E29" i="2"/>
  <c r="D29" i="2"/>
  <c r="C29" i="2"/>
  <c r="L28" i="2"/>
  <c r="K28" i="2"/>
  <c r="J28" i="2"/>
  <c r="I28" i="2"/>
  <c r="H28" i="2"/>
  <c r="G28" i="2"/>
  <c r="F28" i="2"/>
  <c r="E28" i="2"/>
  <c r="D28" i="2"/>
  <c r="C28" i="2"/>
  <c r="L27" i="2"/>
  <c r="K27" i="2"/>
  <c r="J27" i="2"/>
  <c r="I27" i="2"/>
  <c r="H27" i="2"/>
  <c r="G27" i="2"/>
  <c r="F27" i="2"/>
  <c r="E27" i="2"/>
  <c r="D27" i="2"/>
  <c r="C27" i="2"/>
  <c r="L71" i="2"/>
  <c r="K71" i="2"/>
  <c r="I71" i="2"/>
  <c r="H71" i="2"/>
  <c r="G71" i="2"/>
  <c r="E71" i="2"/>
  <c r="L26" i="2"/>
  <c r="K26" i="2"/>
  <c r="J26" i="2"/>
  <c r="I26" i="2"/>
  <c r="H26" i="2"/>
  <c r="G26" i="2"/>
  <c r="F26" i="2"/>
  <c r="E26" i="2"/>
  <c r="D26" i="2"/>
  <c r="C26" i="2"/>
  <c r="L16" i="2"/>
  <c r="K16" i="2"/>
  <c r="J16" i="2"/>
  <c r="I16" i="2"/>
  <c r="H16" i="2"/>
  <c r="G16" i="2"/>
  <c r="F16" i="2"/>
  <c r="E16" i="2"/>
  <c r="D16" i="2"/>
  <c r="C16" i="2"/>
  <c r="L25" i="2"/>
  <c r="K25" i="2"/>
  <c r="J25" i="2"/>
  <c r="I25" i="2"/>
  <c r="H25" i="2"/>
  <c r="G25" i="2"/>
  <c r="F25" i="2"/>
  <c r="E25" i="2"/>
  <c r="D25" i="2"/>
  <c r="C25" i="2"/>
  <c r="L14" i="2"/>
  <c r="K14" i="2"/>
  <c r="J14" i="2"/>
  <c r="I14" i="2"/>
  <c r="H14" i="2"/>
  <c r="G14" i="2"/>
  <c r="F14" i="2"/>
  <c r="E14" i="2"/>
  <c r="D14" i="2"/>
  <c r="C14" i="2"/>
  <c r="L24" i="2"/>
  <c r="K24" i="2"/>
  <c r="J24" i="2"/>
  <c r="I24" i="2"/>
  <c r="H24" i="2"/>
  <c r="G24" i="2"/>
  <c r="F24" i="2"/>
  <c r="E24" i="2"/>
  <c r="D24" i="2"/>
  <c r="C24" i="2"/>
  <c r="L23" i="2"/>
  <c r="K23" i="2"/>
  <c r="J23" i="2"/>
  <c r="I23" i="2"/>
  <c r="H23" i="2"/>
  <c r="G23" i="2"/>
  <c r="F23" i="2"/>
  <c r="E23" i="2"/>
  <c r="D23" i="2"/>
  <c r="C23" i="2"/>
  <c r="L13" i="2"/>
  <c r="K13" i="2"/>
  <c r="J13" i="2"/>
  <c r="I13" i="2"/>
  <c r="H13" i="2"/>
  <c r="G13" i="2"/>
  <c r="F13" i="2"/>
  <c r="E13" i="2"/>
  <c r="D13" i="2"/>
  <c r="C13" i="2"/>
  <c r="L20" i="2"/>
  <c r="K20" i="2"/>
  <c r="J20" i="2"/>
  <c r="I20" i="2"/>
  <c r="H20" i="2"/>
  <c r="G20" i="2"/>
  <c r="F20" i="2"/>
  <c r="E20" i="2"/>
  <c r="D20" i="2"/>
  <c r="C20" i="2"/>
  <c r="L18" i="2"/>
  <c r="K18" i="2"/>
  <c r="J18" i="2"/>
  <c r="I18" i="2"/>
  <c r="H18" i="2"/>
  <c r="G18" i="2"/>
  <c r="F18" i="2"/>
  <c r="E18" i="2"/>
  <c r="D18" i="2"/>
  <c r="C18" i="2"/>
  <c r="L17" i="2"/>
  <c r="K17" i="2"/>
  <c r="J17" i="2"/>
  <c r="I17" i="2"/>
  <c r="H17" i="2"/>
  <c r="G17" i="2"/>
  <c r="F17" i="2"/>
  <c r="E17" i="2"/>
  <c r="D17" i="2"/>
  <c r="C17" i="2"/>
  <c r="L15" i="2"/>
  <c r="K15" i="2"/>
  <c r="J15" i="2"/>
  <c r="I15" i="2"/>
  <c r="H15" i="2"/>
  <c r="G15" i="2"/>
  <c r="F15" i="2"/>
  <c r="E15" i="2"/>
  <c r="D15" i="2"/>
  <c r="C15" i="2"/>
  <c r="L12" i="2"/>
  <c r="K12" i="2"/>
  <c r="J12" i="2"/>
  <c r="I12" i="2"/>
  <c r="H12" i="2"/>
  <c r="G12" i="2"/>
  <c r="F12" i="2"/>
  <c r="E12" i="2"/>
  <c r="D12" i="2"/>
  <c r="C12" i="2"/>
  <c r="L11" i="2"/>
  <c r="K11" i="2"/>
  <c r="J11" i="2"/>
  <c r="I11" i="2"/>
  <c r="H11" i="2"/>
  <c r="G11" i="2"/>
  <c r="F11" i="2"/>
  <c r="E11" i="2"/>
  <c r="D11" i="2"/>
  <c r="C11" i="2"/>
  <c r="L10" i="2"/>
  <c r="K10" i="2"/>
  <c r="J10" i="2"/>
  <c r="I10" i="2"/>
  <c r="H10" i="2"/>
  <c r="G10" i="2"/>
  <c r="F10" i="2"/>
  <c r="E10" i="2"/>
  <c r="D10" i="2"/>
  <c r="C10" i="2"/>
  <c r="L9" i="2"/>
  <c r="K9" i="2"/>
  <c r="J9" i="2"/>
  <c r="I9" i="2"/>
  <c r="H9" i="2"/>
  <c r="G9" i="2"/>
  <c r="F9" i="2"/>
  <c r="E9" i="2"/>
  <c r="D9" i="2"/>
  <c r="C9" i="2"/>
  <c r="L8" i="2"/>
  <c r="K8" i="2"/>
  <c r="J8" i="2"/>
  <c r="I8" i="2"/>
  <c r="H8" i="2"/>
  <c r="G8" i="2"/>
  <c r="F8" i="2"/>
  <c r="E8" i="2"/>
  <c r="D8" i="2"/>
  <c r="C8" i="2"/>
  <c r="L7" i="2"/>
  <c r="K7" i="2"/>
  <c r="J7" i="2"/>
  <c r="I7" i="2"/>
  <c r="H7" i="2"/>
  <c r="G7" i="2"/>
  <c r="F7" i="2"/>
  <c r="E7" i="2"/>
  <c r="D7" i="2"/>
  <c r="C7" i="2"/>
  <c r="L6" i="2"/>
  <c r="K6" i="2"/>
  <c r="J6" i="2"/>
  <c r="I6" i="2"/>
  <c r="H6" i="2"/>
  <c r="G6" i="2"/>
  <c r="F6" i="2"/>
  <c r="E6" i="2"/>
  <c r="D6" i="2"/>
  <c r="C6" i="2"/>
  <c r="L5" i="2"/>
  <c r="K5" i="2"/>
  <c r="J5" i="2"/>
  <c r="I5" i="2"/>
  <c r="H5" i="2"/>
  <c r="G5" i="2"/>
  <c r="F5" i="2"/>
  <c r="E5" i="2"/>
  <c r="D5" i="2"/>
  <c r="C5" i="2"/>
  <c r="L4" i="2"/>
  <c r="K4" i="2"/>
  <c r="J4" i="2"/>
  <c r="I4" i="2"/>
  <c r="H4" i="2"/>
  <c r="G4" i="2"/>
  <c r="F4" i="2"/>
  <c r="E4" i="2"/>
  <c r="D4" i="2"/>
  <c r="C4" i="2"/>
  <c r="L3" i="2"/>
  <c r="K3" i="2"/>
  <c r="J3" i="2"/>
  <c r="I3" i="2"/>
  <c r="H3" i="2"/>
  <c r="G3" i="2"/>
  <c r="F3" i="2"/>
  <c r="E3" i="2"/>
  <c r="D3" i="2"/>
  <c r="C3" i="2"/>
  <c r="O19" i="2" l="1"/>
  <c r="P19" i="2" s="1"/>
  <c r="O75" i="2"/>
  <c r="P75" i="2" s="1"/>
  <c r="O59" i="2"/>
  <c r="P59" i="2" s="1"/>
  <c r="M4" i="2"/>
  <c r="N4" i="2" s="1"/>
  <c r="Q4" i="2" s="1"/>
  <c r="M6" i="2"/>
  <c r="N6" i="2" s="1"/>
  <c r="M8" i="2"/>
  <c r="N8" i="2" s="1"/>
  <c r="M10" i="2"/>
  <c r="N10" i="2" s="1"/>
  <c r="M12" i="2"/>
  <c r="N12" i="2" s="1"/>
  <c r="Q12" i="2" s="1"/>
  <c r="O15" i="2"/>
  <c r="P15" i="2" s="1"/>
  <c r="M17" i="2"/>
  <c r="N17" i="2" s="1"/>
  <c r="Q17" i="2" s="1"/>
  <c r="O18" i="2"/>
  <c r="P18" i="2" s="1"/>
  <c r="M20" i="2"/>
  <c r="N20" i="2" s="1"/>
  <c r="Q20" i="2" s="1"/>
  <c r="O13" i="2"/>
  <c r="P13" i="2" s="1"/>
  <c r="M23" i="2"/>
  <c r="N23" i="2" s="1"/>
  <c r="O24" i="2"/>
  <c r="P24" i="2" s="1"/>
  <c r="M14" i="2"/>
  <c r="N14" i="2" s="1"/>
  <c r="Q14" i="2" s="1"/>
  <c r="O25" i="2"/>
  <c r="P25" i="2" s="1"/>
  <c r="M16" i="2"/>
  <c r="N16" i="2" s="1"/>
  <c r="O26" i="2"/>
  <c r="P26" i="2" s="1"/>
  <c r="M71" i="2"/>
  <c r="N71" i="2" s="1"/>
  <c r="Q71" i="2" s="1"/>
  <c r="O58" i="2"/>
  <c r="P58" i="2" s="1"/>
  <c r="M46" i="2"/>
  <c r="N46" i="2" s="1"/>
  <c r="O51" i="2"/>
  <c r="P51" i="2" s="1"/>
  <c r="O41" i="2"/>
  <c r="P41" i="2" s="1"/>
  <c r="O43" i="2"/>
  <c r="P43" i="2" s="1"/>
  <c r="O40" i="2"/>
  <c r="P40" i="2" s="1"/>
  <c r="M49" i="2"/>
  <c r="N49" i="2" s="1"/>
  <c r="O67" i="2"/>
  <c r="P67" i="2" s="1"/>
  <c r="M22" i="2"/>
  <c r="N22" i="2" s="1"/>
  <c r="O65" i="2"/>
  <c r="P65" i="2" s="1"/>
  <c r="M43" i="2"/>
  <c r="N43" i="2" s="1"/>
  <c r="Q43" i="2" s="1"/>
  <c r="O52" i="2"/>
  <c r="P52" i="2" s="1"/>
  <c r="O30" i="2"/>
  <c r="P30" i="2" s="1"/>
  <c r="O63" i="2"/>
  <c r="P63" i="2" s="1"/>
  <c r="O69" i="2"/>
  <c r="P69" i="2" s="1"/>
  <c r="M3" i="2"/>
  <c r="N3" i="2" s="1"/>
  <c r="Q3" i="2" s="1"/>
  <c r="O5" i="2"/>
  <c r="P5" i="2" s="1"/>
  <c r="O7" i="2"/>
  <c r="P7" i="2" s="1"/>
  <c r="O8" i="2"/>
  <c r="P8" i="2" s="1"/>
  <c r="M9" i="2"/>
  <c r="N9" i="2" s="1"/>
  <c r="Q9" i="2" s="1"/>
  <c r="O10" i="2"/>
  <c r="P10" i="2" s="1"/>
  <c r="M11" i="2"/>
  <c r="N11" i="2" s="1"/>
  <c r="Q11" i="2" s="1"/>
  <c r="O12" i="2"/>
  <c r="P12" i="2" s="1"/>
  <c r="M15" i="2"/>
  <c r="N15" i="2" s="1"/>
  <c r="Q15" i="2" s="1"/>
  <c r="O17" i="2"/>
  <c r="P17" i="2" s="1"/>
  <c r="M18" i="2"/>
  <c r="N18" i="2" s="1"/>
  <c r="Q18" i="2" s="1"/>
  <c r="O20" i="2"/>
  <c r="P20" i="2" s="1"/>
  <c r="M13" i="2"/>
  <c r="N13" i="2" s="1"/>
  <c r="Q13" i="2" s="1"/>
  <c r="O23" i="2"/>
  <c r="P23" i="2" s="1"/>
  <c r="M24" i="2"/>
  <c r="N24" i="2" s="1"/>
  <c r="Q24" i="2" s="1"/>
  <c r="O14" i="2"/>
  <c r="P14" i="2" s="1"/>
  <c r="M25" i="2"/>
  <c r="N25" i="2" s="1"/>
  <c r="Q25" i="2" s="1"/>
  <c r="O16" i="2"/>
  <c r="P16" i="2" s="1"/>
  <c r="M26" i="2"/>
  <c r="N26" i="2" s="1"/>
  <c r="Q26" i="2" s="1"/>
  <c r="O71" i="2"/>
  <c r="P71" i="2" s="1"/>
  <c r="O27" i="2"/>
  <c r="P27" i="2" s="1"/>
  <c r="O47" i="2"/>
  <c r="P47" i="2" s="1"/>
  <c r="M41" i="2"/>
  <c r="N41" i="2" s="1"/>
  <c r="Q41" i="2" s="1"/>
  <c r="O62" i="2"/>
  <c r="P62" i="2" s="1"/>
  <c r="O56" i="2"/>
  <c r="P56" i="2" s="1"/>
  <c r="M65" i="2"/>
  <c r="N65" i="2" s="1"/>
  <c r="Q65" i="2" s="1"/>
  <c r="M55" i="2"/>
  <c r="N55" i="2" s="1"/>
  <c r="Q55" i="2" s="1"/>
  <c r="M19" i="2"/>
  <c r="N19" i="2" s="1"/>
  <c r="Q19" i="2" s="1"/>
  <c r="M54" i="2"/>
  <c r="N54" i="2" s="1"/>
  <c r="Q54" i="2" s="1"/>
  <c r="O66" i="2"/>
  <c r="P66" i="2" s="1"/>
  <c r="M75" i="2"/>
  <c r="N75" i="2" s="1"/>
  <c r="Q75" i="2" s="1"/>
  <c r="M76" i="2"/>
  <c r="N76" i="2" s="1"/>
  <c r="Q76" i="2" s="1"/>
  <c r="M40" i="2"/>
  <c r="N40" i="2" s="1"/>
  <c r="Q40" i="2" s="1"/>
  <c r="O68" i="2"/>
  <c r="P68" i="2" s="1"/>
  <c r="M53" i="2"/>
  <c r="N53" i="2" s="1"/>
  <c r="Q53" i="2" s="1"/>
  <c r="M57" i="2"/>
  <c r="N57" i="2" s="1"/>
  <c r="Q57" i="2" s="1"/>
  <c r="M59" i="2"/>
  <c r="N59" i="2" s="1"/>
  <c r="Q59" i="2" s="1"/>
  <c r="O48" i="2"/>
  <c r="P48" i="2" s="1"/>
  <c r="M64" i="2"/>
  <c r="N64" i="2" s="1"/>
  <c r="Q64" i="2" s="1"/>
  <c r="M61" i="2"/>
  <c r="N61" i="2" s="1"/>
  <c r="Q61" i="2" s="1"/>
  <c r="O61" i="2"/>
  <c r="P61" i="2" s="1"/>
  <c r="O60" i="2"/>
  <c r="P60" i="2" s="1"/>
  <c r="M77" i="2"/>
  <c r="N77" i="2" s="1"/>
  <c r="Q77" i="2" s="1"/>
  <c r="O4" i="2"/>
  <c r="P4" i="2" s="1"/>
  <c r="O6" i="2"/>
  <c r="P6" i="2" s="1"/>
  <c r="M44" i="2"/>
  <c r="N44" i="2" s="1"/>
  <c r="Q44" i="2" s="1"/>
  <c r="M58" i="2"/>
  <c r="N58" i="2" s="1"/>
  <c r="Q58" i="2" s="1"/>
  <c r="O46" i="2"/>
  <c r="P46" i="2" s="1"/>
  <c r="M52" i="2"/>
  <c r="N52" i="2" s="1"/>
  <c r="Q52" i="2" s="1"/>
  <c r="O53" i="2"/>
  <c r="P53" i="2" s="1"/>
  <c r="M30" i="2"/>
  <c r="N30" i="2" s="1"/>
  <c r="Q30" i="2" s="1"/>
  <c r="O57" i="2"/>
  <c r="P57" i="2" s="1"/>
  <c r="M63" i="2"/>
  <c r="N63" i="2" s="1"/>
  <c r="Q63" i="2" s="1"/>
  <c r="O64" i="2"/>
  <c r="P64" i="2" s="1"/>
  <c r="M60" i="2"/>
  <c r="N60" i="2" s="1"/>
  <c r="Q60" i="2" s="1"/>
  <c r="M70" i="2"/>
  <c r="N70" i="2" s="1"/>
  <c r="Q70" i="2" s="1"/>
  <c r="O70" i="2"/>
  <c r="P70" i="2" s="1"/>
  <c r="O77" i="2"/>
  <c r="P77" i="2" s="1"/>
  <c r="Q6" i="2"/>
  <c r="Q8" i="2"/>
  <c r="Q10" i="2"/>
  <c r="Q23" i="2"/>
  <c r="Q16" i="2"/>
  <c r="O9" i="2"/>
  <c r="P9" i="2" s="1"/>
  <c r="Q22" i="2"/>
  <c r="M73" i="2"/>
  <c r="N73" i="2" s="1"/>
  <c r="O73" i="2"/>
  <c r="P73" i="2" s="1"/>
  <c r="M50" i="2"/>
  <c r="N50" i="2" s="1"/>
  <c r="O50" i="2"/>
  <c r="P50" i="2" s="1"/>
  <c r="Q49" i="2"/>
  <c r="M74" i="2"/>
  <c r="N74" i="2" s="1"/>
  <c r="O74" i="2"/>
  <c r="P74" i="2" s="1"/>
  <c r="M5" i="2"/>
  <c r="N5" i="2" s="1"/>
  <c r="M7" i="2"/>
  <c r="N7" i="2" s="1"/>
  <c r="O3" i="2"/>
  <c r="P3" i="2" s="1"/>
  <c r="O11" i="2"/>
  <c r="P11" i="2" s="1"/>
  <c r="Q46" i="2"/>
  <c r="M51" i="2"/>
  <c r="N51" i="2" s="1"/>
  <c r="M62" i="2"/>
  <c r="N62" i="2" s="1"/>
  <c r="M67" i="2"/>
  <c r="N67" i="2" s="1"/>
  <c r="M27" i="2"/>
  <c r="N27" i="2" s="1"/>
  <c r="M68" i="2"/>
  <c r="N68" i="2" s="1"/>
  <c r="M48" i="2"/>
  <c r="N48" i="2" s="1"/>
  <c r="M69" i="2"/>
  <c r="N69" i="2" s="1"/>
  <c r="M28" i="2"/>
  <c r="N28" i="2" s="1"/>
  <c r="O28" i="2"/>
  <c r="P28" i="2" s="1"/>
  <c r="M29" i="2"/>
  <c r="N29" i="2" s="1"/>
  <c r="M31" i="2"/>
  <c r="N31" i="2" s="1"/>
  <c r="M32" i="2"/>
  <c r="N32" i="2" s="1"/>
  <c r="M37" i="2"/>
  <c r="N37" i="2" s="1"/>
  <c r="M34" i="2"/>
  <c r="M35" i="2"/>
  <c r="N35" i="2" s="1"/>
  <c r="M38" i="2"/>
  <c r="N38" i="2" s="1"/>
  <c r="M39" i="2"/>
  <c r="N39" i="2" s="1"/>
  <c r="M21" i="2"/>
  <c r="N21" i="2" s="1"/>
  <c r="M36" i="2"/>
  <c r="N36" i="2" s="1"/>
  <c r="M33" i="2"/>
  <c r="N33" i="2" s="1"/>
  <c r="M72" i="2"/>
  <c r="N72" i="2" s="1"/>
  <c r="O42" i="2"/>
  <c r="P42" i="2" s="1"/>
  <c r="O44" i="2"/>
  <c r="P44" i="2" s="1"/>
  <c r="O45" i="2"/>
  <c r="P45" i="2" s="1"/>
  <c r="M47" i="2"/>
  <c r="N47" i="2" s="1"/>
  <c r="O22" i="2"/>
  <c r="P22" i="2" s="1"/>
  <c r="M56" i="2"/>
  <c r="N56" i="2" s="1"/>
  <c r="O55" i="2"/>
  <c r="P55" i="2" s="1"/>
  <c r="O54" i="2"/>
  <c r="P54" i="2" s="1"/>
  <c r="O49" i="2"/>
  <c r="P49" i="2" s="1"/>
  <c r="M66" i="2"/>
  <c r="N66" i="2" s="1"/>
  <c r="O76" i="2"/>
  <c r="P76" i="2" s="1"/>
  <c r="O29" i="2"/>
  <c r="P29" i="2" s="1"/>
  <c r="O31" i="2"/>
  <c r="P31" i="2" s="1"/>
  <c r="O32" i="2"/>
  <c r="P32" i="2" s="1"/>
  <c r="O37" i="2"/>
  <c r="P37" i="2" s="1"/>
  <c r="O34" i="2"/>
  <c r="P34" i="2" s="1"/>
  <c r="O35" i="2"/>
  <c r="P35" i="2" s="1"/>
  <c r="O38" i="2"/>
  <c r="P38" i="2" s="1"/>
  <c r="O39" i="2"/>
  <c r="P39" i="2" s="1"/>
  <c r="O21" i="2"/>
  <c r="P21" i="2" s="1"/>
  <c r="O36" i="2"/>
  <c r="P36" i="2" s="1"/>
  <c r="O33" i="2"/>
  <c r="P33" i="2" s="1"/>
  <c r="O72" i="2"/>
  <c r="P72" i="2" s="1"/>
  <c r="M42" i="2"/>
  <c r="N42" i="2" s="1"/>
  <c r="M45" i="2"/>
  <c r="N45" i="2" s="1"/>
  <c r="N34" i="2" l="1"/>
  <c r="R40" i="2"/>
  <c r="R69" i="2"/>
  <c r="Q69" i="2"/>
  <c r="R55" i="2"/>
  <c r="R61" i="2"/>
  <c r="R53" i="2"/>
  <c r="R70" i="2"/>
  <c r="R44" i="2"/>
  <c r="R74" i="2"/>
  <c r="Q74" i="2"/>
  <c r="R22" i="2"/>
  <c r="R45" i="2"/>
  <c r="Q45" i="2"/>
  <c r="R75" i="2"/>
  <c r="R65" i="2"/>
  <c r="R41" i="2"/>
  <c r="Q33" i="2"/>
  <c r="R33" i="2"/>
  <c r="Q38" i="2"/>
  <c r="R38" i="2"/>
  <c r="Q32" i="2"/>
  <c r="R32" i="2"/>
  <c r="Q28" i="2"/>
  <c r="R28" i="2"/>
  <c r="R48" i="2"/>
  <c r="Q48" i="2"/>
  <c r="R76" i="2"/>
  <c r="R62" i="2"/>
  <c r="Q62" i="2"/>
  <c r="R58" i="2"/>
  <c r="R7" i="2"/>
  <c r="Q7" i="2"/>
  <c r="R63" i="2"/>
  <c r="R71" i="2"/>
  <c r="R14" i="2"/>
  <c r="R20" i="2"/>
  <c r="R12" i="2"/>
  <c r="R8" i="2"/>
  <c r="R4" i="2"/>
  <c r="R25" i="2"/>
  <c r="R13" i="2"/>
  <c r="R15" i="2"/>
  <c r="R9" i="2"/>
  <c r="R42" i="2"/>
  <c r="Q42" i="2"/>
  <c r="R66" i="2"/>
  <c r="Q66" i="2"/>
  <c r="R19" i="2"/>
  <c r="R56" i="2"/>
  <c r="Q56" i="2"/>
  <c r="Q47" i="2"/>
  <c r="R47" i="2"/>
  <c r="Q36" i="2"/>
  <c r="R36" i="2"/>
  <c r="Q35" i="2"/>
  <c r="R35" i="2"/>
  <c r="Q31" i="2"/>
  <c r="R31" i="2"/>
  <c r="R68" i="2"/>
  <c r="Q68" i="2"/>
  <c r="R67" i="2"/>
  <c r="Q67" i="2"/>
  <c r="R51" i="2"/>
  <c r="Q51" i="2"/>
  <c r="R43" i="2"/>
  <c r="R64" i="2"/>
  <c r="R57" i="2"/>
  <c r="R30" i="2"/>
  <c r="R5" i="2"/>
  <c r="Q5" i="2"/>
  <c r="R49" i="2"/>
  <c r="R73" i="2"/>
  <c r="Q73" i="2"/>
  <c r="Q72" i="2"/>
  <c r="R72" i="2"/>
  <c r="Q39" i="2"/>
  <c r="R39" i="2"/>
  <c r="Q37" i="2"/>
  <c r="R37" i="2"/>
  <c r="R46" i="2"/>
  <c r="R59" i="2"/>
  <c r="R54" i="2"/>
  <c r="R50" i="2"/>
  <c r="Q50" i="2"/>
  <c r="Q21" i="2"/>
  <c r="R21" i="2"/>
  <c r="Q34" i="2"/>
  <c r="R34" i="2"/>
  <c r="Q29" i="2"/>
  <c r="R29" i="2"/>
  <c r="R77" i="2"/>
  <c r="Q27" i="2"/>
  <c r="R27" i="2"/>
  <c r="R60" i="2"/>
  <c r="R52" i="2"/>
  <c r="R16" i="2"/>
  <c r="R23" i="2"/>
  <c r="R17" i="2"/>
  <c r="R10" i="2"/>
  <c r="R6" i="2"/>
  <c r="R26" i="2"/>
  <c r="R24" i="2"/>
  <c r="R18" i="2"/>
  <c r="R11" i="2"/>
  <c r="R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64" authorId="0" shapeId="0" xr:uid="{225296BD-8C25-4E7F-ACE2-C138355BFB0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راسب في دور ثاني</t>
        </r>
      </text>
    </comment>
    <comment ref="H65" authorId="0" shapeId="0" xr:uid="{871CEBF7-0864-40E9-B0CD-FA2E1F4F4AA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راسب في دور ثاني</t>
        </r>
      </text>
    </comment>
    <comment ref="H67" authorId="0" shapeId="0" xr:uid="{0B772882-48A5-443F-A8E3-39042E1BB05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راسب في دور ثاني
</t>
        </r>
      </text>
    </comment>
    <comment ref="I67" authorId="0" shapeId="0" xr:uid="{0CA31999-BB61-496F-910C-32F8868230C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راسب غفي دور ثاني</t>
        </r>
      </text>
    </comment>
    <comment ref="H70" authorId="0" shapeId="0" xr:uid="{B22591DD-E205-4E73-9D02-512DA546AFB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راسب في دور ثاني</t>
        </r>
      </text>
    </comment>
    <comment ref="H71" authorId="0" shapeId="0" xr:uid="{2DAAA738-A73D-4882-96A0-E002174419AB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راسب في دور ثاني</t>
        </r>
      </text>
    </comment>
    <comment ref="H73" authorId="0" shapeId="0" xr:uid="{2F712FFB-7632-43B1-A037-080928CA174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راسب في دور ثاني</t>
        </r>
      </text>
    </comment>
    <comment ref="I73" authorId="0" shapeId="0" xr:uid="{B042E485-BFBD-4C94-9FC2-3F73E7FE3873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راسب في دور ثاني</t>
        </r>
      </text>
    </comment>
  </commentList>
</comments>
</file>

<file path=xl/sharedStrings.xml><?xml version="1.0" encoding="utf-8"?>
<sst xmlns="http://schemas.openxmlformats.org/spreadsheetml/2006/main" count="485" uniqueCount="138">
  <si>
    <t>نتائج امتحانات المستوى الثاني قاعة (باء) للسنة الأولى 2023-2024م</t>
  </si>
  <si>
    <t>رقم التسلسل</t>
  </si>
  <si>
    <t xml:space="preserve">الإسم </t>
  </si>
  <si>
    <t>القرأن الكريم (2)</t>
  </si>
  <si>
    <t>التفسير (1)</t>
  </si>
  <si>
    <t>الفقه (2)</t>
  </si>
  <si>
    <t xml:space="preserve"> الحديث التحليلي (1)</t>
  </si>
  <si>
    <t>روة الحديث (1)</t>
  </si>
  <si>
    <t>مصطلح الحديث (1)</t>
  </si>
  <si>
    <t>النحو (2)</t>
  </si>
  <si>
    <t>مناهج المخدثين (1)</t>
  </si>
  <si>
    <t>الحاسوب (1)</t>
  </si>
  <si>
    <t>English(2)</t>
  </si>
  <si>
    <t>المجموع</t>
  </si>
  <si>
    <t>الترتيب</t>
  </si>
  <si>
    <t>النسبة</t>
  </si>
  <si>
    <t>التقدير</t>
  </si>
  <si>
    <t>عبد الله المام جكني</t>
  </si>
  <si>
    <t>ممتاز</t>
  </si>
  <si>
    <t>محمد بن سمبر دكوري</t>
  </si>
  <si>
    <t xml:space="preserve">كيندو محمد </t>
  </si>
  <si>
    <t>عثمان محمد تنكارا</t>
  </si>
  <si>
    <t>فودي بندا سيلا</t>
  </si>
  <si>
    <t>غوث عبد العزيز كوني</t>
  </si>
  <si>
    <t>يعقوب علي جاورا</t>
  </si>
  <si>
    <t>يوسف ديالو</t>
  </si>
  <si>
    <t>جيد جدا</t>
  </si>
  <si>
    <t>عيسى آدم كوني</t>
  </si>
  <si>
    <t>يحيى محمد سيسي</t>
  </si>
  <si>
    <t>عبد الله شيخ كسما</t>
  </si>
  <si>
    <t>عمر الأمين درامي</t>
  </si>
  <si>
    <t>غوث كيمو سيسي</t>
  </si>
  <si>
    <t>مالك داوود كجابي</t>
  </si>
  <si>
    <t>غوث عثمان جاتا</t>
  </si>
  <si>
    <t>علي سليمان جالو</t>
  </si>
  <si>
    <t>عثمان فاكيبا سوني</t>
  </si>
  <si>
    <t>محمد باه</t>
  </si>
  <si>
    <t>محمد شيخ توري</t>
  </si>
  <si>
    <t>غوث إبراهيم كمارا</t>
  </si>
  <si>
    <t>عيسى سعد سيسي</t>
  </si>
  <si>
    <t>هارون كياتي</t>
  </si>
  <si>
    <t>محمد سالو كمارى</t>
  </si>
  <si>
    <t>لاسن صامبا ماني</t>
  </si>
  <si>
    <t>عبد الوهاب نيكيما</t>
  </si>
  <si>
    <t>محمد سمبالا سيلا</t>
  </si>
  <si>
    <t xml:space="preserve">جيد </t>
  </si>
  <si>
    <t>كواسي يحيى ابن تيمية كوفي</t>
  </si>
  <si>
    <t>محمّد فاضل دمبا</t>
  </si>
  <si>
    <t>محمد مودو وغي</t>
  </si>
  <si>
    <t>عبد الكبير يحيى سيسي</t>
  </si>
  <si>
    <t>عبد الله شريف كجيرا</t>
  </si>
  <si>
    <t>مالا يحيى سيدي</t>
  </si>
  <si>
    <t>يعقوب مختار صوري</t>
  </si>
  <si>
    <t>نغسان كونان دانييل</t>
  </si>
  <si>
    <t>مقبول</t>
  </si>
  <si>
    <t>محمد الحمد جامي</t>
  </si>
  <si>
    <t xml:space="preserve">عيسى تنبون دافي </t>
  </si>
  <si>
    <t>عمر جيري جاتا</t>
  </si>
  <si>
    <t>بنت موسى سماري</t>
  </si>
  <si>
    <t>فاطمة صغرى محمد جابي</t>
  </si>
  <si>
    <t xml:space="preserve">عاتقة قطر أنيبل غلمسين </t>
  </si>
  <si>
    <t>أمي بابا جاورا</t>
  </si>
  <si>
    <t>فاطمة شيخ تونكارا</t>
  </si>
  <si>
    <t>رقية يربنغا</t>
  </si>
  <si>
    <t>زينب شيخ أحمد تيجان بلدي</t>
  </si>
  <si>
    <t>عائشة يعقوب توري</t>
  </si>
  <si>
    <t>حبيبة أبو جواري</t>
  </si>
  <si>
    <t>نيما سليمان كبا</t>
  </si>
  <si>
    <t>جيد جدأ</t>
  </si>
  <si>
    <t>أيد سليمان جانغوم</t>
  </si>
  <si>
    <t>جيد</t>
  </si>
  <si>
    <t xml:space="preserve"> ديالو إبراهيم</t>
  </si>
  <si>
    <t xml:space="preserve"> جميل براون</t>
  </si>
  <si>
    <t>آدم عبد الحميد سنكارا</t>
  </si>
  <si>
    <t>عبد  الله أحمد كندي</t>
  </si>
  <si>
    <t>صالح سيدي فاتي</t>
  </si>
  <si>
    <t>دمبو ملامين جغنا</t>
  </si>
  <si>
    <t>بشير فابلى غسام</t>
  </si>
  <si>
    <t>بناو عبد الوهاب</t>
  </si>
  <si>
    <t>عبدالله الحسن تونكارا</t>
  </si>
  <si>
    <t>يانجا إسحاق</t>
  </si>
  <si>
    <t>سعيد خليل كربلي</t>
  </si>
  <si>
    <t>ألفا عمر جالو</t>
  </si>
  <si>
    <t>سياكا تراوري</t>
  </si>
  <si>
    <t>سالم محمد انجاي</t>
  </si>
  <si>
    <t>زكريا إلبودو</t>
  </si>
  <si>
    <t>إدريس جبريل توري</t>
  </si>
  <si>
    <t>ألفا عمر وري جالو</t>
  </si>
  <si>
    <t>آمنة الحاخ كربلي</t>
  </si>
  <si>
    <t xml:space="preserve">رقم الجامعي </t>
  </si>
  <si>
    <t xml:space="preserve">أسماء الطلبة </t>
  </si>
  <si>
    <t xml:space="preserve">القرآن الكريم  </t>
  </si>
  <si>
    <t xml:space="preserve">كتب السنة  </t>
  </si>
  <si>
    <t xml:space="preserve">أصول الفقه  </t>
  </si>
  <si>
    <t>الفقه (3)</t>
  </si>
  <si>
    <t xml:space="preserve">       الحديث التحليلي (2)</t>
  </si>
  <si>
    <t>رواة الحديث (2)</t>
  </si>
  <si>
    <t xml:space="preserve">     مصطلح الحديث (2)</t>
  </si>
  <si>
    <t>النحو (3)</t>
  </si>
  <si>
    <t xml:space="preserve">دراسات غامبيا </t>
  </si>
  <si>
    <t>English(3)</t>
  </si>
  <si>
    <t xml:space="preserve">النسبة </t>
  </si>
  <si>
    <t>مواد الرسوب</t>
  </si>
  <si>
    <t xml:space="preserve">النتيجة </t>
  </si>
  <si>
    <t xml:space="preserve">الترتيب </t>
  </si>
  <si>
    <t>أبوبكر  محمد تونكارا</t>
  </si>
  <si>
    <t>أحمد عبد القادر فاي</t>
  </si>
  <si>
    <t>سيلا يعقوب</t>
  </si>
  <si>
    <t>ألفا عمر ووري جالو</t>
  </si>
  <si>
    <t>إبراهيم بنغالي سيلا</t>
  </si>
  <si>
    <t>الحسين مري ساغو</t>
  </si>
  <si>
    <t>إبراهيم محمود درامي</t>
  </si>
  <si>
    <t>شعيب عمر درامي</t>
  </si>
  <si>
    <t>صالح مالا سيدي</t>
  </si>
  <si>
    <t>أبوبكر محمد كمارا</t>
  </si>
  <si>
    <t>بشير مانغا</t>
  </si>
  <si>
    <t>الأمين جيري جاتا</t>
  </si>
  <si>
    <t>أمير ركارد نيامبوسي</t>
  </si>
  <si>
    <t>أحمد مجتبى جالو</t>
  </si>
  <si>
    <t>جبريل شيخ دنفا</t>
  </si>
  <si>
    <t>م</t>
  </si>
  <si>
    <t>الحديث التحليلي</t>
  </si>
  <si>
    <t>مصطلح الحديث</t>
  </si>
  <si>
    <t>كتب السنة2</t>
  </si>
  <si>
    <t xml:space="preserve">       الجرح والتعجيل 1</t>
  </si>
  <si>
    <t xml:space="preserve">     التفسير (2)</t>
  </si>
  <si>
    <t>التوحيد (3)</t>
  </si>
  <si>
    <t>أصول الفقه (2)</t>
  </si>
  <si>
    <t>الفقه 3</t>
  </si>
  <si>
    <t xml:space="preserve">الإنجلزية </t>
  </si>
  <si>
    <t>ناجح</t>
  </si>
  <si>
    <t xml:space="preserve"> ممتاز</t>
  </si>
  <si>
    <t xml:space="preserve"> جيدجدا</t>
  </si>
  <si>
    <t>دور ثاني</t>
  </si>
  <si>
    <t xml:space="preserve"> جيد</t>
  </si>
  <si>
    <t xml:space="preserve"> مقبول</t>
  </si>
  <si>
    <t>الإعادة</t>
  </si>
  <si>
    <t xml:space="preserve"> راسب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</si>
</sst>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l-Mohanad Bold"/>
      <family val="1"/>
    </font>
    <font>
      <b/>
      <sz val="12"/>
      <color theme="1"/>
      <name val="Al-Mohanad Bold"/>
      <family val="1"/>
    </font>
    <font>
      <sz val="11"/>
      <color theme="1"/>
      <name val="Al-Mohanad Bold"/>
      <family val="1"/>
    </font>
    <font>
      <b/>
      <sz val="16"/>
      <color theme="1"/>
      <name val="Al Qabas Bold"/>
      <charset val="178"/>
    </font>
    <font>
      <b/>
      <sz val="14"/>
      <name val="Al-Mohanad Bold"/>
      <family val="1"/>
    </font>
    <font>
      <b/>
      <sz val="12"/>
      <color theme="1"/>
      <name val="Arial"/>
      <family val="2"/>
      <charset val="178"/>
      <scheme val="minor"/>
    </font>
    <font>
      <sz val="12"/>
      <color theme="1"/>
      <name val="Arial"/>
      <family val="2"/>
      <scheme val="minor"/>
    </font>
    <font>
      <b/>
      <sz val="10"/>
      <name val="Lemonada"/>
    </font>
    <font>
      <b/>
      <sz val="14"/>
      <name val="Aachen BT"/>
      <family val="1"/>
    </font>
    <font>
      <b/>
      <sz val="11"/>
      <name val="Lemonada SemiBold"/>
    </font>
    <font>
      <b/>
      <sz val="12"/>
      <name val="Lemonada SemiBold"/>
    </font>
    <font>
      <b/>
      <sz val="9"/>
      <name val="Lemonada SemiBold"/>
    </font>
    <font>
      <b/>
      <sz val="14"/>
      <color theme="1"/>
      <name val="Sakkal Majalla"/>
    </font>
    <font>
      <b/>
      <sz val="16"/>
      <color theme="1"/>
      <name val="Al-Mohanad Bold"/>
      <family val="1"/>
    </font>
    <font>
      <b/>
      <sz val="16"/>
      <color theme="1"/>
      <name val="Times New Roman"/>
      <family val="1"/>
      <scheme val="major"/>
    </font>
    <font>
      <b/>
      <sz val="16"/>
      <color rgb="FF002060"/>
      <name val="Al-Jazeera-Arabic-Bold"/>
    </font>
    <font>
      <b/>
      <sz val="18"/>
      <color theme="0"/>
      <name val="Times New Roman"/>
      <family val="1"/>
      <scheme val="major"/>
    </font>
    <font>
      <b/>
      <sz val="14"/>
      <color rgb="FF0070C0"/>
      <name val="Al-Jazeera-Arabic-Bold"/>
    </font>
    <font>
      <b/>
      <sz val="8"/>
      <name val="Lemonada"/>
    </font>
    <font>
      <b/>
      <sz val="12"/>
      <color theme="1"/>
      <name val="Air Strip Arabic"/>
    </font>
    <font>
      <b/>
      <sz val="16"/>
      <color rgb="FF002060"/>
      <name val="Times New Roman"/>
      <family val="1"/>
      <scheme val="major"/>
    </font>
    <font>
      <b/>
      <sz val="16"/>
      <color rgb="FF0070C0"/>
      <name val="Al-Jazeera-Arabic-Bold"/>
    </font>
    <font>
      <b/>
      <sz val="14"/>
      <color theme="1"/>
      <name val="Times New Roman"/>
      <family val="1"/>
      <scheme val="major"/>
    </font>
    <font>
      <b/>
      <sz val="10"/>
      <color rgb="FF0070C0"/>
      <name val="Al-Jazeera-Arabic-Bold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right" shrinkToFit="1"/>
    </xf>
    <xf numFmtId="0" fontId="8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3" borderId="2" xfId="0" applyFont="1" applyFill="1" applyBorder="1" applyAlignment="1">
      <alignment horizontal="center" vertical="center" textRotation="90" shrinkToFit="1"/>
    </xf>
    <xf numFmtId="0" fontId="11" fillId="3" borderId="3" xfId="0" applyFont="1" applyFill="1" applyBorder="1" applyAlignment="1">
      <alignment horizontal="center" vertical="center" shrinkToFit="1"/>
    </xf>
    <xf numFmtId="0" fontId="12" fillId="3" borderId="3" xfId="0" applyFont="1" applyFill="1" applyBorder="1" applyAlignment="1">
      <alignment horizontal="center" vertical="center" textRotation="90" shrinkToFit="1"/>
    </xf>
    <xf numFmtId="0" fontId="13" fillId="4" borderId="3" xfId="0" applyFont="1" applyFill="1" applyBorder="1" applyAlignment="1">
      <alignment horizontal="center" vertical="center" textRotation="90" shrinkToFit="1"/>
    </xf>
    <xf numFmtId="0" fontId="12" fillId="4" borderId="3" xfId="0" applyFont="1" applyFill="1" applyBorder="1" applyAlignment="1">
      <alignment horizontal="center" vertical="center" textRotation="90" shrinkToFit="1"/>
    </xf>
    <xf numFmtId="0" fontId="14" fillId="4" borderId="3" xfId="0" applyFont="1" applyFill="1" applyBorder="1" applyAlignment="1">
      <alignment horizontal="center" vertical="center" textRotation="90" shrinkToFit="1"/>
    </xf>
    <xf numFmtId="0" fontId="12" fillId="4" borderId="4" xfId="0" applyFont="1" applyFill="1" applyBorder="1" applyAlignment="1">
      <alignment horizontal="center" vertical="center" textRotation="90" shrinkToFit="1"/>
    </xf>
    <xf numFmtId="0" fontId="15" fillId="5" borderId="5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right" vertical="center" shrinkToFit="1"/>
    </xf>
    <xf numFmtId="1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right" vertical="center"/>
    </xf>
    <xf numFmtId="0" fontId="24" fillId="6" borderId="1" xfId="0" applyFont="1" applyFill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16" fillId="7" borderId="1" xfId="0" applyFont="1" applyFill="1" applyBorder="1" applyAlignment="1">
      <alignment horizontal="right" vertical="center" shrinkToFit="1"/>
    </xf>
    <xf numFmtId="0" fontId="26" fillId="6" borderId="1" xfId="0" applyFont="1" applyFill="1" applyBorder="1" applyAlignment="1">
      <alignment horizontal="center" vertical="center"/>
    </xf>
    <xf numFmtId="0" fontId="0" fillId="0" borderId="1" xfId="0" applyBorder="1"/>
    <xf numFmtId="0" fontId="7" fillId="0" borderId="10" xfId="0" applyFont="1" applyBorder="1" applyAlignment="1">
      <alignment horizontal="right" shrinkToFit="1"/>
    </xf>
    <xf numFmtId="0" fontId="2" fillId="0" borderId="10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8" fillId="0" borderId="8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0" xfId="0" applyAlignment="1">
      <alignment textRotation="90"/>
    </xf>
    <xf numFmtId="0" fontId="1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textRotation="90"/>
    </xf>
    <xf numFmtId="0" fontId="29" fillId="0" borderId="1" xfId="0" applyFont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/>
    </xf>
  </cellXfs>
  <cellStyles count="1">
    <cellStyle name="عادي" xfId="0" builtinId="0"/>
  </cellStyles>
  <dxfs count="79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alignment horizontal="center" vertical="center" textRotation="9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/>
      </font>
      <fill>
        <patternFill>
          <bgColor theme="7" tint="0.39994506668294322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2060"/>
        <name val="Calibri Light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ir Strip Arabic"/>
        <scheme val="none"/>
      </font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Lemonada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70C0"/>
        <name val="Al-Jazeera-Arabic-Bold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0"/>
        <name val="Calibri Light"/>
        <scheme val="major"/>
      </font>
      <numFmt numFmtId="164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rgb="FF002060"/>
        <name val="Al-Jazeera-Arabic-Bold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 Light"/>
        <scheme val="major"/>
      </font>
      <numFmt numFmtId="1" formatCode="0"/>
      <alignment horizontal="center" vertical="center" textRotation="0" wrapText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 Light"/>
        <scheme val="major"/>
      </font>
      <numFmt numFmtId="1" formatCode="0"/>
      <alignment horizontal="center" vertical="center" textRotation="0" wrapText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 Light"/>
        <scheme val="major"/>
      </font>
      <numFmt numFmtId="1" formatCode="0"/>
      <alignment horizontal="center" vertical="center" textRotation="0" wrapText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 Light"/>
        <scheme val="major"/>
      </font>
      <numFmt numFmtId="1" formatCode="0"/>
      <alignment horizontal="center" vertical="center" textRotation="0" wrapText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 Light"/>
        <scheme val="major"/>
      </font>
      <numFmt numFmtId="1" formatCode="0"/>
      <alignment horizontal="center" vertical="center" textRotation="0" wrapText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 Light"/>
        <scheme val="major"/>
      </font>
      <numFmt numFmtId="1" formatCode="0"/>
      <alignment horizontal="center" vertical="center" textRotation="0" wrapText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 Light"/>
        <scheme val="major"/>
      </font>
      <numFmt numFmtId="1" formatCode="0"/>
      <alignment horizontal="center" vertical="center" textRotation="0" wrapText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 Light"/>
        <scheme val="major"/>
      </font>
      <numFmt numFmtId="1" formatCode="0"/>
      <alignment horizontal="center" vertical="center" textRotation="0" wrapText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 Light"/>
        <scheme val="major"/>
      </font>
      <numFmt numFmtId="1" formatCode="0"/>
      <alignment horizontal="center" vertical="center" textRotation="0" wrapText="0" indent="0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scheme val="maj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l-Mohanad Bold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Lemonada SemiBold"/>
        <scheme val="none"/>
      </font>
      <fill>
        <patternFill patternType="solid">
          <fgColor indexed="64"/>
          <bgColor rgb="FFFFFFCC"/>
        </patternFill>
      </fill>
      <alignment horizontal="center" vertical="center" textRotation="9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Mohanad Bold"/>
        <family val="1"/>
        <scheme val="none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Mohanad Bold"/>
        <family val="1"/>
        <scheme val="none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Mohanad Bold"/>
        <family val="1"/>
        <scheme val="none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Mohanad Bold"/>
        <family val="1"/>
        <scheme val="none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l-Mohanad Bold"/>
        <family val="1"/>
        <scheme val="none"/>
      </font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78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Mohanad Bold"/>
        <family val="1"/>
        <scheme val="none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l-Mohanad Bold"/>
        <family val="1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18</xdr:col>
      <xdr:colOff>9525</xdr:colOff>
      <xdr:row>1</xdr:row>
      <xdr:rowOff>0</xdr:rowOff>
    </xdr:to>
    <xdr:sp macro="" textlink="">
      <xdr:nvSpPr>
        <xdr:cNvPr id="2" name="مستطيل 1">
          <a:extLst>
            <a:ext uri="{FF2B5EF4-FFF2-40B4-BE49-F238E27FC236}">
              <a16:creationId xmlns:a16="http://schemas.microsoft.com/office/drawing/2014/main" id="{93189E16-5E64-496C-BF49-29D325C9B448}"/>
            </a:ext>
          </a:extLst>
        </xdr:cNvPr>
        <xdr:cNvSpPr/>
      </xdr:nvSpPr>
      <xdr:spPr>
        <a:xfrm>
          <a:off x="9976704075" y="7620"/>
          <a:ext cx="12087225" cy="506730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  <xdr:twoCellAnchor>
    <xdr:from>
      <xdr:col>0</xdr:col>
      <xdr:colOff>22860</xdr:colOff>
      <xdr:row>0</xdr:row>
      <xdr:rowOff>1127760</xdr:rowOff>
    </xdr:from>
    <xdr:to>
      <xdr:col>17</xdr:col>
      <xdr:colOff>335280</xdr:colOff>
      <xdr:row>1</xdr:row>
      <xdr:rowOff>0</xdr:rowOff>
    </xdr:to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C131C9E2-2BA3-467B-B7A2-90E3068F5FD3}"/>
            </a:ext>
          </a:extLst>
        </xdr:cNvPr>
        <xdr:cNvSpPr txBox="1"/>
      </xdr:nvSpPr>
      <xdr:spPr>
        <a:xfrm>
          <a:off x="10754894670" y="1127760"/>
          <a:ext cx="8608695" cy="510540"/>
        </a:xfrm>
        <a:prstGeom prst="rect">
          <a:avLst/>
        </a:prstGeom>
        <a:solidFill>
          <a:schemeClr val="accent2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2400">
              <a:solidFill>
                <a:schemeClr val="bg2"/>
              </a:solidFill>
              <a:latin typeface="Air Strip Arabic" panose="02000500000000000000" pitchFamily="2" charset="-78"/>
              <a:ea typeface="ADLaM Display" panose="02010000000000000000" pitchFamily="2" charset="0"/>
              <a:cs typeface="Air Strip Arabic" panose="02000500000000000000" pitchFamily="2" charset="-78"/>
            </a:rPr>
            <a:t>نتائج امتحانات المستوى </a:t>
          </a:r>
          <a:r>
            <a:rPr lang="ar-SA" sz="2400">
              <a:solidFill>
                <a:srgbClr val="33CC33"/>
              </a:solidFill>
              <a:latin typeface="Air Strip Arabic" panose="02000500000000000000" pitchFamily="2" charset="-78"/>
              <a:ea typeface="ADLaM Display" panose="02010000000000000000" pitchFamily="2" charset="0"/>
              <a:cs typeface="Air Strip Arabic" panose="02000500000000000000" pitchFamily="2" charset="-78"/>
            </a:rPr>
            <a:t>الثالث</a:t>
          </a:r>
          <a:r>
            <a:rPr lang="ar-SA" sz="2400">
              <a:solidFill>
                <a:schemeClr val="bg2"/>
              </a:solidFill>
              <a:latin typeface="Air Strip Arabic" panose="02000500000000000000" pitchFamily="2" charset="-78"/>
              <a:ea typeface="ADLaM Display" panose="02010000000000000000" pitchFamily="2" charset="0"/>
              <a:cs typeface="Air Strip Arabic" panose="02000500000000000000" pitchFamily="2" charset="-78"/>
            </a:rPr>
            <a:t> للسنة ا</a:t>
          </a:r>
          <a:r>
            <a:rPr lang="ar-SA" sz="2400">
              <a:solidFill>
                <a:srgbClr val="33CC33"/>
              </a:solidFill>
              <a:latin typeface="Air Strip Arabic" panose="02000500000000000000" pitchFamily="2" charset="-78"/>
              <a:ea typeface="ADLaM Display" panose="02010000000000000000" pitchFamily="2" charset="0"/>
              <a:cs typeface="Air Strip Arabic" panose="02000500000000000000" pitchFamily="2" charset="-78"/>
            </a:rPr>
            <a:t>لثانية</a:t>
          </a:r>
          <a:r>
            <a:rPr lang="ar-SA" sz="2400">
              <a:solidFill>
                <a:schemeClr val="bg2"/>
              </a:solidFill>
              <a:latin typeface="Air Strip Arabic" panose="02000500000000000000" pitchFamily="2" charset="-78"/>
              <a:ea typeface="ADLaM Display" panose="02010000000000000000" pitchFamily="2" charset="0"/>
              <a:cs typeface="Air Strip Arabic" panose="02000500000000000000" pitchFamily="2" charset="-78"/>
            </a:rPr>
            <a:t> 2024-2025م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esktop\&#1575;&#1604;&#1575;&#1605;&#1578;&#1581;&#1575;&#1606;&#1575;&#1578;\&#1603;&#1588;&#1601;%20&#1575;&#1604;&#1583;&#1585;&#1580;&#1575;&#1578;%202024-2025&#1605;(&#1578;&#1605;%20&#1575;&#1604;&#1575;&#1587;&#1578;&#1585;&#1583;&#1575;&#1583;%20&#1578;&#1604;&#1602;&#1575;&#1574;&#1610;&#1575;&#1611;).xlsm" TargetMode="External"/><Relationship Id="rId1" Type="http://schemas.openxmlformats.org/officeDocument/2006/relationships/externalLinkPath" Target="/Users/Administrator/Desktop/&#1575;&#1604;&#1575;&#1605;&#1578;&#1581;&#1575;&#1606;&#1575;&#1578;/&#1603;&#1588;&#1601;%20&#1575;&#1604;&#1583;&#1585;&#1580;&#1575;&#1578;%202024-2025&#1605;(&#1578;&#1605;%20&#1575;&#1604;&#1575;&#1587;&#1578;&#1585;&#1583;&#1575;&#1583;%20&#1578;&#1604;&#1602;&#1575;&#1574;&#1610;&#1575;&#1611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 الثالث"/>
      <sheetName val="نتائج المستوى الثالث"/>
      <sheetName val="كشف الدرجات مستوى الثالث"/>
      <sheetName val="م الأول"/>
      <sheetName val="النتائج م1"/>
      <sheetName val="الكشف لمستوى الأول"/>
      <sheetName val="دور ثاني م(1)"/>
      <sheetName val="الاعادة "/>
      <sheetName val="دور 2 م3"/>
      <sheetName val="ورقة2"/>
    </sheetNames>
    <sheetDataSet>
      <sheetData sheetId="0">
        <row r="5">
          <cell r="C5">
            <v>29</v>
          </cell>
          <cell r="D5">
            <v>63</v>
          </cell>
          <cell r="E5">
            <v>30</v>
          </cell>
          <cell r="F5">
            <v>54</v>
          </cell>
          <cell r="G5">
            <v>24</v>
          </cell>
          <cell r="H5">
            <v>48</v>
          </cell>
          <cell r="I5">
            <v>30</v>
          </cell>
          <cell r="J5">
            <v>66</v>
          </cell>
          <cell r="K5">
            <v>1</v>
          </cell>
          <cell r="L5">
            <v>70</v>
          </cell>
          <cell r="M5">
            <v>30</v>
          </cell>
          <cell r="N5">
            <v>60</v>
          </cell>
          <cell r="O5">
            <v>30</v>
          </cell>
          <cell r="P5">
            <v>61</v>
          </cell>
          <cell r="Q5">
            <v>30</v>
          </cell>
          <cell r="R5">
            <v>48</v>
          </cell>
          <cell r="S5">
            <v>26</v>
          </cell>
          <cell r="T5">
            <v>47</v>
          </cell>
          <cell r="U5">
            <v>24</v>
          </cell>
          <cell r="V5">
            <v>48</v>
          </cell>
        </row>
        <row r="6">
          <cell r="C6">
            <v>27</v>
          </cell>
          <cell r="D6">
            <v>69</v>
          </cell>
          <cell r="E6">
            <v>30</v>
          </cell>
          <cell r="F6">
            <v>53</v>
          </cell>
          <cell r="G6">
            <v>29</v>
          </cell>
          <cell r="H6">
            <v>69</v>
          </cell>
          <cell r="I6">
            <v>30</v>
          </cell>
          <cell r="J6">
            <v>60</v>
          </cell>
          <cell r="K6"/>
          <cell r="L6">
            <v>70</v>
          </cell>
          <cell r="M6">
            <v>25</v>
          </cell>
          <cell r="N6">
            <v>58</v>
          </cell>
          <cell r="O6">
            <v>25</v>
          </cell>
          <cell r="P6">
            <v>60</v>
          </cell>
          <cell r="Q6">
            <v>30</v>
          </cell>
          <cell r="R6">
            <v>60</v>
          </cell>
          <cell r="S6">
            <v>20</v>
          </cell>
          <cell r="T6">
            <v>68</v>
          </cell>
          <cell r="U6">
            <v>28</v>
          </cell>
          <cell r="V6">
            <v>64</v>
          </cell>
        </row>
        <row r="7">
          <cell r="C7">
            <v>29</v>
          </cell>
          <cell r="D7">
            <v>68</v>
          </cell>
          <cell r="E7">
            <v>30</v>
          </cell>
          <cell r="F7">
            <v>60</v>
          </cell>
          <cell r="G7">
            <v>29</v>
          </cell>
          <cell r="H7">
            <v>64</v>
          </cell>
          <cell r="I7">
            <v>30</v>
          </cell>
          <cell r="J7">
            <v>68</v>
          </cell>
          <cell r="K7">
            <v>30</v>
          </cell>
          <cell r="L7">
            <v>70</v>
          </cell>
          <cell r="M7">
            <v>30</v>
          </cell>
          <cell r="N7">
            <v>47</v>
          </cell>
          <cell r="O7">
            <v>30</v>
          </cell>
          <cell r="P7">
            <v>66</v>
          </cell>
          <cell r="Q7">
            <v>30</v>
          </cell>
          <cell r="R7">
            <v>60</v>
          </cell>
          <cell r="S7">
            <v>25</v>
          </cell>
          <cell r="T7">
            <v>60</v>
          </cell>
          <cell r="U7">
            <v>21</v>
          </cell>
          <cell r="V7">
            <v>50</v>
          </cell>
        </row>
        <row r="8">
          <cell r="C8">
            <v>29</v>
          </cell>
          <cell r="D8">
            <v>45</v>
          </cell>
          <cell r="E8">
            <v>30</v>
          </cell>
          <cell r="F8">
            <v>30</v>
          </cell>
          <cell r="G8">
            <v>15</v>
          </cell>
          <cell r="H8">
            <v>35</v>
          </cell>
          <cell r="K8"/>
          <cell r="L8">
            <v>50</v>
          </cell>
          <cell r="M8">
            <v>10</v>
          </cell>
          <cell r="N8">
            <v>25</v>
          </cell>
          <cell r="O8">
            <v>10</v>
          </cell>
          <cell r="P8">
            <v>35</v>
          </cell>
          <cell r="S8">
            <v>17</v>
          </cell>
          <cell r="T8">
            <v>47</v>
          </cell>
          <cell r="U8">
            <v>26</v>
          </cell>
          <cell r="V8">
            <v>58</v>
          </cell>
        </row>
        <row r="9">
          <cell r="E9">
            <v>30</v>
          </cell>
          <cell r="F9">
            <v>30</v>
          </cell>
          <cell r="G9">
            <v>21</v>
          </cell>
          <cell r="H9">
            <v>31</v>
          </cell>
          <cell r="I9">
            <v>30</v>
          </cell>
          <cell r="J9">
            <v>63</v>
          </cell>
          <cell r="K9"/>
          <cell r="L9">
            <v>70</v>
          </cell>
          <cell r="O9">
            <v>20</v>
          </cell>
          <cell r="P9">
            <v>30</v>
          </cell>
          <cell r="Q9">
            <v>30</v>
          </cell>
          <cell r="R9">
            <v>30</v>
          </cell>
          <cell r="S9"/>
          <cell r="T9">
            <v>60</v>
          </cell>
          <cell r="U9">
            <v>26</v>
          </cell>
          <cell r="V9">
            <v>24</v>
          </cell>
        </row>
        <row r="10">
          <cell r="C10">
            <v>30</v>
          </cell>
          <cell r="D10">
            <v>66</v>
          </cell>
          <cell r="E10">
            <v>30</v>
          </cell>
          <cell r="F10">
            <v>45</v>
          </cell>
          <cell r="G10">
            <v>23</v>
          </cell>
          <cell r="H10">
            <v>49</v>
          </cell>
          <cell r="I10">
            <v>30</v>
          </cell>
          <cell r="J10">
            <v>68</v>
          </cell>
          <cell r="K10">
            <v>5</v>
          </cell>
          <cell r="L10">
            <v>70</v>
          </cell>
          <cell r="M10">
            <v>30</v>
          </cell>
          <cell r="N10">
            <v>34</v>
          </cell>
          <cell r="O10">
            <v>30</v>
          </cell>
          <cell r="P10">
            <v>42</v>
          </cell>
          <cell r="Q10">
            <v>30</v>
          </cell>
          <cell r="R10">
            <v>50</v>
          </cell>
          <cell r="S10">
            <v>26</v>
          </cell>
          <cell r="T10">
            <v>52</v>
          </cell>
          <cell r="U10">
            <v>13</v>
          </cell>
          <cell r="V10">
            <v>37</v>
          </cell>
        </row>
        <row r="11">
          <cell r="C11">
            <v>27</v>
          </cell>
          <cell r="D11">
            <v>60</v>
          </cell>
          <cell r="E11">
            <v>30</v>
          </cell>
          <cell r="F11">
            <v>26</v>
          </cell>
          <cell r="G11">
            <v>20</v>
          </cell>
          <cell r="H11">
            <v>34</v>
          </cell>
          <cell r="K11"/>
          <cell r="L11">
            <v>65</v>
          </cell>
          <cell r="M11">
            <v>15</v>
          </cell>
          <cell r="N11">
            <v>35</v>
          </cell>
          <cell r="O11">
            <v>15</v>
          </cell>
          <cell r="P11">
            <v>35</v>
          </cell>
          <cell r="S11">
            <v>21</v>
          </cell>
          <cell r="T11">
            <v>45</v>
          </cell>
          <cell r="U11"/>
          <cell r="V11">
            <v>50</v>
          </cell>
        </row>
        <row r="12">
          <cell r="C12">
            <v>29</v>
          </cell>
          <cell r="D12">
            <v>67</v>
          </cell>
          <cell r="E12">
            <v>30</v>
          </cell>
          <cell r="F12">
            <v>59</v>
          </cell>
          <cell r="G12">
            <v>19</v>
          </cell>
          <cell r="H12">
            <v>46</v>
          </cell>
          <cell r="I12">
            <v>30</v>
          </cell>
          <cell r="J12">
            <v>65</v>
          </cell>
          <cell r="K12"/>
          <cell r="L12">
            <v>70</v>
          </cell>
          <cell r="M12">
            <v>28</v>
          </cell>
          <cell r="N12">
            <v>53</v>
          </cell>
          <cell r="O12">
            <v>28</v>
          </cell>
          <cell r="P12">
            <v>44</v>
          </cell>
          <cell r="Q12">
            <v>25</v>
          </cell>
          <cell r="R12">
            <v>40</v>
          </cell>
          <cell r="S12"/>
          <cell r="T12">
            <v>60</v>
          </cell>
          <cell r="U12">
            <v>25</v>
          </cell>
          <cell r="V12">
            <v>62</v>
          </cell>
        </row>
        <row r="13">
          <cell r="G13">
            <v>15</v>
          </cell>
          <cell r="H13">
            <v>35</v>
          </cell>
          <cell r="I13">
            <v>30</v>
          </cell>
          <cell r="J13">
            <v>59</v>
          </cell>
          <cell r="K13"/>
          <cell r="L13">
            <v>67</v>
          </cell>
          <cell r="M13">
            <v>30</v>
          </cell>
          <cell r="N13">
            <v>38</v>
          </cell>
          <cell r="O13">
            <v>30</v>
          </cell>
          <cell r="P13">
            <v>60</v>
          </cell>
          <cell r="Q13">
            <v>30</v>
          </cell>
          <cell r="R13">
            <v>35</v>
          </cell>
          <cell r="S13">
            <v>18</v>
          </cell>
          <cell r="T13">
            <v>62</v>
          </cell>
          <cell r="U13">
            <v>18</v>
          </cell>
          <cell r="V13">
            <v>36</v>
          </cell>
        </row>
        <row r="14">
          <cell r="C14">
            <v>27</v>
          </cell>
          <cell r="D14">
            <v>50</v>
          </cell>
          <cell r="E14">
            <v>30</v>
          </cell>
          <cell r="F14">
            <v>59</v>
          </cell>
          <cell r="G14">
            <v>26</v>
          </cell>
          <cell r="H14">
            <v>64</v>
          </cell>
          <cell r="I14">
            <v>30</v>
          </cell>
          <cell r="J14">
            <v>60</v>
          </cell>
          <cell r="K14">
            <v>10</v>
          </cell>
          <cell r="L14">
            <v>65</v>
          </cell>
          <cell r="M14">
            <v>28</v>
          </cell>
          <cell r="N14">
            <v>50</v>
          </cell>
          <cell r="O14">
            <v>28</v>
          </cell>
          <cell r="P14">
            <v>51</v>
          </cell>
          <cell r="Q14">
            <v>30</v>
          </cell>
          <cell r="R14">
            <v>50</v>
          </cell>
          <cell r="S14">
            <v>23</v>
          </cell>
          <cell r="T14">
            <v>61</v>
          </cell>
          <cell r="U14">
            <v>22</v>
          </cell>
          <cell r="V14">
            <v>48</v>
          </cell>
        </row>
        <row r="15">
          <cell r="C15">
            <v>27</v>
          </cell>
          <cell r="D15">
            <v>66</v>
          </cell>
          <cell r="E15">
            <v>30</v>
          </cell>
          <cell r="F15">
            <v>40</v>
          </cell>
          <cell r="G15">
            <v>22</v>
          </cell>
          <cell r="H15">
            <v>55</v>
          </cell>
          <cell r="I15">
            <v>30</v>
          </cell>
          <cell r="J15">
            <v>61</v>
          </cell>
          <cell r="K15"/>
          <cell r="L15">
            <v>68</v>
          </cell>
          <cell r="M15">
            <v>28</v>
          </cell>
          <cell r="N15">
            <v>56</v>
          </cell>
          <cell r="O15">
            <v>28</v>
          </cell>
          <cell r="P15">
            <v>57</v>
          </cell>
          <cell r="Q15">
            <v>30</v>
          </cell>
          <cell r="R15">
            <v>43</v>
          </cell>
          <cell r="S15"/>
          <cell r="T15">
            <v>60</v>
          </cell>
          <cell r="U15">
            <v>19</v>
          </cell>
          <cell r="V15">
            <v>56</v>
          </cell>
        </row>
        <row r="16">
          <cell r="C16">
            <v>30</v>
          </cell>
          <cell r="D16">
            <v>65</v>
          </cell>
          <cell r="E16">
            <v>30</v>
          </cell>
          <cell r="F16">
            <v>54</v>
          </cell>
          <cell r="G16">
            <v>30</v>
          </cell>
          <cell r="H16">
            <v>64</v>
          </cell>
          <cell r="I16">
            <v>30</v>
          </cell>
          <cell r="J16">
            <v>68</v>
          </cell>
          <cell r="K16"/>
          <cell r="L16">
            <v>60</v>
          </cell>
          <cell r="M16">
            <v>20</v>
          </cell>
          <cell r="N16">
            <v>37</v>
          </cell>
          <cell r="O16">
            <v>20</v>
          </cell>
          <cell r="P16">
            <v>39</v>
          </cell>
          <cell r="Q16">
            <v>25</v>
          </cell>
          <cell r="R16">
            <v>43</v>
          </cell>
          <cell r="S16">
            <v>24</v>
          </cell>
          <cell r="T16">
            <v>51</v>
          </cell>
          <cell r="U16">
            <v>23</v>
          </cell>
          <cell r="V16">
            <v>52</v>
          </cell>
        </row>
        <row r="17">
          <cell r="C17">
            <v>25</v>
          </cell>
          <cell r="D17">
            <v>62</v>
          </cell>
          <cell r="E17">
            <v>30</v>
          </cell>
          <cell r="F17">
            <v>27</v>
          </cell>
          <cell r="G17">
            <v>23</v>
          </cell>
          <cell r="H17">
            <v>38</v>
          </cell>
          <cell r="I17">
            <v>30</v>
          </cell>
          <cell r="J17">
            <v>58</v>
          </cell>
          <cell r="K17"/>
          <cell r="L17">
            <v>68</v>
          </cell>
          <cell r="M17">
            <v>30</v>
          </cell>
          <cell r="N17">
            <v>33</v>
          </cell>
          <cell r="O17">
            <v>30</v>
          </cell>
          <cell r="P17">
            <v>45</v>
          </cell>
          <cell r="Q17">
            <v>30</v>
          </cell>
          <cell r="R17">
            <v>30</v>
          </cell>
          <cell r="S17">
            <v>21</v>
          </cell>
          <cell r="T17">
            <v>52</v>
          </cell>
          <cell r="U17">
            <v>21</v>
          </cell>
          <cell r="V17">
            <v>54</v>
          </cell>
        </row>
        <row r="18">
          <cell r="C18">
            <v>22</v>
          </cell>
          <cell r="D18"/>
          <cell r="E18">
            <v>30</v>
          </cell>
          <cell r="F18">
            <v>35</v>
          </cell>
          <cell r="G18">
            <v>15</v>
          </cell>
          <cell r="H18">
            <v>43</v>
          </cell>
          <cell r="K18"/>
          <cell r="L18">
            <v>65</v>
          </cell>
          <cell r="M18">
            <v>10</v>
          </cell>
          <cell r="N18">
            <v>40</v>
          </cell>
          <cell r="O18">
            <v>10</v>
          </cell>
          <cell r="P18">
            <v>40</v>
          </cell>
          <cell r="S18">
            <v>23</v>
          </cell>
          <cell r="T18">
            <v>54</v>
          </cell>
          <cell r="U18">
            <v>26</v>
          </cell>
          <cell r="V18">
            <v>62</v>
          </cell>
        </row>
        <row r="19">
          <cell r="C19">
            <v>29</v>
          </cell>
          <cell r="D19">
            <v>69</v>
          </cell>
          <cell r="E19">
            <v>30</v>
          </cell>
          <cell r="F19">
            <v>53</v>
          </cell>
          <cell r="G19">
            <v>30</v>
          </cell>
          <cell r="H19">
            <v>63</v>
          </cell>
          <cell r="I19">
            <v>30</v>
          </cell>
          <cell r="J19">
            <v>68</v>
          </cell>
          <cell r="K19">
            <v>19</v>
          </cell>
          <cell r="L19">
            <v>70</v>
          </cell>
          <cell r="M19">
            <v>30</v>
          </cell>
          <cell r="N19">
            <v>65</v>
          </cell>
          <cell r="O19">
            <v>30</v>
          </cell>
          <cell r="P19">
            <v>70</v>
          </cell>
          <cell r="Q19">
            <v>30</v>
          </cell>
          <cell r="R19">
            <v>55</v>
          </cell>
          <cell r="S19">
            <v>19</v>
          </cell>
          <cell r="T19">
            <v>70</v>
          </cell>
          <cell r="U19">
            <v>28</v>
          </cell>
          <cell r="V19">
            <v>42</v>
          </cell>
        </row>
        <row r="20">
          <cell r="C20">
            <v>29</v>
          </cell>
          <cell r="D20">
            <v>64</v>
          </cell>
          <cell r="E20">
            <v>30</v>
          </cell>
          <cell r="F20">
            <v>53</v>
          </cell>
          <cell r="G20">
            <v>23</v>
          </cell>
          <cell r="H20">
            <v>53</v>
          </cell>
          <cell r="I20">
            <v>30</v>
          </cell>
          <cell r="J20">
            <v>61</v>
          </cell>
          <cell r="K20">
            <v>4</v>
          </cell>
          <cell r="L20">
            <v>68</v>
          </cell>
          <cell r="M20">
            <v>27</v>
          </cell>
          <cell r="N20">
            <v>42</v>
          </cell>
          <cell r="O20">
            <v>27</v>
          </cell>
          <cell r="P20">
            <v>47</v>
          </cell>
          <cell r="Q20">
            <v>30</v>
          </cell>
          <cell r="R20">
            <v>43</v>
          </cell>
          <cell r="S20">
            <v>23</v>
          </cell>
          <cell r="T20">
            <v>46</v>
          </cell>
          <cell r="U20">
            <v>25</v>
          </cell>
          <cell r="V20">
            <v>60</v>
          </cell>
        </row>
        <row r="21">
          <cell r="C21">
            <v>29</v>
          </cell>
          <cell r="D21">
            <v>35</v>
          </cell>
          <cell r="E21">
            <v>30</v>
          </cell>
          <cell r="F21">
            <v>37</v>
          </cell>
          <cell r="G21">
            <v>20</v>
          </cell>
          <cell r="H21">
            <v>30</v>
          </cell>
          <cell r="K21"/>
          <cell r="L21">
            <v>50</v>
          </cell>
          <cell r="M21">
            <v>10</v>
          </cell>
          <cell r="N21">
            <v>23</v>
          </cell>
          <cell r="O21">
            <v>10</v>
          </cell>
          <cell r="P21">
            <v>40</v>
          </cell>
          <cell r="S21">
            <v>21</v>
          </cell>
          <cell r="T21">
            <v>33</v>
          </cell>
          <cell r="U21">
            <v>25</v>
          </cell>
          <cell r="V21">
            <v>56</v>
          </cell>
        </row>
        <row r="22">
          <cell r="C22">
            <v>27</v>
          </cell>
          <cell r="D22">
            <v>65</v>
          </cell>
          <cell r="E22">
            <v>30</v>
          </cell>
          <cell r="F22">
            <v>48</v>
          </cell>
          <cell r="G22">
            <v>20</v>
          </cell>
          <cell r="H22">
            <v>58</v>
          </cell>
          <cell r="I22">
            <v>30</v>
          </cell>
          <cell r="J22">
            <v>60</v>
          </cell>
          <cell r="K22">
            <v>2</v>
          </cell>
          <cell r="L22">
            <v>60</v>
          </cell>
          <cell r="M22">
            <v>30</v>
          </cell>
          <cell r="N22">
            <v>64</v>
          </cell>
          <cell r="O22">
            <v>30</v>
          </cell>
          <cell r="P22">
            <v>59</v>
          </cell>
          <cell r="Q22">
            <v>30</v>
          </cell>
          <cell r="R22">
            <v>65</v>
          </cell>
          <cell r="S22">
            <v>24</v>
          </cell>
          <cell r="T22">
            <v>56</v>
          </cell>
          <cell r="U22">
            <v>14</v>
          </cell>
          <cell r="V22">
            <v>44</v>
          </cell>
        </row>
        <row r="23">
          <cell r="C23">
            <v>23</v>
          </cell>
          <cell r="D23">
            <v>35</v>
          </cell>
          <cell r="E23">
            <v>30</v>
          </cell>
          <cell r="F23">
            <v>46</v>
          </cell>
          <cell r="G23">
            <v>15</v>
          </cell>
          <cell r="H23">
            <v>18</v>
          </cell>
          <cell r="I23">
            <v>30</v>
          </cell>
          <cell r="J23">
            <v>55</v>
          </cell>
          <cell r="K23"/>
          <cell r="L23">
            <v>40</v>
          </cell>
          <cell r="M23">
            <v>10</v>
          </cell>
          <cell r="N23">
            <v>16</v>
          </cell>
          <cell r="O23">
            <v>10</v>
          </cell>
          <cell r="P23">
            <v>8</v>
          </cell>
          <cell r="Q23">
            <v>25</v>
          </cell>
          <cell r="R23">
            <v>20</v>
          </cell>
          <cell r="S23">
            <v>20</v>
          </cell>
          <cell r="T23">
            <v>59</v>
          </cell>
          <cell r="U23"/>
          <cell r="V23">
            <v>16</v>
          </cell>
        </row>
        <row r="24">
          <cell r="C24">
            <v>27</v>
          </cell>
          <cell r="D24">
            <v>69</v>
          </cell>
          <cell r="E24">
            <v>30</v>
          </cell>
          <cell r="F24">
            <v>50</v>
          </cell>
          <cell r="G24">
            <v>23</v>
          </cell>
          <cell r="H24">
            <v>58</v>
          </cell>
          <cell r="K24"/>
          <cell r="L24">
            <v>70</v>
          </cell>
          <cell r="M24">
            <v>30</v>
          </cell>
          <cell r="N24">
            <v>70</v>
          </cell>
          <cell r="O24">
            <v>30</v>
          </cell>
          <cell r="P24">
            <v>48</v>
          </cell>
          <cell r="Q24">
            <v>30</v>
          </cell>
          <cell r="R24">
            <v>55</v>
          </cell>
          <cell r="U24">
            <v>27</v>
          </cell>
          <cell r="V24">
            <v>48</v>
          </cell>
        </row>
        <row r="25">
          <cell r="E25">
            <v>30</v>
          </cell>
          <cell r="F25">
            <v>54</v>
          </cell>
          <cell r="G25">
            <v>11</v>
          </cell>
          <cell r="H25">
            <v>46</v>
          </cell>
          <cell r="I25">
            <v>30</v>
          </cell>
          <cell r="J25">
            <v>60</v>
          </cell>
          <cell r="K25">
            <v>2</v>
          </cell>
          <cell r="L25">
            <v>69</v>
          </cell>
          <cell r="M25">
            <v>27</v>
          </cell>
          <cell r="N25">
            <v>32</v>
          </cell>
          <cell r="O25">
            <v>27</v>
          </cell>
          <cell r="P25">
            <v>39</v>
          </cell>
          <cell r="Q25">
            <v>30</v>
          </cell>
          <cell r="R25">
            <v>40</v>
          </cell>
          <cell r="S25">
            <v>21</v>
          </cell>
          <cell r="T25">
            <v>50</v>
          </cell>
        </row>
        <row r="26">
          <cell r="C26">
            <v>30</v>
          </cell>
          <cell r="D26">
            <v>61</v>
          </cell>
          <cell r="E26">
            <v>30</v>
          </cell>
          <cell r="F26">
            <v>55</v>
          </cell>
          <cell r="G26">
            <v>15</v>
          </cell>
          <cell r="H26">
            <v>55</v>
          </cell>
          <cell r="I26">
            <v>30</v>
          </cell>
          <cell r="J26">
            <v>60</v>
          </cell>
          <cell r="K26"/>
          <cell r="L26">
            <v>70</v>
          </cell>
          <cell r="M26">
            <v>30</v>
          </cell>
          <cell r="N26">
            <v>60</v>
          </cell>
          <cell r="O26">
            <v>30</v>
          </cell>
          <cell r="P26">
            <v>42</v>
          </cell>
          <cell r="Q26">
            <v>30</v>
          </cell>
          <cell r="R26">
            <v>45</v>
          </cell>
          <cell r="S26">
            <v>19</v>
          </cell>
          <cell r="T26">
            <v>59</v>
          </cell>
          <cell r="U26">
            <v>16</v>
          </cell>
          <cell r="V26">
            <v>38</v>
          </cell>
        </row>
        <row r="27">
          <cell r="C27">
            <v>30</v>
          </cell>
          <cell r="D27">
            <v>63</v>
          </cell>
          <cell r="E27">
            <v>30</v>
          </cell>
          <cell r="F27">
            <v>45</v>
          </cell>
          <cell r="G27">
            <v>27</v>
          </cell>
          <cell r="H27">
            <v>57</v>
          </cell>
          <cell r="I27">
            <v>30</v>
          </cell>
          <cell r="J27">
            <v>61</v>
          </cell>
          <cell r="K27"/>
          <cell r="L27">
            <v>70</v>
          </cell>
          <cell r="M27">
            <v>30</v>
          </cell>
          <cell r="N27">
            <v>58</v>
          </cell>
          <cell r="O27">
            <v>30</v>
          </cell>
          <cell r="P27">
            <v>64</v>
          </cell>
          <cell r="Q27">
            <v>30</v>
          </cell>
          <cell r="R27">
            <v>45</v>
          </cell>
          <cell r="S27">
            <v>20</v>
          </cell>
          <cell r="T27">
            <v>64</v>
          </cell>
          <cell r="U27">
            <v>28</v>
          </cell>
          <cell r="V27">
            <v>62</v>
          </cell>
        </row>
        <row r="28">
          <cell r="C28">
            <v>30</v>
          </cell>
          <cell r="D28">
            <v>69</v>
          </cell>
          <cell r="E28">
            <v>30</v>
          </cell>
          <cell r="F28">
            <v>50</v>
          </cell>
          <cell r="G28">
            <v>25</v>
          </cell>
          <cell r="H28">
            <v>62</v>
          </cell>
          <cell r="I28">
            <v>30</v>
          </cell>
          <cell r="J28">
            <v>63</v>
          </cell>
          <cell r="K28"/>
          <cell r="L28">
            <v>69</v>
          </cell>
          <cell r="M28">
            <v>18</v>
          </cell>
          <cell r="N28">
            <v>59</v>
          </cell>
          <cell r="O28">
            <v>18</v>
          </cell>
          <cell r="P28">
            <v>44</v>
          </cell>
          <cell r="Q28">
            <v>30</v>
          </cell>
          <cell r="R28">
            <v>55</v>
          </cell>
          <cell r="S28">
            <v>24</v>
          </cell>
          <cell r="T28">
            <v>62</v>
          </cell>
          <cell r="U28">
            <v>28</v>
          </cell>
          <cell r="V28">
            <v>30</v>
          </cell>
        </row>
        <row r="29">
          <cell r="C29">
            <v>29</v>
          </cell>
          <cell r="D29">
            <v>55</v>
          </cell>
          <cell r="E29">
            <v>30</v>
          </cell>
          <cell r="F29">
            <v>37</v>
          </cell>
          <cell r="G29">
            <v>11</v>
          </cell>
          <cell r="H29">
            <v>49</v>
          </cell>
          <cell r="I29">
            <v>30</v>
          </cell>
          <cell r="J29">
            <v>65</v>
          </cell>
          <cell r="K29">
            <v>2</v>
          </cell>
          <cell r="L29">
            <v>70</v>
          </cell>
          <cell r="M29">
            <v>30</v>
          </cell>
          <cell r="N29">
            <v>53</v>
          </cell>
          <cell r="O29">
            <v>30</v>
          </cell>
          <cell r="P29">
            <v>42</v>
          </cell>
          <cell r="Q29">
            <v>30</v>
          </cell>
          <cell r="R29">
            <v>45</v>
          </cell>
          <cell r="S29">
            <v>26</v>
          </cell>
          <cell r="T29">
            <v>52</v>
          </cell>
          <cell r="U29">
            <v>23</v>
          </cell>
          <cell r="V29">
            <v>44</v>
          </cell>
        </row>
        <row r="30">
          <cell r="C30">
            <v>27</v>
          </cell>
          <cell r="D30">
            <v>55</v>
          </cell>
          <cell r="G30">
            <v>14</v>
          </cell>
          <cell r="H30">
            <v>36</v>
          </cell>
          <cell r="K30"/>
          <cell r="L30">
            <v>68</v>
          </cell>
          <cell r="M30">
            <v>10</v>
          </cell>
          <cell r="N30">
            <v>18</v>
          </cell>
          <cell r="O30">
            <v>10</v>
          </cell>
          <cell r="P30">
            <v>17</v>
          </cell>
          <cell r="Q30">
            <v>30</v>
          </cell>
          <cell r="R30">
            <v>20</v>
          </cell>
        </row>
        <row r="31">
          <cell r="C31">
            <v>30</v>
          </cell>
          <cell r="D31"/>
          <cell r="E31">
            <v>30</v>
          </cell>
          <cell r="F31">
            <v>56</v>
          </cell>
          <cell r="G31">
            <v>20</v>
          </cell>
          <cell r="H31">
            <v>42</v>
          </cell>
          <cell r="I31">
            <v>30</v>
          </cell>
          <cell r="J31">
            <v>61</v>
          </cell>
          <cell r="K31"/>
          <cell r="L31">
            <v>69</v>
          </cell>
          <cell r="M31">
            <v>10</v>
          </cell>
          <cell r="N31">
            <v>37</v>
          </cell>
          <cell r="O31">
            <v>10</v>
          </cell>
          <cell r="P31">
            <v>40</v>
          </cell>
          <cell r="Q31">
            <v>30</v>
          </cell>
          <cell r="R31">
            <v>25</v>
          </cell>
          <cell r="S31">
            <v>21</v>
          </cell>
          <cell r="T31">
            <v>46</v>
          </cell>
          <cell r="U31">
            <v>21</v>
          </cell>
          <cell r="V31">
            <v>32</v>
          </cell>
        </row>
        <row r="32">
          <cell r="C32">
            <v>29</v>
          </cell>
          <cell r="D32">
            <v>67</v>
          </cell>
          <cell r="E32">
            <v>30</v>
          </cell>
          <cell r="F32">
            <v>45</v>
          </cell>
          <cell r="G32">
            <v>15</v>
          </cell>
          <cell r="H32">
            <v>63</v>
          </cell>
          <cell r="I32">
            <v>30</v>
          </cell>
          <cell r="J32">
            <v>61</v>
          </cell>
          <cell r="K32"/>
          <cell r="L32">
            <v>65</v>
          </cell>
          <cell r="M32">
            <v>30</v>
          </cell>
          <cell r="N32">
            <v>57</v>
          </cell>
          <cell r="O32">
            <v>30</v>
          </cell>
          <cell r="P32">
            <v>63</v>
          </cell>
          <cell r="Q32">
            <v>30</v>
          </cell>
          <cell r="R32">
            <v>50</v>
          </cell>
          <cell r="S32">
            <v>18</v>
          </cell>
          <cell r="T32">
            <v>56</v>
          </cell>
          <cell r="U32">
            <v>25</v>
          </cell>
          <cell r="V32">
            <v>60</v>
          </cell>
        </row>
        <row r="33">
          <cell r="C33">
            <v>30</v>
          </cell>
          <cell r="D33">
            <v>61</v>
          </cell>
          <cell r="E33">
            <v>30</v>
          </cell>
          <cell r="F33">
            <v>49</v>
          </cell>
          <cell r="G33"/>
          <cell r="H33">
            <v>36</v>
          </cell>
          <cell r="K33"/>
          <cell r="L33">
            <v>70</v>
          </cell>
          <cell r="M33">
            <v>18</v>
          </cell>
          <cell r="N33">
            <v>20</v>
          </cell>
          <cell r="O33">
            <v>18</v>
          </cell>
          <cell r="P33">
            <v>25</v>
          </cell>
          <cell r="S33">
            <v>21</v>
          </cell>
          <cell r="T33">
            <v>46</v>
          </cell>
          <cell r="U33">
            <v>12</v>
          </cell>
          <cell r="V33">
            <v>11</v>
          </cell>
        </row>
        <row r="34">
          <cell r="C34">
            <v>30</v>
          </cell>
          <cell r="D34">
            <v>64</v>
          </cell>
          <cell r="E34">
            <v>30</v>
          </cell>
          <cell r="F34">
            <v>55</v>
          </cell>
          <cell r="G34">
            <v>26</v>
          </cell>
          <cell r="H34">
            <v>62</v>
          </cell>
          <cell r="I34">
            <v>30</v>
          </cell>
          <cell r="J34">
            <v>59</v>
          </cell>
          <cell r="K34">
            <v>12</v>
          </cell>
          <cell r="L34">
            <v>70</v>
          </cell>
          <cell r="M34">
            <v>30</v>
          </cell>
          <cell r="N34">
            <v>62</v>
          </cell>
          <cell r="O34">
            <v>30</v>
          </cell>
          <cell r="P34">
            <v>44</v>
          </cell>
          <cell r="Q34">
            <v>30</v>
          </cell>
          <cell r="R34">
            <v>55</v>
          </cell>
          <cell r="S34"/>
          <cell r="T34">
            <v>52</v>
          </cell>
          <cell r="U34">
            <v>18</v>
          </cell>
          <cell r="V34">
            <v>32</v>
          </cell>
        </row>
        <row r="35">
          <cell r="C35">
            <v>29</v>
          </cell>
          <cell r="D35">
            <v>58</v>
          </cell>
          <cell r="G35">
            <v>20</v>
          </cell>
          <cell r="H35">
            <v>15</v>
          </cell>
          <cell r="K35"/>
          <cell r="L35">
            <v>65</v>
          </cell>
          <cell r="M35">
            <v>30</v>
          </cell>
          <cell r="N35">
            <v>20</v>
          </cell>
          <cell r="O35">
            <v>30</v>
          </cell>
          <cell r="P35">
            <v>21</v>
          </cell>
          <cell r="Q35">
            <v>30</v>
          </cell>
          <cell r="R35">
            <v>20</v>
          </cell>
          <cell r="S35">
            <v>20</v>
          </cell>
          <cell r="T35">
            <v>56</v>
          </cell>
          <cell r="U35">
            <v>18</v>
          </cell>
          <cell r="V35">
            <v>54</v>
          </cell>
        </row>
        <row r="36">
          <cell r="C36">
            <v>29</v>
          </cell>
          <cell r="D36">
            <v>63</v>
          </cell>
          <cell r="E36">
            <v>30</v>
          </cell>
          <cell r="F36">
            <v>52</v>
          </cell>
          <cell r="G36">
            <v>27</v>
          </cell>
          <cell r="H36">
            <v>54</v>
          </cell>
          <cell r="I36">
            <v>30</v>
          </cell>
          <cell r="J36">
            <v>64</v>
          </cell>
          <cell r="K36"/>
          <cell r="L36">
            <v>70</v>
          </cell>
          <cell r="M36">
            <v>30</v>
          </cell>
          <cell r="N36">
            <v>50</v>
          </cell>
          <cell r="O36">
            <v>30</v>
          </cell>
          <cell r="P36">
            <v>53</v>
          </cell>
          <cell r="Q36">
            <v>30</v>
          </cell>
          <cell r="R36">
            <v>50</v>
          </cell>
          <cell r="S36">
            <v>21</v>
          </cell>
          <cell r="T36">
            <v>57</v>
          </cell>
          <cell r="U36">
            <v>25</v>
          </cell>
          <cell r="V36">
            <v>64</v>
          </cell>
        </row>
        <row r="37">
          <cell r="C37">
            <v>27</v>
          </cell>
          <cell r="D37">
            <v>60</v>
          </cell>
          <cell r="E37">
            <v>30</v>
          </cell>
          <cell r="F37">
            <v>35</v>
          </cell>
          <cell r="G37">
            <v>21</v>
          </cell>
          <cell r="H37">
            <v>55</v>
          </cell>
          <cell r="I37">
            <v>30</v>
          </cell>
          <cell r="J37">
            <v>59</v>
          </cell>
          <cell r="K37"/>
          <cell r="L37">
            <v>64</v>
          </cell>
          <cell r="M37">
            <v>10</v>
          </cell>
          <cell r="N37">
            <v>42</v>
          </cell>
          <cell r="O37">
            <v>10</v>
          </cell>
          <cell r="P37">
            <v>42</v>
          </cell>
          <cell r="Q37">
            <v>30</v>
          </cell>
          <cell r="R37">
            <v>40</v>
          </cell>
          <cell r="S37">
            <v>22</v>
          </cell>
          <cell r="T37">
            <v>42</v>
          </cell>
          <cell r="U37">
            <v>20</v>
          </cell>
          <cell r="V37">
            <v>34</v>
          </cell>
        </row>
        <row r="38">
          <cell r="C38">
            <v>21</v>
          </cell>
          <cell r="D38">
            <v>65</v>
          </cell>
          <cell r="E38">
            <v>30</v>
          </cell>
          <cell r="F38">
            <v>39</v>
          </cell>
          <cell r="G38">
            <v>15</v>
          </cell>
          <cell r="H38">
            <v>40</v>
          </cell>
          <cell r="I38"/>
          <cell r="J38">
            <v>55</v>
          </cell>
          <cell r="K38"/>
          <cell r="L38">
            <v>70</v>
          </cell>
          <cell r="M38">
            <v>18</v>
          </cell>
          <cell r="N38">
            <v>32</v>
          </cell>
          <cell r="O38">
            <v>18</v>
          </cell>
          <cell r="P38">
            <v>37</v>
          </cell>
          <cell r="Q38">
            <v>25</v>
          </cell>
          <cell r="R38">
            <v>25</v>
          </cell>
          <cell r="S38">
            <v>20</v>
          </cell>
          <cell r="T38">
            <v>44</v>
          </cell>
          <cell r="U38">
            <v>19</v>
          </cell>
          <cell r="V38">
            <v>38</v>
          </cell>
        </row>
        <row r="39">
          <cell r="C39">
            <v>27</v>
          </cell>
          <cell r="D39">
            <v>65</v>
          </cell>
          <cell r="E39">
            <v>30</v>
          </cell>
          <cell r="F39">
            <v>40</v>
          </cell>
          <cell r="G39">
            <v>30</v>
          </cell>
          <cell r="H39">
            <v>61</v>
          </cell>
          <cell r="I39">
            <v>30</v>
          </cell>
          <cell r="J39">
            <v>61</v>
          </cell>
          <cell r="K39">
            <v>7</v>
          </cell>
          <cell r="L39">
            <v>69</v>
          </cell>
          <cell r="M39">
            <v>30</v>
          </cell>
          <cell r="N39">
            <v>51</v>
          </cell>
          <cell r="O39">
            <v>30</v>
          </cell>
          <cell r="P39">
            <v>65</v>
          </cell>
          <cell r="Q39">
            <v>30</v>
          </cell>
          <cell r="R39">
            <v>50</v>
          </cell>
          <cell r="S39">
            <v>26</v>
          </cell>
          <cell r="T39">
            <v>52</v>
          </cell>
          <cell r="U39">
            <v>19</v>
          </cell>
          <cell r="V39">
            <v>58</v>
          </cell>
        </row>
        <row r="40">
          <cell r="C40">
            <v>29</v>
          </cell>
          <cell r="D40">
            <v>50</v>
          </cell>
          <cell r="E40">
            <v>30</v>
          </cell>
          <cell r="F40">
            <v>25</v>
          </cell>
          <cell r="G40">
            <v>15</v>
          </cell>
          <cell r="H40">
            <v>35</v>
          </cell>
          <cell r="I40">
            <v>30</v>
          </cell>
          <cell r="J40">
            <v>55</v>
          </cell>
          <cell r="K40"/>
          <cell r="L40">
            <v>55</v>
          </cell>
          <cell r="M40">
            <v>23</v>
          </cell>
          <cell r="N40">
            <v>27</v>
          </cell>
          <cell r="O40">
            <v>23</v>
          </cell>
          <cell r="P40">
            <v>27</v>
          </cell>
          <cell r="Q40">
            <v>30</v>
          </cell>
          <cell r="R40">
            <v>25</v>
          </cell>
          <cell r="S40">
            <v>21</v>
          </cell>
          <cell r="T40">
            <v>46</v>
          </cell>
          <cell r="U40">
            <v>21</v>
          </cell>
          <cell r="V40">
            <v>58</v>
          </cell>
        </row>
        <row r="41">
          <cell r="C41">
            <v>27</v>
          </cell>
          <cell r="D41">
            <v>61</v>
          </cell>
          <cell r="E41">
            <v>30</v>
          </cell>
          <cell r="F41">
            <v>60</v>
          </cell>
          <cell r="G41">
            <v>26</v>
          </cell>
          <cell r="H41">
            <v>64</v>
          </cell>
          <cell r="I41">
            <v>30</v>
          </cell>
          <cell r="J41">
            <v>60</v>
          </cell>
          <cell r="K41"/>
          <cell r="L41">
            <v>50</v>
          </cell>
          <cell r="M41">
            <v>28</v>
          </cell>
          <cell r="N41">
            <v>56</v>
          </cell>
          <cell r="O41">
            <v>28</v>
          </cell>
          <cell r="P41">
            <v>59</v>
          </cell>
          <cell r="Q41">
            <v>20</v>
          </cell>
          <cell r="R41">
            <v>45</v>
          </cell>
          <cell r="S41">
            <v>19</v>
          </cell>
          <cell r="T41">
            <v>58</v>
          </cell>
          <cell r="U41">
            <v>16</v>
          </cell>
          <cell r="V41">
            <v>40</v>
          </cell>
        </row>
        <row r="42">
          <cell r="C42">
            <v>21</v>
          </cell>
          <cell r="D42">
            <v>63</v>
          </cell>
          <cell r="E42">
            <v>30</v>
          </cell>
          <cell r="F42">
            <v>10</v>
          </cell>
          <cell r="G42">
            <v>15</v>
          </cell>
          <cell r="H42">
            <v>25</v>
          </cell>
          <cell r="I42">
            <v>30</v>
          </cell>
          <cell r="J42">
            <v>59</v>
          </cell>
          <cell r="K42"/>
          <cell r="L42">
            <v>70</v>
          </cell>
          <cell r="M42">
            <v>10</v>
          </cell>
          <cell r="N42"/>
          <cell r="O42">
            <v>10</v>
          </cell>
          <cell r="P42"/>
          <cell r="Q42">
            <v>30</v>
          </cell>
          <cell r="R42">
            <v>20</v>
          </cell>
          <cell r="S42">
            <v>20</v>
          </cell>
          <cell r="T42">
            <v>49</v>
          </cell>
          <cell r="U42"/>
          <cell r="V42">
            <v>52</v>
          </cell>
        </row>
        <row r="43">
          <cell r="C43">
            <v>27</v>
          </cell>
          <cell r="D43">
            <v>60</v>
          </cell>
          <cell r="E43">
            <v>30</v>
          </cell>
          <cell r="F43">
            <v>20</v>
          </cell>
          <cell r="G43">
            <v>15</v>
          </cell>
          <cell r="H43">
            <v>16</v>
          </cell>
          <cell r="I43">
            <v>30</v>
          </cell>
          <cell r="J43">
            <v>55</v>
          </cell>
          <cell r="K43"/>
          <cell r="L43">
            <v>64</v>
          </cell>
          <cell r="M43">
            <v>10</v>
          </cell>
          <cell r="N43">
            <v>7</v>
          </cell>
          <cell r="O43">
            <v>10</v>
          </cell>
          <cell r="P43">
            <v>0</v>
          </cell>
          <cell r="Q43">
            <v>30</v>
          </cell>
          <cell r="R43">
            <v>15</v>
          </cell>
          <cell r="S43">
            <v>20</v>
          </cell>
          <cell r="T43">
            <v>46</v>
          </cell>
          <cell r="U43">
            <v>14</v>
          </cell>
          <cell r="V43">
            <v>20</v>
          </cell>
        </row>
        <row r="44">
          <cell r="G44">
            <v>22</v>
          </cell>
          <cell r="H44">
            <v>47</v>
          </cell>
          <cell r="I44">
            <v>30</v>
          </cell>
          <cell r="J44">
            <v>53</v>
          </cell>
          <cell r="K44"/>
          <cell r="L44">
            <v>70</v>
          </cell>
          <cell r="M44">
            <v>13</v>
          </cell>
          <cell r="N44">
            <v>37</v>
          </cell>
          <cell r="Q44">
            <v>30</v>
          </cell>
          <cell r="R44">
            <v>50</v>
          </cell>
          <cell r="U44">
            <v>15</v>
          </cell>
          <cell r="V44">
            <v>60</v>
          </cell>
        </row>
        <row r="45">
          <cell r="C45">
            <v>29</v>
          </cell>
          <cell r="D45">
            <v>62</v>
          </cell>
          <cell r="E45">
            <v>30</v>
          </cell>
          <cell r="F45">
            <v>37</v>
          </cell>
          <cell r="G45">
            <v>10</v>
          </cell>
          <cell r="H45">
            <v>51</v>
          </cell>
          <cell r="I45">
            <v>30</v>
          </cell>
          <cell r="J45">
            <v>57</v>
          </cell>
          <cell r="K45"/>
          <cell r="L45">
            <v>70</v>
          </cell>
          <cell r="M45">
            <v>30</v>
          </cell>
          <cell r="N45">
            <v>58</v>
          </cell>
          <cell r="O45">
            <v>30</v>
          </cell>
          <cell r="P45">
            <v>46</v>
          </cell>
          <cell r="Q45">
            <v>30</v>
          </cell>
          <cell r="R45">
            <v>60</v>
          </cell>
          <cell r="S45">
            <v>23</v>
          </cell>
          <cell r="T45">
            <v>57</v>
          </cell>
          <cell r="U45">
            <v>26</v>
          </cell>
          <cell r="V45">
            <v>54</v>
          </cell>
        </row>
        <row r="46">
          <cell r="C46">
            <v>29</v>
          </cell>
          <cell r="D46">
            <v>64</v>
          </cell>
          <cell r="E46">
            <v>30</v>
          </cell>
          <cell r="F46">
            <v>60</v>
          </cell>
          <cell r="G46">
            <v>15</v>
          </cell>
          <cell r="H46">
            <v>59</v>
          </cell>
          <cell r="I46">
            <v>30</v>
          </cell>
          <cell r="J46">
            <v>55</v>
          </cell>
          <cell r="K46">
            <v>13</v>
          </cell>
          <cell r="L46">
            <v>70</v>
          </cell>
          <cell r="M46">
            <v>30</v>
          </cell>
          <cell r="N46">
            <v>70</v>
          </cell>
          <cell r="O46">
            <v>30</v>
          </cell>
          <cell r="P46">
            <v>64</v>
          </cell>
          <cell r="Q46">
            <v>30</v>
          </cell>
          <cell r="R46">
            <v>40</v>
          </cell>
          <cell r="S46">
            <v>25</v>
          </cell>
          <cell r="T46">
            <v>56</v>
          </cell>
          <cell r="U46">
            <v>13</v>
          </cell>
          <cell r="V46">
            <v>38</v>
          </cell>
        </row>
        <row r="47">
          <cell r="C47">
            <v>29</v>
          </cell>
          <cell r="D47">
            <v>58</v>
          </cell>
          <cell r="E47">
            <v>30</v>
          </cell>
          <cell r="F47">
            <v>60</v>
          </cell>
          <cell r="G47">
            <v>26</v>
          </cell>
          <cell r="H47">
            <v>57</v>
          </cell>
          <cell r="I47">
            <v>30</v>
          </cell>
          <cell r="J47">
            <v>64</v>
          </cell>
          <cell r="K47">
            <v>7</v>
          </cell>
          <cell r="L47">
            <v>70</v>
          </cell>
          <cell r="M47">
            <v>30</v>
          </cell>
          <cell r="N47">
            <v>49</v>
          </cell>
          <cell r="O47">
            <v>30</v>
          </cell>
          <cell r="P47">
            <v>53</v>
          </cell>
          <cell r="Q47">
            <v>30</v>
          </cell>
          <cell r="R47">
            <v>45</v>
          </cell>
          <cell r="S47">
            <v>27</v>
          </cell>
          <cell r="T47">
            <v>70</v>
          </cell>
          <cell r="U47">
            <v>22</v>
          </cell>
          <cell r="V47">
            <v>42</v>
          </cell>
        </row>
        <row r="48">
          <cell r="G48">
            <v>19</v>
          </cell>
          <cell r="H48">
            <v>38</v>
          </cell>
          <cell r="I48">
            <v>30</v>
          </cell>
          <cell r="J48">
            <v>59</v>
          </cell>
          <cell r="Q48">
            <v>30</v>
          </cell>
          <cell r="R48">
            <v>45</v>
          </cell>
          <cell r="S48">
            <v>20</v>
          </cell>
          <cell r="T48">
            <v>60</v>
          </cell>
          <cell r="U48">
            <v>25</v>
          </cell>
          <cell r="V48">
            <v>38</v>
          </cell>
        </row>
        <row r="49">
          <cell r="C49">
            <v>29</v>
          </cell>
          <cell r="D49">
            <v>66</v>
          </cell>
          <cell r="E49">
            <v>30</v>
          </cell>
          <cell r="F49">
            <v>55</v>
          </cell>
          <cell r="G49">
            <v>25</v>
          </cell>
          <cell r="H49">
            <v>42</v>
          </cell>
          <cell r="I49">
            <v>30</v>
          </cell>
          <cell r="J49">
            <v>60</v>
          </cell>
          <cell r="K49">
            <v>1</v>
          </cell>
          <cell r="L49">
            <v>70</v>
          </cell>
          <cell r="M49">
            <v>28</v>
          </cell>
          <cell r="N49">
            <v>50</v>
          </cell>
          <cell r="O49">
            <v>28</v>
          </cell>
          <cell r="P49">
            <v>43</v>
          </cell>
          <cell r="Q49">
            <v>30</v>
          </cell>
          <cell r="R49">
            <v>55</v>
          </cell>
          <cell r="S49">
            <v>22</v>
          </cell>
          <cell r="T49">
            <v>55</v>
          </cell>
          <cell r="U49">
            <v>22</v>
          </cell>
          <cell r="V49">
            <v>38</v>
          </cell>
        </row>
        <row r="50">
          <cell r="C50">
            <v>29</v>
          </cell>
          <cell r="D50">
            <v>69</v>
          </cell>
          <cell r="E50">
            <v>30</v>
          </cell>
          <cell r="F50">
            <v>48</v>
          </cell>
          <cell r="G50">
            <v>24</v>
          </cell>
          <cell r="H50">
            <v>58</v>
          </cell>
          <cell r="I50">
            <v>30</v>
          </cell>
          <cell r="J50">
            <v>59</v>
          </cell>
          <cell r="K50"/>
          <cell r="L50">
            <v>67</v>
          </cell>
          <cell r="M50">
            <v>30</v>
          </cell>
          <cell r="N50">
            <v>56</v>
          </cell>
          <cell r="O50">
            <v>30</v>
          </cell>
          <cell r="P50">
            <v>47</v>
          </cell>
          <cell r="Q50">
            <v>30</v>
          </cell>
          <cell r="R50">
            <v>65</v>
          </cell>
          <cell r="S50">
            <v>20</v>
          </cell>
          <cell r="T50">
            <v>68</v>
          </cell>
          <cell r="U50">
            <v>25</v>
          </cell>
          <cell r="V50">
            <v>58</v>
          </cell>
        </row>
        <row r="51">
          <cell r="C51">
            <v>30</v>
          </cell>
          <cell r="D51">
            <v>60</v>
          </cell>
          <cell r="E51">
            <v>30</v>
          </cell>
          <cell r="F51">
            <v>20</v>
          </cell>
          <cell r="G51">
            <v>15</v>
          </cell>
          <cell r="H51">
            <v>37</v>
          </cell>
          <cell r="I51">
            <v>30</v>
          </cell>
          <cell r="J51">
            <v>60</v>
          </cell>
          <cell r="K51"/>
          <cell r="L51">
            <v>60</v>
          </cell>
          <cell r="M51">
            <v>30</v>
          </cell>
          <cell r="N51">
            <v>40</v>
          </cell>
          <cell r="O51">
            <v>30</v>
          </cell>
          <cell r="P51">
            <v>37</v>
          </cell>
          <cell r="Q51">
            <v>25</v>
          </cell>
          <cell r="R51">
            <v>25</v>
          </cell>
          <cell r="S51">
            <v>19</v>
          </cell>
          <cell r="T51">
            <v>58</v>
          </cell>
          <cell r="U51">
            <v>25</v>
          </cell>
          <cell r="V51">
            <v>36</v>
          </cell>
        </row>
        <row r="52">
          <cell r="G52">
            <v>20</v>
          </cell>
          <cell r="H52">
            <v>31</v>
          </cell>
          <cell r="K52">
            <v>1</v>
          </cell>
          <cell r="L52">
            <v>68</v>
          </cell>
          <cell r="M52">
            <v>10</v>
          </cell>
          <cell r="N52">
            <v>15</v>
          </cell>
          <cell r="O52">
            <v>10</v>
          </cell>
          <cell r="P52">
            <v>40</v>
          </cell>
          <cell r="S52">
            <v>20</v>
          </cell>
          <cell r="T52">
            <v>48</v>
          </cell>
          <cell r="U52"/>
          <cell r="V52">
            <v>50</v>
          </cell>
        </row>
        <row r="53">
          <cell r="E53">
            <v>30</v>
          </cell>
          <cell r="F53">
            <v>40</v>
          </cell>
          <cell r="I53">
            <v>30</v>
          </cell>
          <cell r="J53">
            <v>65</v>
          </cell>
          <cell r="K53"/>
          <cell r="L53">
            <v>69</v>
          </cell>
          <cell r="M53">
            <v>12</v>
          </cell>
          <cell r="N53">
            <v>38</v>
          </cell>
          <cell r="O53">
            <v>12</v>
          </cell>
          <cell r="P53">
            <v>38</v>
          </cell>
          <cell r="Q53">
            <v>25</v>
          </cell>
          <cell r="R53">
            <v>35</v>
          </cell>
          <cell r="S53">
            <v>19</v>
          </cell>
          <cell r="T53">
            <v>51</v>
          </cell>
          <cell r="U53">
            <v>16</v>
          </cell>
          <cell r="V53">
            <v>34</v>
          </cell>
        </row>
        <row r="54">
          <cell r="C54">
            <v>23</v>
          </cell>
          <cell r="D54">
            <v>15</v>
          </cell>
          <cell r="K54"/>
          <cell r="L54">
            <v>70</v>
          </cell>
          <cell r="M54">
            <v>10</v>
          </cell>
          <cell r="N54">
            <v>28</v>
          </cell>
          <cell r="Q54">
            <v>30</v>
          </cell>
          <cell r="R54">
            <v>25</v>
          </cell>
          <cell r="S54">
            <v>19</v>
          </cell>
          <cell r="T54">
            <v>61</v>
          </cell>
          <cell r="U54"/>
          <cell r="V54">
            <v>18</v>
          </cell>
        </row>
        <row r="55">
          <cell r="E55">
            <v>30</v>
          </cell>
          <cell r="F55">
            <v>40</v>
          </cell>
          <cell r="I55">
            <v>30</v>
          </cell>
          <cell r="J55">
            <v>60</v>
          </cell>
          <cell r="K55"/>
          <cell r="L55">
            <v>69</v>
          </cell>
          <cell r="M55">
            <v>30</v>
          </cell>
          <cell r="N55">
            <v>31</v>
          </cell>
          <cell r="O55">
            <v>30</v>
          </cell>
          <cell r="P55">
            <v>28</v>
          </cell>
          <cell r="Q55">
            <v>30</v>
          </cell>
          <cell r="R55">
            <v>35</v>
          </cell>
          <cell r="S55">
            <v>17</v>
          </cell>
          <cell r="T55">
            <v>62</v>
          </cell>
          <cell r="U55">
            <v>22</v>
          </cell>
          <cell r="V55">
            <v>54</v>
          </cell>
        </row>
        <row r="56">
          <cell r="C56">
            <v>29</v>
          </cell>
          <cell r="D56">
            <v>69</v>
          </cell>
          <cell r="E56">
            <v>30</v>
          </cell>
          <cell r="F56">
            <v>60</v>
          </cell>
          <cell r="G56">
            <v>28</v>
          </cell>
          <cell r="H56">
            <v>64</v>
          </cell>
          <cell r="I56">
            <v>30</v>
          </cell>
          <cell r="J56">
            <v>70</v>
          </cell>
          <cell r="K56">
            <v>12</v>
          </cell>
          <cell r="L56">
            <v>70</v>
          </cell>
          <cell r="M56">
            <v>30</v>
          </cell>
          <cell r="N56">
            <v>65</v>
          </cell>
          <cell r="O56">
            <v>30</v>
          </cell>
          <cell r="P56">
            <v>63</v>
          </cell>
          <cell r="Q56">
            <v>30</v>
          </cell>
          <cell r="R56">
            <v>70</v>
          </cell>
          <cell r="S56">
            <v>19</v>
          </cell>
          <cell r="T56">
            <v>60</v>
          </cell>
          <cell r="U56">
            <v>17</v>
          </cell>
          <cell r="V56">
            <v>36</v>
          </cell>
        </row>
        <row r="57">
          <cell r="C57">
            <v>28</v>
          </cell>
          <cell r="D57">
            <v>35</v>
          </cell>
          <cell r="E57">
            <v>30</v>
          </cell>
          <cell r="F57">
            <v>54</v>
          </cell>
          <cell r="G57">
            <v>22</v>
          </cell>
          <cell r="H57">
            <v>37</v>
          </cell>
          <cell r="I57">
            <v>30</v>
          </cell>
          <cell r="J57">
            <v>50</v>
          </cell>
          <cell r="K57"/>
          <cell r="L57">
            <v>69</v>
          </cell>
          <cell r="M57">
            <v>10</v>
          </cell>
          <cell r="N57">
            <v>42</v>
          </cell>
          <cell r="O57">
            <v>10</v>
          </cell>
          <cell r="P57">
            <v>40</v>
          </cell>
          <cell r="Q57">
            <v>30</v>
          </cell>
          <cell r="R57">
            <v>30</v>
          </cell>
          <cell r="S57">
            <v>25</v>
          </cell>
          <cell r="T57">
            <v>50</v>
          </cell>
          <cell r="U57">
            <v>16</v>
          </cell>
          <cell r="V57">
            <v>34</v>
          </cell>
        </row>
        <row r="58">
          <cell r="E58">
            <v>30</v>
          </cell>
          <cell r="F58">
            <v>43</v>
          </cell>
          <cell r="G58">
            <v>28</v>
          </cell>
          <cell r="H58">
            <v>22</v>
          </cell>
          <cell r="I58">
            <v>30</v>
          </cell>
          <cell r="J58">
            <v>50</v>
          </cell>
          <cell r="K58">
            <v>1</v>
          </cell>
          <cell r="L58">
            <v>68</v>
          </cell>
          <cell r="Q58">
            <v>30</v>
          </cell>
          <cell r="R58">
            <v>25</v>
          </cell>
          <cell r="U58">
            <v>22</v>
          </cell>
          <cell r="V58">
            <v>52</v>
          </cell>
        </row>
        <row r="59">
          <cell r="C59">
            <v>30</v>
          </cell>
          <cell r="D59">
            <v>66</v>
          </cell>
          <cell r="E59">
            <v>30</v>
          </cell>
          <cell r="F59">
            <v>54</v>
          </cell>
          <cell r="G59">
            <v>22</v>
          </cell>
          <cell r="H59">
            <v>42</v>
          </cell>
          <cell r="I59">
            <v>30</v>
          </cell>
          <cell r="J59">
            <v>61</v>
          </cell>
          <cell r="K59">
            <v>5</v>
          </cell>
          <cell r="L59">
            <v>68</v>
          </cell>
          <cell r="M59">
            <v>30</v>
          </cell>
          <cell r="N59">
            <v>47</v>
          </cell>
          <cell r="O59">
            <v>30</v>
          </cell>
          <cell r="P59">
            <v>40</v>
          </cell>
          <cell r="Q59">
            <v>30</v>
          </cell>
          <cell r="R59">
            <v>63</v>
          </cell>
          <cell r="S59">
            <v>22</v>
          </cell>
          <cell r="T59">
            <v>65</v>
          </cell>
          <cell r="U59">
            <v>21</v>
          </cell>
          <cell r="V59">
            <v>52</v>
          </cell>
        </row>
        <row r="60">
          <cell r="E60">
            <v>30</v>
          </cell>
          <cell r="F60">
            <v>57</v>
          </cell>
          <cell r="G60">
            <v>16</v>
          </cell>
          <cell r="H60">
            <v>34</v>
          </cell>
          <cell r="I60">
            <v>30</v>
          </cell>
          <cell r="J60">
            <v>60</v>
          </cell>
          <cell r="K60"/>
          <cell r="L60">
            <v>60</v>
          </cell>
          <cell r="Q60">
            <v>30</v>
          </cell>
          <cell r="R60">
            <v>25</v>
          </cell>
          <cell r="S60">
            <v>22</v>
          </cell>
          <cell r="T60">
            <v>58</v>
          </cell>
        </row>
        <row r="61">
          <cell r="C61">
            <v>27</v>
          </cell>
          <cell r="D61">
            <v>50</v>
          </cell>
          <cell r="E61">
            <v>30</v>
          </cell>
          <cell r="F61">
            <v>25</v>
          </cell>
          <cell r="G61">
            <v>15</v>
          </cell>
          <cell r="H61">
            <v>35</v>
          </cell>
          <cell r="I61">
            <v>30</v>
          </cell>
          <cell r="J61">
            <v>61</v>
          </cell>
          <cell r="K61">
            <v>2</v>
          </cell>
          <cell r="L61">
            <v>55</v>
          </cell>
          <cell r="M61">
            <v>10</v>
          </cell>
          <cell r="N61">
            <v>40</v>
          </cell>
          <cell r="O61">
            <v>10</v>
          </cell>
          <cell r="P61">
            <v>36</v>
          </cell>
          <cell r="Q61">
            <v>30</v>
          </cell>
          <cell r="R61">
            <v>25</v>
          </cell>
          <cell r="S61">
            <v>22</v>
          </cell>
          <cell r="T61">
            <v>50</v>
          </cell>
          <cell r="U61">
            <v>22</v>
          </cell>
          <cell r="V61">
            <v>36</v>
          </cell>
        </row>
        <row r="62">
          <cell r="E62">
            <v>30</v>
          </cell>
          <cell r="F62">
            <v>59</v>
          </cell>
          <cell r="G62">
            <v>15</v>
          </cell>
          <cell r="H62">
            <v>44</v>
          </cell>
          <cell r="I62">
            <v>30</v>
          </cell>
          <cell r="J62">
            <v>57</v>
          </cell>
          <cell r="K62">
            <v>2</v>
          </cell>
          <cell r="L62">
            <v>40</v>
          </cell>
          <cell r="M62">
            <v>30</v>
          </cell>
          <cell r="N62">
            <v>30</v>
          </cell>
          <cell r="O62">
            <v>30</v>
          </cell>
          <cell r="P62">
            <v>20</v>
          </cell>
          <cell r="Q62">
            <v>30</v>
          </cell>
          <cell r="R62">
            <v>32</v>
          </cell>
          <cell r="S62">
            <v>20</v>
          </cell>
          <cell r="T62">
            <v>50</v>
          </cell>
        </row>
        <row r="63">
          <cell r="C63">
            <v>30</v>
          </cell>
          <cell r="D63">
            <v>68</v>
          </cell>
          <cell r="E63">
            <v>30</v>
          </cell>
          <cell r="F63">
            <v>60</v>
          </cell>
          <cell r="G63">
            <v>26</v>
          </cell>
          <cell r="H63">
            <v>64</v>
          </cell>
          <cell r="I63">
            <v>30</v>
          </cell>
          <cell r="J63">
            <v>59</v>
          </cell>
          <cell r="K63">
            <v>5</v>
          </cell>
          <cell r="L63">
            <v>70</v>
          </cell>
          <cell r="M63">
            <v>30</v>
          </cell>
          <cell r="N63">
            <v>49</v>
          </cell>
          <cell r="O63">
            <v>30</v>
          </cell>
          <cell r="P63">
            <v>57</v>
          </cell>
          <cell r="Q63">
            <v>30</v>
          </cell>
          <cell r="R63">
            <v>50</v>
          </cell>
          <cell r="S63">
            <v>20</v>
          </cell>
          <cell r="T63">
            <v>49</v>
          </cell>
          <cell r="U63">
            <v>28</v>
          </cell>
          <cell r="V63">
            <v>66</v>
          </cell>
        </row>
        <row r="64">
          <cell r="C64">
            <v>29</v>
          </cell>
          <cell r="D64">
            <v>55</v>
          </cell>
          <cell r="G64">
            <v>18</v>
          </cell>
          <cell r="H64">
            <v>37</v>
          </cell>
          <cell r="I64">
            <v>30</v>
          </cell>
          <cell r="J64">
            <v>60</v>
          </cell>
          <cell r="K64"/>
          <cell r="L64">
            <v>68</v>
          </cell>
          <cell r="M64">
            <v>10</v>
          </cell>
          <cell r="N64">
            <v>17</v>
          </cell>
          <cell r="O64">
            <v>10</v>
          </cell>
          <cell r="P64">
            <v>26</v>
          </cell>
          <cell r="S64">
            <v>23</v>
          </cell>
          <cell r="T64">
            <v>43</v>
          </cell>
          <cell r="U64">
            <v>22</v>
          </cell>
          <cell r="V64">
            <v>11</v>
          </cell>
        </row>
        <row r="65">
          <cell r="C65">
            <v>29</v>
          </cell>
          <cell r="D65">
            <v>62</v>
          </cell>
          <cell r="E65">
            <v>30</v>
          </cell>
          <cell r="F65">
            <v>60</v>
          </cell>
          <cell r="G65">
            <v>25</v>
          </cell>
          <cell r="H65">
            <v>56</v>
          </cell>
          <cell r="I65">
            <v>30</v>
          </cell>
          <cell r="J65">
            <v>62</v>
          </cell>
          <cell r="K65">
            <v>2</v>
          </cell>
          <cell r="L65">
            <v>70</v>
          </cell>
          <cell r="M65">
            <v>30</v>
          </cell>
          <cell r="N65">
            <v>58</v>
          </cell>
          <cell r="O65">
            <v>30</v>
          </cell>
          <cell r="P65">
            <v>54</v>
          </cell>
          <cell r="Q65">
            <v>30</v>
          </cell>
          <cell r="R65">
            <v>40</v>
          </cell>
          <cell r="S65">
            <v>23</v>
          </cell>
          <cell r="T65">
            <v>70</v>
          </cell>
          <cell r="U65">
            <v>23</v>
          </cell>
          <cell r="V65">
            <v>40</v>
          </cell>
        </row>
        <row r="66">
          <cell r="C66">
            <v>28</v>
          </cell>
          <cell r="D66">
            <v>64</v>
          </cell>
          <cell r="E66">
            <v>30</v>
          </cell>
          <cell r="F66">
            <v>58</v>
          </cell>
          <cell r="G66">
            <v>25</v>
          </cell>
          <cell r="H66">
            <v>62</v>
          </cell>
          <cell r="I66">
            <v>30</v>
          </cell>
          <cell r="J66">
            <v>60</v>
          </cell>
          <cell r="K66"/>
          <cell r="L66">
            <v>69</v>
          </cell>
          <cell r="M66"/>
          <cell r="N66">
            <v>60</v>
          </cell>
          <cell r="O66"/>
          <cell r="P66">
            <v>56</v>
          </cell>
          <cell r="Q66">
            <v>30</v>
          </cell>
          <cell r="R66">
            <v>60</v>
          </cell>
          <cell r="S66">
            <v>19</v>
          </cell>
          <cell r="T66">
            <v>68</v>
          </cell>
          <cell r="U66">
            <v>26</v>
          </cell>
          <cell r="V66">
            <v>60</v>
          </cell>
        </row>
        <row r="67">
          <cell r="C67">
            <v>27</v>
          </cell>
          <cell r="D67">
            <v>65</v>
          </cell>
          <cell r="E67">
            <v>30</v>
          </cell>
          <cell r="F67">
            <v>60</v>
          </cell>
          <cell r="G67">
            <v>15</v>
          </cell>
          <cell r="H67">
            <v>62</v>
          </cell>
          <cell r="I67">
            <v>30</v>
          </cell>
          <cell r="J67">
            <v>60</v>
          </cell>
          <cell r="K67"/>
          <cell r="L67">
            <v>55</v>
          </cell>
          <cell r="M67">
            <v>30</v>
          </cell>
          <cell r="N67">
            <v>35</v>
          </cell>
          <cell r="O67">
            <v>30</v>
          </cell>
          <cell r="P67">
            <v>54</v>
          </cell>
          <cell r="Q67">
            <v>30</v>
          </cell>
          <cell r="R67">
            <v>55</v>
          </cell>
          <cell r="S67">
            <v>20</v>
          </cell>
          <cell r="T67">
            <v>46</v>
          </cell>
          <cell r="U67">
            <v>16</v>
          </cell>
          <cell r="V67">
            <v>58</v>
          </cell>
        </row>
        <row r="68">
          <cell r="C68">
            <v>25</v>
          </cell>
          <cell r="D68">
            <v>40</v>
          </cell>
          <cell r="E68">
            <v>30</v>
          </cell>
          <cell r="F68">
            <v>35</v>
          </cell>
          <cell r="G68">
            <v>20</v>
          </cell>
          <cell r="H68">
            <v>19</v>
          </cell>
          <cell r="I68">
            <v>30</v>
          </cell>
          <cell r="J68">
            <v>50</v>
          </cell>
          <cell r="K68"/>
          <cell r="L68">
            <v>65</v>
          </cell>
          <cell r="M68">
            <v>10</v>
          </cell>
          <cell r="N68">
            <v>9</v>
          </cell>
          <cell r="O68">
            <v>10</v>
          </cell>
          <cell r="P68">
            <v>25</v>
          </cell>
          <cell r="Q68">
            <v>20</v>
          </cell>
          <cell r="R68"/>
          <cell r="S68">
            <v>26</v>
          </cell>
          <cell r="T68">
            <v>30</v>
          </cell>
          <cell r="U68">
            <v>23</v>
          </cell>
          <cell r="V68">
            <v>40</v>
          </cell>
        </row>
        <row r="69">
          <cell r="C69">
            <v>30</v>
          </cell>
          <cell r="D69">
            <v>50</v>
          </cell>
          <cell r="E69">
            <v>30</v>
          </cell>
          <cell r="F69">
            <v>58</v>
          </cell>
          <cell r="G69">
            <v>27</v>
          </cell>
          <cell r="H69">
            <v>57</v>
          </cell>
          <cell r="I69">
            <v>20</v>
          </cell>
          <cell r="J69">
            <v>70</v>
          </cell>
          <cell r="K69">
            <v>30</v>
          </cell>
          <cell r="L69">
            <v>65</v>
          </cell>
          <cell r="M69">
            <v>30</v>
          </cell>
          <cell r="N69">
            <v>44</v>
          </cell>
          <cell r="O69">
            <v>30</v>
          </cell>
          <cell r="P69">
            <v>50</v>
          </cell>
          <cell r="Q69">
            <v>30</v>
          </cell>
          <cell r="R69">
            <v>58</v>
          </cell>
          <cell r="S69">
            <v>26</v>
          </cell>
          <cell r="T69">
            <v>56</v>
          </cell>
          <cell r="U69">
            <v>29</v>
          </cell>
          <cell r="V69">
            <v>64</v>
          </cell>
        </row>
        <row r="70">
          <cell r="C70">
            <v>27</v>
          </cell>
          <cell r="D70">
            <v>45</v>
          </cell>
          <cell r="E70">
            <v>30</v>
          </cell>
          <cell r="F70">
            <v>48</v>
          </cell>
          <cell r="G70">
            <v>18</v>
          </cell>
          <cell r="H70">
            <v>35</v>
          </cell>
          <cell r="I70">
            <v>20</v>
          </cell>
          <cell r="J70">
            <v>45</v>
          </cell>
          <cell r="K70">
            <v>30</v>
          </cell>
          <cell r="L70">
            <v>62</v>
          </cell>
          <cell r="M70">
            <v>15</v>
          </cell>
          <cell r="N70">
            <v>35</v>
          </cell>
          <cell r="O70">
            <v>15</v>
          </cell>
          <cell r="P70">
            <v>35</v>
          </cell>
          <cell r="Q70">
            <v>25</v>
          </cell>
          <cell r="R70">
            <v>30</v>
          </cell>
          <cell r="S70">
            <v>19</v>
          </cell>
          <cell r="T70">
            <v>44</v>
          </cell>
          <cell r="U70">
            <v>26</v>
          </cell>
          <cell r="V70">
            <v>60</v>
          </cell>
        </row>
        <row r="71">
          <cell r="C71">
            <v>30</v>
          </cell>
          <cell r="D71">
            <v>65</v>
          </cell>
          <cell r="E71">
            <v>30</v>
          </cell>
          <cell r="F71">
            <v>60</v>
          </cell>
          <cell r="G71">
            <v>30</v>
          </cell>
          <cell r="H71">
            <v>64</v>
          </cell>
          <cell r="I71">
            <v>20</v>
          </cell>
          <cell r="J71">
            <v>70</v>
          </cell>
          <cell r="K71">
            <v>30</v>
          </cell>
          <cell r="L71">
            <v>62</v>
          </cell>
          <cell r="M71">
            <v>30</v>
          </cell>
          <cell r="N71">
            <v>64</v>
          </cell>
          <cell r="O71">
            <v>30</v>
          </cell>
          <cell r="P71">
            <v>67</v>
          </cell>
          <cell r="Q71">
            <v>30</v>
          </cell>
          <cell r="R71">
            <v>70</v>
          </cell>
          <cell r="S71">
            <v>25</v>
          </cell>
          <cell r="T71">
            <v>69</v>
          </cell>
          <cell r="U71">
            <v>28</v>
          </cell>
          <cell r="V71">
            <v>62</v>
          </cell>
        </row>
        <row r="72">
          <cell r="C72">
            <v>29</v>
          </cell>
          <cell r="D72">
            <v>30</v>
          </cell>
          <cell r="E72">
            <v>30</v>
          </cell>
          <cell r="F72">
            <v>60</v>
          </cell>
          <cell r="G72">
            <v>24</v>
          </cell>
          <cell r="H72">
            <v>38</v>
          </cell>
          <cell r="I72">
            <v>20</v>
          </cell>
          <cell r="J72">
            <v>70</v>
          </cell>
          <cell r="K72">
            <v>30</v>
          </cell>
          <cell r="L72">
            <v>60</v>
          </cell>
          <cell r="M72">
            <v>25</v>
          </cell>
          <cell r="N72">
            <v>43</v>
          </cell>
          <cell r="O72">
            <v>25</v>
          </cell>
          <cell r="P72">
            <v>55</v>
          </cell>
          <cell r="Q72">
            <v>30</v>
          </cell>
          <cell r="R72">
            <v>55</v>
          </cell>
          <cell r="S72">
            <v>20</v>
          </cell>
          <cell r="T72">
            <v>47</v>
          </cell>
          <cell r="U72">
            <v>18</v>
          </cell>
          <cell r="V72">
            <v>34</v>
          </cell>
        </row>
        <row r="73">
          <cell r="C73">
            <v>29</v>
          </cell>
          <cell r="D73">
            <v>67</v>
          </cell>
          <cell r="E73">
            <v>30</v>
          </cell>
          <cell r="F73">
            <v>60</v>
          </cell>
          <cell r="G73">
            <v>29</v>
          </cell>
          <cell r="H73">
            <v>50</v>
          </cell>
          <cell r="I73">
            <v>20</v>
          </cell>
          <cell r="J73">
            <v>70</v>
          </cell>
          <cell r="K73">
            <v>30</v>
          </cell>
          <cell r="L73">
            <v>70</v>
          </cell>
          <cell r="M73">
            <v>30</v>
          </cell>
          <cell r="N73">
            <v>58</v>
          </cell>
          <cell r="O73">
            <v>30</v>
          </cell>
          <cell r="P73">
            <v>60</v>
          </cell>
          <cell r="Q73">
            <v>25</v>
          </cell>
          <cell r="R73">
            <v>50</v>
          </cell>
          <cell r="S73">
            <v>22</v>
          </cell>
          <cell r="T73">
            <v>45</v>
          </cell>
          <cell r="U73">
            <v>23</v>
          </cell>
          <cell r="V73">
            <v>58</v>
          </cell>
        </row>
        <row r="74">
          <cell r="C74">
            <v>25</v>
          </cell>
          <cell r="D74">
            <v>65</v>
          </cell>
          <cell r="E74">
            <v>30</v>
          </cell>
          <cell r="F74">
            <v>60</v>
          </cell>
          <cell r="G74">
            <v>27</v>
          </cell>
          <cell r="H74">
            <v>58</v>
          </cell>
          <cell r="I74">
            <v>20</v>
          </cell>
          <cell r="J74">
            <v>70</v>
          </cell>
          <cell r="K74">
            <v>30</v>
          </cell>
          <cell r="L74">
            <v>70</v>
          </cell>
          <cell r="M74">
            <v>15</v>
          </cell>
          <cell r="N74">
            <v>57</v>
          </cell>
          <cell r="O74">
            <v>15</v>
          </cell>
          <cell r="P74">
            <v>62</v>
          </cell>
          <cell r="Q74">
            <v>25</v>
          </cell>
          <cell r="R74">
            <v>50</v>
          </cell>
          <cell r="S74">
            <v>20</v>
          </cell>
          <cell r="T74">
            <v>70</v>
          </cell>
          <cell r="U74">
            <v>27</v>
          </cell>
          <cell r="V74">
            <v>62</v>
          </cell>
        </row>
        <row r="75">
          <cell r="C75">
            <v>29</v>
          </cell>
          <cell r="D75">
            <v>67</v>
          </cell>
          <cell r="E75">
            <v>30</v>
          </cell>
          <cell r="F75">
            <v>40</v>
          </cell>
          <cell r="G75">
            <v>25</v>
          </cell>
          <cell r="H75">
            <v>35</v>
          </cell>
          <cell r="I75">
            <v>20</v>
          </cell>
          <cell r="J75">
            <v>70</v>
          </cell>
          <cell r="K75">
            <v>30</v>
          </cell>
          <cell r="L75">
            <v>70</v>
          </cell>
          <cell r="M75">
            <v>30</v>
          </cell>
          <cell r="N75">
            <v>44</v>
          </cell>
          <cell r="O75">
            <v>30</v>
          </cell>
          <cell r="P75">
            <v>22</v>
          </cell>
          <cell r="Q75">
            <v>25</v>
          </cell>
          <cell r="R75">
            <v>55</v>
          </cell>
          <cell r="S75">
            <v>20</v>
          </cell>
          <cell r="T75">
            <v>58</v>
          </cell>
          <cell r="U75">
            <v>27</v>
          </cell>
          <cell r="V75">
            <v>58</v>
          </cell>
        </row>
        <row r="76">
          <cell r="C76">
            <v>30</v>
          </cell>
          <cell r="D76">
            <v>61</v>
          </cell>
          <cell r="E76">
            <v>30</v>
          </cell>
          <cell r="F76">
            <v>59</v>
          </cell>
          <cell r="G76">
            <v>29</v>
          </cell>
          <cell r="H76">
            <v>53</v>
          </cell>
          <cell r="I76">
            <v>20</v>
          </cell>
          <cell r="J76">
            <v>70</v>
          </cell>
          <cell r="K76">
            <v>30</v>
          </cell>
          <cell r="L76">
            <v>70</v>
          </cell>
          <cell r="M76">
            <v>30</v>
          </cell>
          <cell r="N76">
            <v>45</v>
          </cell>
          <cell r="O76">
            <v>30</v>
          </cell>
          <cell r="P76">
            <v>40</v>
          </cell>
          <cell r="Q76">
            <v>30</v>
          </cell>
          <cell r="R76">
            <v>63</v>
          </cell>
          <cell r="S76">
            <v>23</v>
          </cell>
          <cell r="T76">
            <v>60</v>
          </cell>
          <cell r="U76">
            <v>26</v>
          </cell>
          <cell r="V76">
            <v>54</v>
          </cell>
        </row>
        <row r="77">
          <cell r="C77">
            <v>30</v>
          </cell>
          <cell r="D77">
            <v>69</v>
          </cell>
          <cell r="E77">
            <v>30</v>
          </cell>
          <cell r="F77">
            <v>60</v>
          </cell>
          <cell r="G77">
            <v>30</v>
          </cell>
          <cell r="H77">
            <v>70</v>
          </cell>
          <cell r="I77">
            <v>20</v>
          </cell>
          <cell r="J77">
            <v>70</v>
          </cell>
          <cell r="K77">
            <v>30</v>
          </cell>
          <cell r="L77">
            <v>70</v>
          </cell>
          <cell r="M77">
            <v>30</v>
          </cell>
          <cell r="N77">
            <v>55</v>
          </cell>
          <cell r="O77">
            <v>30</v>
          </cell>
          <cell r="P77">
            <v>62</v>
          </cell>
          <cell r="Q77">
            <v>30</v>
          </cell>
          <cell r="R77">
            <v>52</v>
          </cell>
          <cell r="S77">
            <v>27</v>
          </cell>
          <cell r="T77">
            <v>62</v>
          </cell>
          <cell r="U77">
            <v>28</v>
          </cell>
          <cell r="V77">
            <v>62</v>
          </cell>
        </row>
        <row r="78">
          <cell r="C78">
            <v>30</v>
          </cell>
          <cell r="D78">
            <v>50</v>
          </cell>
          <cell r="E78">
            <v>30</v>
          </cell>
          <cell r="F78">
            <v>60</v>
          </cell>
          <cell r="G78">
            <v>29</v>
          </cell>
          <cell r="H78">
            <v>47</v>
          </cell>
          <cell r="I78">
            <v>20</v>
          </cell>
          <cell r="J78">
            <v>65</v>
          </cell>
          <cell r="M78">
            <v>23</v>
          </cell>
          <cell r="N78">
            <v>33</v>
          </cell>
          <cell r="O78">
            <v>23</v>
          </cell>
          <cell r="P78">
            <v>32</v>
          </cell>
          <cell r="Q78">
            <v>30</v>
          </cell>
          <cell r="R78">
            <v>58</v>
          </cell>
          <cell r="S78">
            <v>21</v>
          </cell>
          <cell r="T78">
            <v>60</v>
          </cell>
        </row>
        <row r="79">
          <cell r="C79">
            <v>30</v>
          </cell>
          <cell r="D79">
            <v>50</v>
          </cell>
          <cell r="E79">
            <v>30</v>
          </cell>
          <cell r="F79">
            <v>58</v>
          </cell>
          <cell r="G79">
            <v>24</v>
          </cell>
          <cell r="H79">
            <v>55</v>
          </cell>
          <cell r="I79">
            <v>20</v>
          </cell>
          <cell r="J79">
            <v>65</v>
          </cell>
          <cell r="K79">
            <v>30</v>
          </cell>
          <cell r="L79">
            <v>70</v>
          </cell>
          <cell r="M79">
            <v>30</v>
          </cell>
          <cell r="N79">
            <v>44</v>
          </cell>
          <cell r="O79">
            <v>30</v>
          </cell>
          <cell r="P79">
            <v>43</v>
          </cell>
          <cell r="Q79">
            <v>30</v>
          </cell>
          <cell r="R79">
            <v>53</v>
          </cell>
          <cell r="S79">
            <v>21</v>
          </cell>
          <cell r="T79">
            <v>45</v>
          </cell>
          <cell r="U79">
            <v>25</v>
          </cell>
          <cell r="V79">
            <v>56</v>
          </cell>
        </row>
      </sheetData>
      <sheetData sheetId="1"/>
      <sheetData sheetId="2"/>
      <sheetData sheetId="3"/>
      <sheetData sheetId="4">
        <row r="6">
          <cell r="W6">
            <v>0</v>
          </cell>
          <cell r="X6" t="str">
            <v>ناجح</v>
          </cell>
        </row>
        <row r="7">
          <cell r="W7">
            <v>1</v>
          </cell>
          <cell r="X7" t="str">
            <v>دور ثاني</v>
          </cell>
        </row>
        <row r="8">
          <cell r="W8">
            <v>4</v>
          </cell>
          <cell r="X8" t="str">
            <v>الإعادة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02849A-7622-47A6-B0C2-96C15D617F27}" name="الجدول5" displayName="الجدول5" ref="A2:P68" totalsRowShown="0" headerRowDxfId="78" dataDxfId="76" headerRowBorderDxfId="77" tableBorderDxfId="75" totalsRowBorderDxfId="74">
  <autoFilter ref="A2:P68" xr:uid="{3602849A-7622-47A6-B0C2-96C15D617F27}"/>
  <tableColumns count="16">
    <tableColumn id="1" xr3:uid="{4F49D17B-E1D2-4327-811B-FE43CBA8A2AD}" name="رقم التسلسل" dataDxfId="73"/>
    <tableColumn id="2" xr3:uid="{C70BB7B1-67C2-4E02-91B9-AD60E177A05A}" name="الإسم " dataDxfId="72"/>
    <tableColumn id="3" xr3:uid="{26533150-92ED-46E3-897D-2CD961CFC4A5}" name="القرأن الكريم (2)" dataDxfId="71"/>
    <tableColumn id="4" xr3:uid="{D915A9FB-950F-4A91-B761-101DD97945A4}" name="التفسير (1)" dataDxfId="70"/>
    <tableColumn id="5" xr3:uid="{A74CCA83-A140-443D-A53B-B375DF84B07E}" name="الفقه (2)" dataDxfId="69"/>
    <tableColumn id="6" xr3:uid="{8213F9F0-C490-45BA-83AD-E299165432BB}" name=" الحديث التحليلي (1)" dataDxfId="68"/>
    <tableColumn id="7" xr3:uid="{481C04B6-CE1B-469B-B806-E2F581D2D9ED}" name="روة الحديث (1)" dataDxfId="67"/>
    <tableColumn id="8" xr3:uid="{77E6CE8D-540F-482E-A876-DEEC0924FCD5}" name="مصطلح الحديث (1)" dataDxfId="66"/>
    <tableColumn id="9" xr3:uid="{DAA1B966-7D2C-4E02-BC7A-02A9E0DEB5F2}" name="النحو (2)" dataDxfId="65"/>
    <tableColumn id="10" xr3:uid="{0DDBE9D2-5573-44F6-A339-B0C258B1E6CA}" name="مناهج المخدثين (1)" dataDxfId="64"/>
    <tableColumn id="11" xr3:uid="{7137A71F-376F-4414-829F-37613725842C}" name="الحاسوب (1)" dataDxfId="63"/>
    <tableColumn id="12" xr3:uid="{4F2F3234-070A-4280-8143-07110B69CAA6}" name="English(2)" dataDxfId="62"/>
    <tableColumn id="13" xr3:uid="{9661DF70-8F8F-4330-8EC4-62C088D6282C}" name="المجموع" dataDxfId="61"/>
    <tableColumn id="14" xr3:uid="{D5AFF4CD-6275-4A0F-B6DD-9857EB945387}" name="الترتيب" dataDxfId="60"/>
    <tableColumn id="15" xr3:uid="{6F0AB9CB-DE85-456A-8CBF-B2463C82BF8A}" name="النسبة" dataDxfId="59"/>
    <tableColumn id="16" xr3:uid="{E4D1DAC1-31F6-4AC9-B0B9-A6C823A78D58}" name="التقدير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F4122-498B-4D6F-9EBB-8AB14A5808FF}" name="الجدول1" displayName="الجدول1" ref="A2:R77" totalsRowShown="0" headerRowDxfId="57" headerRowBorderDxfId="56" tableBorderDxfId="55" totalsRowBorderDxfId="54">
  <autoFilter ref="A2:R77" xr:uid="{1CBF4122-498B-4D6F-9EBB-8AB14A5808FF}"/>
  <sortState xmlns:xlrd2="http://schemas.microsoft.com/office/spreadsheetml/2017/richdata2" ref="A3:R77">
    <sortCondition ref="R2:R77"/>
  </sortState>
  <tableColumns count="18">
    <tableColumn id="1" xr3:uid="{1A8A86A9-5544-4A62-A143-50A9DF4800AD}" name="رقم الجامعي " dataDxfId="53"/>
    <tableColumn id="3" xr3:uid="{6F84EE0A-6699-406B-8841-9907DC8C70D8}" name="أسماء الطلبة " dataDxfId="52"/>
    <tableColumn id="11" xr3:uid="{897BA34B-2FD0-4A53-84F0-7BF630D18C4E}" name="القرآن الكريم  " dataDxfId="51">
      <calculatedColumnFormula>SUM('[1]م الثالث'!C5:D5)</calculatedColumnFormula>
    </tableColumn>
    <tableColumn id="4" xr3:uid="{1FED8DF6-86DE-45FD-9EB2-4D13B3277409}" name="كتب السنة  " dataDxfId="50">
      <calculatedColumnFormula>SUM('[1]م الثالث'!E5:F5)</calculatedColumnFormula>
    </tableColumn>
    <tableColumn id="5" xr3:uid="{0B7E1F37-2C16-47DA-B1DC-F54351540B72}" name="أصول الفقه  " dataDxfId="49">
      <calculatedColumnFormula>SUM('[1]م الثالث'!G5:H5)</calculatedColumnFormula>
    </tableColumn>
    <tableColumn id="6" xr3:uid="{B0C4EE69-F676-4CBB-BC78-1C4ED124C706}" name="الفقه (3)" dataDxfId="48">
      <calculatedColumnFormula>SUM('[1]م الثالث'!I5:J5)</calculatedColumnFormula>
    </tableColumn>
    <tableColumn id="7" xr3:uid="{6F9B0734-236C-43A6-8469-81D3A394DEBA}" name="       الحديث التحليلي (2)" dataDxfId="47">
      <calculatedColumnFormula>SUM('[1]م الثالث'!K5:L5)</calculatedColumnFormula>
    </tableColumn>
    <tableColumn id="8" xr3:uid="{701A3A87-5AD9-460E-843F-13A3A83143A7}" name="رواة الحديث (2)" dataDxfId="46">
      <calculatedColumnFormula>SUM('[1]م الثالث'!M5:N5)</calculatedColumnFormula>
    </tableColumn>
    <tableColumn id="9" xr3:uid="{448A3DA3-5224-439C-B298-E458036CF60A}" name="     مصطلح الحديث (2)" dataDxfId="45">
      <calculatedColumnFormula>SUM('[1]م الثالث'!O5:P5)</calculatedColumnFormula>
    </tableColumn>
    <tableColumn id="10" xr3:uid="{482EAFD2-CBFC-44A9-8730-8EFA2B997AEC}" name="النحو (3)" dataDxfId="44">
      <calculatedColumnFormula>SUM('[1]م الثالث'!Q5:R5)</calculatedColumnFormula>
    </tableColumn>
    <tableColumn id="12" xr3:uid="{5E1E6B22-EDFF-41F2-B2FA-4397563C085A}" name="دراسات غامبيا " dataDxfId="43">
      <calculatedColumnFormula>SUM('[1]م الثالث'!S5:T5)</calculatedColumnFormula>
    </tableColumn>
    <tableColumn id="13" xr3:uid="{8DB0DEAE-CE81-418E-90DB-B7A4AA0BAC94}" name="English(3)" dataDxfId="42">
      <calculatedColumnFormula>SUM('[1]م الثالث'!U5:V5)</calculatedColumnFormula>
    </tableColumn>
    <tableColumn id="14" xr3:uid="{69686D03-2D18-4B70-BD55-63C1339B11A9}" name="المجموع" dataDxfId="41">
      <calculatedColumnFormula>SUM(الجدول1[[#This Row],[القرآن الكريم  ]:[English(3)]])</calculatedColumnFormula>
    </tableColumn>
    <tableColumn id="15" xr3:uid="{F730A7EA-617D-4A46-A962-A43D0D16D36E}" name="النسبة " dataDxfId="40">
      <calculatedColumnFormula>الجدول1[[#This Row],[المجموع]]/10</calculatedColumnFormula>
    </tableColumn>
    <tableColumn id="18" xr3:uid="{F4787214-900E-4ECC-83F0-D1FFE4D0E292}" name="مواد الرسوب" dataDxfId="39">
      <calculatedColumnFormula>COUNTIF(الجدول1[[#This Row],[القرآن الكريم  ]:[English(3)]],"&lt;50")</calculatedColumnFormula>
    </tableColumn>
    <tableColumn id="19" xr3:uid="{B3A7F9BD-71E6-48DE-951A-BF003BF3FA46}" name="النتيجة " dataDxfId="38">
      <calculatedColumnFormula>VLOOKUP(الجدول1[[#This Row],[مواد الرسوب]],'[1]النتائج م1'!$W$6:$X$8,2,TRUE)</calculatedColumnFormula>
    </tableColumn>
    <tableColumn id="16" xr3:uid="{E38A3E21-FDF4-49A5-83D7-A9EFC900D8F6}" name="التقدير" dataDxfId="37">
      <calculatedColumnFormula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calculatedColumnFormula>
    </tableColumn>
    <tableColumn id="17" xr3:uid="{57FA3476-8790-4190-B4C4-8345A3F3DCEC}" name="الترتيب " dataDxfId="36">
      <calculatedColumnFormula>RANK(الجدول1[[#This Row],[النسبة ]],الجدول1[[النسبة ]],0)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DB23FE-3BA2-4615-A509-A2F9040306DC}" name="الجدول6" displayName="الجدول6" ref="A2:R77" totalsRowShown="0" headerRowDxfId="17" dataDxfId="35">
  <autoFilter ref="A2:R77" xr:uid="{9EDB23FE-3BA2-4615-A509-A2F9040306DC}"/>
  <tableColumns count="18">
    <tableColumn id="1" xr3:uid="{4F0D8A61-4CC3-4225-A4BB-5A2CF2032173}" name="م" dataDxfId="34"/>
    <tableColumn id="2" xr3:uid="{DCD20D7E-23F7-4A0D-A0A8-EAC66B2C7DC3}" name="أسماء الطلبة " dataDxfId="16"/>
    <tableColumn id="3" xr3:uid="{CD5C2CD2-F342-4195-B622-2A25693DE74F}" name="القرآن الكريم  " dataDxfId="15"/>
    <tableColumn id="4" xr3:uid="{D6AF42BB-08EE-44FC-8E65-58E293B91869}" name="الحديث التحليلي" dataDxfId="14"/>
    <tableColumn id="5" xr3:uid="{EAD0B7E4-B024-4F2A-AE4C-54C17F564335}" name="مصطلح الحديث" dataDxfId="13"/>
    <tableColumn id="6" xr3:uid="{A5190722-D92C-437D-85F9-F063B09A100E}" name="كتب السنة2" dataDxfId="12"/>
    <tableColumn id="7" xr3:uid="{AC49FDE4-1BBC-4F0D-9B00-9D732608FBDE}" name="       الجرح والتعجيل 1" dataDxfId="11"/>
    <tableColumn id="8" xr3:uid="{2C116D63-5576-4067-A183-EED8D077EADE}" name="     التفسير (2)" dataDxfId="10"/>
    <tableColumn id="9" xr3:uid="{EFD3ABCC-FEA8-4170-89DE-BD2F7C53B43A}" name="التوحيد (3)" dataDxfId="9"/>
    <tableColumn id="10" xr3:uid="{0CA218B0-7204-4CD8-959F-1C67B334B7FE}" name="أصول الفقه (2)" dataDxfId="8"/>
    <tableColumn id="11" xr3:uid="{CDAA0A34-2288-4D36-B9D8-2A6F2B7A6212}" name="الفقه 3" dataDxfId="7"/>
    <tableColumn id="12" xr3:uid="{7B410DD7-751A-43C9-B5CE-577849D28144}" name="الإنجلزية " dataDxfId="6"/>
    <tableColumn id="13" xr3:uid="{F66ED154-9755-4B0C-AADD-92C9E1D58566}" name="المجموع" dataDxfId="5"/>
    <tableColumn id="14" xr3:uid="{F7616532-D4AB-4608-9D52-F14803A08C64}" name="النسبة " dataDxfId="4"/>
    <tableColumn id="15" xr3:uid="{7FBEC789-C16F-472F-92E5-2A45968DAA02}" name="مواد الرسوب" dataDxfId="3"/>
    <tableColumn id="16" xr3:uid="{8CA62951-9663-4643-B296-08F776DD8A3B}" name="النتيجة " dataDxfId="2"/>
    <tableColumn id="17" xr3:uid="{05805516-E7A3-4850-B2A8-158A374CBA80}" name="التقدير" dataDxfId="1"/>
    <tableColumn id="18" xr3:uid="{D3BF552C-CD55-4432-9E43-EAEC16654867}" name="الترتيب 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76"/>
  <sheetViews>
    <sheetView rightToLeft="1" topLeftCell="A49" workbookViewId="0">
      <selection activeCell="H68" sqref="H68"/>
    </sheetView>
  </sheetViews>
  <sheetFormatPr defaultRowHeight="15.6" x14ac:dyDescent="0.3"/>
  <cols>
    <col min="1" max="1" width="11.09765625" style="6" customWidth="1"/>
    <col min="2" max="2" width="26.3984375" customWidth="1"/>
    <col min="3" max="12" width="6" customWidth="1"/>
    <col min="14" max="14" width="7" customWidth="1"/>
    <col min="15" max="15" width="6.3984375" customWidth="1"/>
  </cols>
  <sheetData>
    <row r="1" spans="1:16" ht="34.5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6" ht="100.5" customHeight="1" x14ac:dyDescent="0.25">
      <c r="A2" s="36" t="s">
        <v>1</v>
      </c>
      <c r="B2" s="37" t="s">
        <v>2</v>
      </c>
      <c r="C2" s="38" t="s">
        <v>3</v>
      </c>
      <c r="D2" s="38" t="s">
        <v>4</v>
      </c>
      <c r="E2" s="38" t="s">
        <v>5</v>
      </c>
      <c r="F2" s="38" t="s">
        <v>6</v>
      </c>
      <c r="G2" s="38" t="s">
        <v>7</v>
      </c>
      <c r="H2" s="38" t="s">
        <v>8</v>
      </c>
      <c r="I2" s="38" t="s">
        <v>9</v>
      </c>
      <c r="J2" s="38" t="s">
        <v>10</v>
      </c>
      <c r="K2" s="38" t="s">
        <v>11</v>
      </c>
      <c r="L2" s="38" t="s">
        <v>12</v>
      </c>
      <c r="M2" s="39" t="s">
        <v>13</v>
      </c>
      <c r="N2" s="39" t="s">
        <v>14</v>
      </c>
      <c r="O2" s="39" t="s">
        <v>15</v>
      </c>
      <c r="P2" s="40" t="s">
        <v>16</v>
      </c>
    </row>
    <row r="3" spans="1:16" ht="21" x14ac:dyDescent="0.6">
      <c r="A3" s="33">
        <v>2023062</v>
      </c>
      <c r="B3" s="4" t="s">
        <v>17</v>
      </c>
      <c r="C3" s="1">
        <v>98</v>
      </c>
      <c r="D3" s="1">
        <v>90</v>
      </c>
      <c r="E3" s="1">
        <v>94</v>
      </c>
      <c r="F3" s="1">
        <v>100</v>
      </c>
      <c r="G3" s="1">
        <v>91</v>
      </c>
      <c r="H3" s="1">
        <v>87</v>
      </c>
      <c r="I3" s="1">
        <v>91</v>
      </c>
      <c r="J3" s="1">
        <v>91</v>
      </c>
      <c r="K3" s="1">
        <v>93</v>
      </c>
      <c r="L3" s="1">
        <v>100</v>
      </c>
      <c r="M3" s="2">
        <v>935</v>
      </c>
      <c r="N3" s="3">
        <v>1</v>
      </c>
      <c r="O3" s="2">
        <v>93.5</v>
      </c>
      <c r="P3" s="34" t="s">
        <v>18</v>
      </c>
    </row>
    <row r="4" spans="1:16" ht="21" x14ac:dyDescent="0.6">
      <c r="A4" s="33">
        <v>2023097</v>
      </c>
      <c r="B4" s="4" t="s">
        <v>19</v>
      </c>
      <c r="C4" s="1">
        <v>100</v>
      </c>
      <c r="D4" s="1">
        <v>99</v>
      </c>
      <c r="E4" s="1">
        <v>98</v>
      </c>
      <c r="F4" s="1">
        <v>100</v>
      </c>
      <c r="G4" s="1">
        <v>100</v>
      </c>
      <c r="H4" s="1">
        <v>92</v>
      </c>
      <c r="I4" s="1">
        <v>85</v>
      </c>
      <c r="J4" s="1">
        <v>100</v>
      </c>
      <c r="K4" s="1">
        <v>90</v>
      </c>
      <c r="L4" s="1">
        <v>64</v>
      </c>
      <c r="M4" s="2">
        <v>928</v>
      </c>
      <c r="N4" s="3">
        <v>2</v>
      </c>
      <c r="O4" s="2">
        <v>92.8</v>
      </c>
      <c r="P4" s="34" t="s">
        <v>18</v>
      </c>
    </row>
    <row r="5" spans="1:16" ht="21" x14ac:dyDescent="0.6">
      <c r="A5" s="33">
        <v>2023090</v>
      </c>
      <c r="B5" s="4" t="s">
        <v>20</v>
      </c>
      <c r="C5" s="1">
        <v>98</v>
      </c>
      <c r="D5" s="1">
        <v>90</v>
      </c>
      <c r="E5" s="1">
        <v>89</v>
      </c>
      <c r="F5" s="1">
        <v>99</v>
      </c>
      <c r="G5" s="1">
        <v>94</v>
      </c>
      <c r="H5" s="1">
        <v>74</v>
      </c>
      <c r="I5" s="1">
        <v>85</v>
      </c>
      <c r="J5" s="1">
        <v>90</v>
      </c>
      <c r="K5" s="1">
        <v>90</v>
      </c>
      <c r="L5" s="1">
        <v>86</v>
      </c>
      <c r="M5" s="2">
        <v>895</v>
      </c>
      <c r="N5" s="3">
        <v>3</v>
      </c>
      <c r="O5" s="2">
        <v>89.5</v>
      </c>
      <c r="P5" s="34" t="s">
        <v>18</v>
      </c>
    </row>
    <row r="6" spans="1:16" ht="21" x14ac:dyDescent="0.6">
      <c r="A6" s="33">
        <v>2023069</v>
      </c>
      <c r="B6" s="4" t="s">
        <v>21</v>
      </c>
      <c r="C6" s="1">
        <v>94</v>
      </c>
      <c r="D6" s="1">
        <v>90</v>
      </c>
      <c r="E6" s="1">
        <v>87</v>
      </c>
      <c r="F6" s="1">
        <v>100</v>
      </c>
      <c r="G6" s="1">
        <v>100</v>
      </c>
      <c r="H6" s="1">
        <v>87</v>
      </c>
      <c r="I6" s="1">
        <v>80</v>
      </c>
      <c r="J6" s="1">
        <v>85</v>
      </c>
      <c r="K6" s="1">
        <v>60</v>
      </c>
      <c r="L6" s="1">
        <v>100</v>
      </c>
      <c r="M6" s="2">
        <v>883</v>
      </c>
      <c r="N6" s="3">
        <v>4</v>
      </c>
      <c r="O6" s="2">
        <v>88.3</v>
      </c>
      <c r="P6" s="34" t="s">
        <v>18</v>
      </c>
    </row>
    <row r="7" spans="1:16" ht="21" x14ac:dyDescent="0.6">
      <c r="A7" s="33">
        <v>2023087</v>
      </c>
      <c r="B7" s="4" t="s">
        <v>22</v>
      </c>
      <c r="C7" s="1">
        <v>92</v>
      </c>
      <c r="D7" s="1">
        <v>95</v>
      </c>
      <c r="E7" s="1">
        <v>87</v>
      </c>
      <c r="F7" s="1">
        <v>100</v>
      </c>
      <c r="G7" s="1">
        <v>91</v>
      </c>
      <c r="H7" s="1">
        <v>81</v>
      </c>
      <c r="I7" s="1">
        <v>89</v>
      </c>
      <c r="J7" s="1">
        <v>100</v>
      </c>
      <c r="K7" s="1">
        <v>60</v>
      </c>
      <c r="L7" s="1">
        <v>88</v>
      </c>
      <c r="M7" s="2">
        <v>883</v>
      </c>
      <c r="N7" s="3">
        <v>4</v>
      </c>
      <c r="O7" s="2">
        <v>88.3</v>
      </c>
      <c r="P7" s="34" t="s">
        <v>18</v>
      </c>
    </row>
    <row r="8" spans="1:16" ht="21" x14ac:dyDescent="0.6">
      <c r="A8" s="33">
        <v>2023081</v>
      </c>
      <c r="B8" s="4" t="s">
        <v>23</v>
      </c>
      <c r="C8" s="1">
        <v>95</v>
      </c>
      <c r="D8" s="1">
        <v>95</v>
      </c>
      <c r="E8" s="1">
        <v>87</v>
      </c>
      <c r="F8" s="1">
        <v>100</v>
      </c>
      <c r="G8" s="1">
        <v>79</v>
      </c>
      <c r="H8" s="1">
        <v>72</v>
      </c>
      <c r="I8" s="1">
        <v>72</v>
      </c>
      <c r="J8" s="1">
        <v>100</v>
      </c>
      <c r="K8" s="1">
        <v>70</v>
      </c>
      <c r="L8" s="1">
        <v>100</v>
      </c>
      <c r="M8" s="2">
        <v>870</v>
      </c>
      <c r="N8" s="3">
        <v>6</v>
      </c>
      <c r="O8" s="2">
        <v>87</v>
      </c>
      <c r="P8" s="34" t="s">
        <v>18</v>
      </c>
    </row>
    <row r="9" spans="1:16" ht="21" x14ac:dyDescent="0.6">
      <c r="A9" s="33">
        <v>2023112</v>
      </c>
      <c r="B9" s="4" t="s">
        <v>24</v>
      </c>
      <c r="C9" s="1">
        <v>94</v>
      </c>
      <c r="D9" s="1">
        <v>85</v>
      </c>
      <c r="E9" s="1">
        <v>97</v>
      </c>
      <c r="F9" s="1">
        <v>100</v>
      </c>
      <c r="G9" s="1">
        <v>97</v>
      </c>
      <c r="H9" s="1">
        <v>85</v>
      </c>
      <c r="I9" s="1">
        <v>80</v>
      </c>
      <c r="J9" s="1">
        <v>90</v>
      </c>
      <c r="K9" s="1">
        <v>60</v>
      </c>
      <c r="L9" s="1">
        <v>82</v>
      </c>
      <c r="M9" s="2">
        <v>870</v>
      </c>
      <c r="N9" s="3">
        <v>6</v>
      </c>
      <c r="O9" s="2">
        <v>87</v>
      </c>
      <c r="P9" s="34" t="s">
        <v>18</v>
      </c>
    </row>
    <row r="10" spans="1:16" ht="21" x14ac:dyDescent="0.6">
      <c r="A10" s="33">
        <v>2023113</v>
      </c>
      <c r="B10" s="4" t="s">
        <v>25</v>
      </c>
      <c r="C10" s="1">
        <v>85</v>
      </c>
      <c r="D10" s="1">
        <v>89</v>
      </c>
      <c r="E10" s="1">
        <v>84</v>
      </c>
      <c r="F10" s="1">
        <v>100</v>
      </c>
      <c r="G10" s="1">
        <v>100</v>
      </c>
      <c r="H10" s="1">
        <v>83</v>
      </c>
      <c r="I10" s="1">
        <v>80</v>
      </c>
      <c r="J10" s="1">
        <v>96</v>
      </c>
      <c r="K10" s="1">
        <v>60</v>
      </c>
      <c r="L10" s="1">
        <v>85</v>
      </c>
      <c r="M10" s="2">
        <v>862</v>
      </c>
      <c r="N10" s="3">
        <v>8</v>
      </c>
      <c r="O10" s="2">
        <v>86.2</v>
      </c>
      <c r="P10" s="34" t="s">
        <v>26</v>
      </c>
    </row>
    <row r="11" spans="1:16" ht="21" x14ac:dyDescent="0.6">
      <c r="A11" s="33">
        <v>2023089</v>
      </c>
      <c r="B11" s="4" t="s">
        <v>27</v>
      </c>
      <c r="C11" s="1">
        <v>97</v>
      </c>
      <c r="D11" s="1">
        <v>88</v>
      </c>
      <c r="E11" s="1">
        <v>87</v>
      </c>
      <c r="F11" s="1">
        <v>100</v>
      </c>
      <c r="G11" s="1">
        <v>94</v>
      </c>
      <c r="H11" s="1">
        <v>78</v>
      </c>
      <c r="I11" s="1">
        <v>75</v>
      </c>
      <c r="J11" s="1">
        <v>80</v>
      </c>
      <c r="K11" s="1">
        <v>60</v>
      </c>
      <c r="L11" s="1">
        <v>100</v>
      </c>
      <c r="M11" s="2">
        <v>859</v>
      </c>
      <c r="N11" s="3">
        <v>9</v>
      </c>
      <c r="O11" s="2">
        <v>85.9</v>
      </c>
      <c r="P11" s="34" t="s">
        <v>18</v>
      </c>
    </row>
    <row r="12" spans="1:16" ht="21" x14ac:dyDescent="0.6">
      <c r="A12" s="33">
        <v>2023110</v>
      </c>
      <c r="B12" s="4" t="s">
        <v>28</v>
      </c>
      <c r="C12" s="1">
        <v>100</v>
      </c>
      <c r="D12" s="1">
        <v>79</v>
      </c>
      <c r="E12" s="1">
        <v>89</v>
      </c>
      <c r="F12" s="1">
        <v>90</v>
      </c>
      <c r="G12" s="1">
        <v>97</v>
      </c>
      <c r="H12" s="1">
        <v>90</v>
      </c>
      <c r="I12" s="1">
        <v>71</v>
      </c>
      <c r="J12" s="1">
        <v>71</v>
      </c>
      <c r="K12" s="1">
        <v>70</v>
      </c>
      <c r="L12" s="1">
        <v>100</v>
      </c>
      <c r="M12" s="2">
        <v>857</v>
      </c>
      <c r="N12" s="3">
        <v>10</v>
      </c>
      <c r="O12" s="2">
        <v>85.7</v>
      </c>
      <c r="P12" s="34" t="s">
        <v>18</v>
      </c>
    </row>
    <row r="13" spans="1:16" ht="21" x14ac:dyDescent="0.6">
      <c r="A13" s="33">
        <v>2023065</v>
      </c>
      <c r="B13" s="4" t="s">
        <v>29</v>
      </c>
      <c r="C13" s="1">
        <v>98</v>
      </c>
      <c r="D13" s="1">
        <v>90</v>
      </c>
      <c r="E13" s="1">
        <v>78</v>
      </c>
      <c r="F13" s="1">
        <v>100</v>
      </c>
      <c r="G13" s="1">
        <v>78</v>
      </c>
      <c r="H13" s="1">
        <v>82</v>
      </c>
      <c r="I13" s="1">
        <v>85</v>
      </c>
      <c r="J13" s="1">
        <v>85</v>
      </c>
      <c r="K13" s="1">
        <v>60</v>
      </c>
      <c r="L13" s="1">
        <v>100</v>
      </c>
      <c r="M13" s="2">
        <v>856</v>
      </c>
      <c r="N13" s="3">
        <v>11</v>
      </c>
      <c r="O13" s="2">
        <v>85.6</v>
      </c>
      <c r="P13" s="34" t="s">
        <v>18</v>
      </c>
    </row>
    <row r="14" spans="1:16" ht="21" x14ac:dyDescent="0.6">
      <c r="A14" s="33">
        <v>2023072</v>
      </c>
      <c r="B14" s="4" t="s">
        <v>30</v>
      </c>
      <c r="C14" s="1">
        <v>96</v>
      </c>
      <c r="D14" s="1">
        <v>89</v>
      </c>
      <c r="E14" s="1">
        <v>70</v>
      </c>
      <c r="F14" s="1">
        <v>100</v>
      </c>
      <c r="G14" s="1">
        <v>97</v>
      </c>
      <c r="H14" s="1">
        <v>83</v>
      </c>
      <c r="I14" s="1">
        <v>95</v>
      </c>
      <c r="J14" s="1">
        <v>84</v>
      </c>
      <c r="K14" s="1">
        <v>60</v>
      </c>
      <c r="L14" s="1">
        <v>70</v>
      </c>
      <c r="M14" s="2">
        <v>844</v>
      </c>
      <c r="N14" s="3">
        <v>12</v>
      </c>
      <c r="O14" s="2">
        <v>84.4</v>
      </c>
      <c r="P14" s="34" t="s">
        <v>18</v>
      </c>
    </row>
    <row r="15" spans="1:16" ht="21" x14ac:dyDescent="0.6">
      <c r="A15" s="33">
        <v>2023082</v>
      </c>
      <c r="B15" s="4" t="s">
        <v>31</v>
      </c>
      <c r="C15" s="1">
        <v>93</v>
      </c>
      <c r="D15" s="1">
        <v>90</v>
      </c>
      <c r="E15" s="1">
        <v>83</v>
      </c>
      <c r="F15" s="1">
        <v>100</v>
      </c>
      <c r="G15" s="1">
        <v>85</v>
      </c>
      <c r="H15" s="1">
        <v>77</v>
      </c>
      <c r="I15" s="1">
        <v>61</v>
      </c>
      <c r="J15" s="1">
        <v>90</v>
      </c>
      <c r="K15" s="1">
        <v>95</v>
      </c>
      <c r="L15" s="1">
        <v>58</v>
      </c>
      <c r="M15" s="2">
        <v>832</v>
      </c>
      <c r="N15" s="3">
        <v>13</v>
      </c>
      <c r="O15" s="2">
        <v>83.2</v>
      </c>
      <c r="P15" s="34" t="s">
        <v>18</v>
      </c>
    </row>
    <row r="16" spans="1:16" ht="21" x14ac:dyDescent="0.6">
      <c r="A16" s="33">
        <v>2023130</v>
      </c>
      <c r="B16" s="4" t="s">
        <v>32</v>
      </c>
      <c r="C16" s="1">
        <v>89</v>
      </c>
      <c r="D16" s="1">
        <v>97</v>
      </c>
      <c r="E16" s="1">
        <v>94</v>
      </c>
      <c r="F16" s="1">
        <v>100</v>
      </c>
      <c r="G16" s="1">
        <v>79</v>
      </c>
      <c r="H16" s="1">
        <v>85</v>
      </c>
      <c r="I16" s="1">
        <v>65</v>
      </c>
      <c r="J16" s="1">
        <v>80</v>
      </c>
      <c r="K16" s="1">
        <v>60</v>
      </c>
      <c r="L16" s="1">
        <v>76</v>
      </c>
      <c r="M16" s="2">
        <v>825</v>
      </c>
      <c r="N16" s="3">
        <v>14</v>
      </c>
      <c r="O16" s="2">
        <v>82.5</v>
      </c>
      <c r="P16" s="34" t="s">
        <v>18</v>
      </c>
    </row>
    <row r="17" spans="1:16" ht="21" x14ac:dyDescent="0.6">
      <c r="A17" s="33">
        <v>2023080</v>
      </c>
      <c r="B17" s="4" t="s">
        <v>33</v>
      </c>
      <c r="C17" s="1">
        <v>94</v>
      </c>
      <c r="D17" s="1">
        <v>89</v>
      </c>
      <c r="E17" s="1">
        <v>77</v>
      </c>
      <c r="F17" s="1">
        <v>100</v>
      </c>
      <c r="G17" s="1">
        <v>76</v>
      </c>
      <c r="H17" s="1">
        <v>60</v>
      </c>
      <c r="I17" s="1">
        <v>51</v>
      </c>
      <c r="J17" s="1">
        <v>77</v>
      </c>
      <c r="K17" s="1">
        <v>70</v>
      </c>
      <c r="L17" s="1">
        <v>92</v>
      </c>
      <c r="M17" s="2">
        <v>786</v>
      </c>
      <c r="N17" s="3">
        <v>15</v>
      </c>
      <c r="O17" s="2">
        <v>78.599999999999994</v>
      </c>
      <c r="P17" s="34" t="s">
        <v>26</v>
      </c>
    </row>
    <row r="18" spans="1:16" ht="21" x14ac:dyDescent="0.6">
      <c r="A18" s="33">
        <v>2023070</v>
      </c>
      <c r="B18" s="4" t="s">
        <v>34</v>
      </c>
      <c r="C18" s="1">
        <v>82</v>
      </c>
      <c r="D18" s="1">
        <v>77</v>
      </c>
      <c r="E18" s="1">
        <v>74</v>
      </c>
      <c r="F18" s="1">
        <v>96</v>
      </c>
      <c r="G18" s="1">
        <v>84</v>
      </c>
      <c r="H18" s="1">
        <v>50</v>
      </c>
      <c r="I18" s="1">
        <v>60</v>
      </c>
      <c r="J18" s="1">
        <v>60</v>
      </c>
      <c r="K18" s="1">
        <v>80</v>
      </c>
      <c r="L18" s="1">
        <v>100</v>
      </c>
      <c r="M18" s="2">
        <v>763</v>
      </c>
      <c r="N18" s="3">
        <v>16</v>
      </c>
      <c r="O18" s="2">
        <v>76.3</v>
      </c>
      <c r="P18" s="34" t="s">
        <v>26</v>
      </c>
    </row>
    <row r="19" spans="1:16" ht="21" x14ac:dyDescent="0.6">
      <c r="A19" s="33">
        <v>2023068</v>
      </c>
      <c r="B19" s="4" t="s">
        <v>35</v>
      </c>
      <c r="C19" s="1">
        <v>89</v>
      </c>
      <c r="D19" s="1">
        <v>87</v>
      </c>
      <c r="E19" s="1">
        <v>73</v>
      </c>
      <c r="F19" s="1">
        <v>87</v>
      </c>
      <c r="G19" s="1">
        <v>69</v>
      </c>
      <c r="H19" s="1">
        <v>60</v>
      </c>
      <c r="I19" s="1">
        <v>50</v>
      </c>
      <c r="J19" s="1">
        <v>79</v>
      </c>
      <c r="K19" s="1">
        <v>70</v>
      </c>
      <c r="L19" s="1">
        <v>93</v>
      </c>
      <c r="M19" s="2">
        <v>757</v>
      </c>
      <c r="N19" s="3">
        <v>18</v>
      </c>
      <c r="O19" s="2">
        <v>75.7</v>
      </c>
      <c r="P19" s="34" t="s">
        <v>26</v>
      </c>
    </row>
    <row r="20" spans="1:16" ht="21" x14ac:dyDescent="0.6">
      <c r="A20" s="33">
        <v>2023096</v>
      </c>
      <c r="B20" s="4" t="s">
        <v>36</v>
      </c>
      <c r="C20" s="1">
        <v>97</v>
      </c>
      <c r="D20" s="1">
        <v>78</v>
      </c>
      <c r="E20" s="1">
        <v>61</v>
      </c>
      <c r="F20" s="1">
        <v>90</v>
      </c>
      <c r="G20" s="1">
        <v>88</v>
      </c>
      <c r="H20" s="1">
        <v>50</v>
      </c>
      <c r="I20" s="1">
        <v>57</v>
      </c>
      <c r="J20" s="1">
        <v>73</v>
      </c>
      <c r="K20" s="1">
        <v>70</v>
      </c>
      <c r="L20" s="1">
        <v>90</v>
      </c>
      <c r="M20" s="2">
        <v>754</v>
      </c>
      <c r="N20" s="3">
        <v>19</v>
      </c>
      <c r="O20" s="2">
        <v>75.400000000000006</v>
      </c>
      <c r="P20" s="34" t="s">
        <v>26</v>
      </c>
    </row>
    <row r="21" spans="1:16" ht="21" x14ac:dyDescent="0.6">
      <c r="A21" s="33">
        <v>2023101</v>
      </c>
      <c r="B21" s="4" t="s">
        <v>37</v>
      </c>
      <c r="C21" s="1">
        <v>100</v>
      </c>
      <c r="D21" s="1">
        <v>85</v>
      </c>
      <c r="E21" s="1">
        <v>82</v>
      </c>
      <c r="F21" s="1">
        <v>95</v>
      </c>
      <c r="G21" s="1">
        <v>69</v>
      </c>
      <c r="H21" s="1">
        <v>58</v>
      </c>
      <c r="I21" s="1">
        <v>50</v>
      </c>
      <c r="J21" s="1">
        <v>79</v>
      </c>
      <c r="K21" s="1">
        <v>50</v>
      </c>
      <c r="L21" s="1">
        <v>85</v>
      </c>
      <c r="M21" s="2">
        <v>753</v>
      </c>
      <c r="N21" s="3">
        <v>20</v>
      </c>
      <c r="O21" s="2">
        <v>75.3</v>
      </c>
      <c r="P21" s="34" t="s">
        <v>26</v>
      </c>
    </row>
    <row r="22" spans="1:16" ht="21" x14ac:dyDescent="0.6">
      <c r="A22" s="33">
        <v>2023079</v>
      </c>
      <c r="B22" s="4" t="s">
        <v>38</v>
      </c>
      <c r="C22" s="1">
        <v>97</v>
      </c>
      <c r="D22" s="1">
        <v>90</v>
      </c>
      <c r="E22" s="1">
        <v>73</v>
      </c>
      <c r="F22" s="1">
        <v>89</v>
      </c>
      <c r="G22" s="1">
        <v>88</v>
      </c>
      <c r="H22" s="1">
        <v>57</v>
      </c>
      <c r="I22" s="1">
        <v>30</v>
      </c>
      <c r="J22" s="1">
        <v>84</v>
      </c>
      <c r="K22" s="1">
        <v>50</v>
      </c>
      <c r="L22" s="1">
        <v>88</v>
      </c>
      <c r="M22" s="2">
        <v>746</v>
      </c>
      <c r="N22" s="3">
        <v>21</v>
      </c>
      <c r="O22" s="2">
        <v>74.599999999999994</v>
      </c>
      <c r="P22" s="34" t="s">
        <v>26</v>
      </c>
    </row>
    <row r="23" spans="1:16" ht="21" x14ac:dyDescent="0.6">
      <c r="A23" s="33">
        <v>2023077</v>
      </c>
      <c r="B23" s="4" t="s">
        <v>39</v>
      </c>
      <c r="C23" s="1">
        <v>98</v>
      </c>
      <c r="D23" s="1">
        <v>88</v>
      </c>
      <c r="E23" s="1">
        <v>90</v>
      </c>
      <c r="F23" s="1">
        <v>99</v>
      </c>
      <c r="G23" s="1">
        <v>96</v>
      </c>
      <c r="H23" s="1">
        <v>56</v>
      </c>
      <c r="I23" s="1">
        <v>55</v>
      </c>
      <c r="J23" s="1">
        <v>76</v>
      </c>
      <c r="K23" s="1">
        <v>25</v>
      </c>
      <c r="L23" s="1">
        <v>61</v>
      </c>
      <c r="M23" s="2">
        <v>744</v>
      </c>
      <c r="N23" s="3">
        <v>22</v>
      </c>
      <c r="O23" s="2">
        <v>74.400000000000006</v>
      </c>
      <c r="P23" s="34" t="s">
        <v>26</v>
      </c>
    </row>
    <row r="24" spans="1:16" ht="21" x14ac:dyDescent="0.6">
      <c r="A24" s="33">
        <v>2023108</v>
      </c>
      <c r="B24" s="4" t="s">
        <v>40</v>
      </c>
      <c r="C24" s="1">
        <v>92</v>
      </c>
      <c r="D24" s="1">
        <v>86</v>
      </c>
      <c r="E24" s="1">
        <v>73</v>
      </c>
      <c r="F24" s="1">
        <v>100</v>
      </c>
      <c r="G24" s="1">
        <v>75</v>
      </c>
      <c r="H24" s="1">
        <v>51</v>
      </c>
      <c r="I24" s="1">
        <v>57</v>
      </c>
      <c r="J24" s="1">
        <v>80</v>
      </c>
      <c r="K24" s="1">
        <v>50</v>
      </c>
      <c r="L24" s="1">
        <v>94</v>
      </c>
      <c r="M24" s="2">
        <v>758</v>
      </c>
      <c r="N24" s="3">
        <v>17</v>
      </c>
      <c r="O24" s="2">
        <v>75.8</v>
      </c>
      <c r="P24" s="34" t="s">
        <v>26</v>
      </c>
    </row>
    <row r="25" spans="1:16" ht="21" x14ac:dyDescent="0.6">
      <c r="A25" s="33">
        <v>2023099</v>
      </c>
      <c r="B25" s="4" t="s">
        <v>41</v>
      </c>
      <c r="C25" s="1">
        <v>90</v>
      </c>
      <c r="D25" s="1">
        <v>70</v>
      </c>
      <c r="E25" s="1">
        <v>55</v>
      </c>
      <c r="F25" s="1">
        <v>98</v>
      </c>
      <c r="G25" s="1">
        <v>85</v>
      </c>
      <c r="H25" s="1">
        <v>59</v>
      </c>
      <c r="I25" s="1">
        <v>50</v>
      </c>
      <c r="J25" s="1">
        <v>87</v>
      </c>
      <c r="K25" s="1">
        <v>60</v>
      </c>
      <c r="L25" s="1">
        <v>62</v>
      </c>
      <c r="M25" s="2">
        <v>716</v>
      </c>
      <c r="N25" s="3">
        <v>25</v>
      </c>
      <c r="O25" s="2">
        <v>71.599999999999994</v>
      </c>
      <c r="P25" s="34" t="s">
        <v>26</v>
      </c>
    </row>
    <row r="26" spans="1:16" ht="21" x14ac:dyDescent="0.6">
      <c r="A26" s="33">
        <v>2023091</v>
      </c>
      <c r="B26" s="4" t="s">
        <v>42</v>
      </c>
      <c r="C26" s="1">
        <v>91</v>
      </c>
      <c r="D26" s="1">
        <v>85</v>
      </c>
      <c r="E26" s="1">
        <v>50</v>
      </c>
      <c r="F26" s="1">
        <v>89</v>
      </c>
      <c r="G26" s="1">
        <v>64</v>
      </c>
      <c r="H26" s="1">
        <v>50</v>
      </c>
      <c r="I26" s="1">
        <v>81</v>
      </c>
      <c r="J26" s="1">
        <v>85</v>
      </c>
      <c r="K26" s="1">
        <v>50</v>
      </c>
      <c r="L26" s="1">
        <v>85</v>
      </c>
      <c r="M26" s="2">
        <v>730</v>
      </c>
      <c r="N26" s="3">
        <v>24</v>
      </c>
      <c r="O26" s="2">
        <v>73</v>
      </c>
      <c r="P26" s="34" t="s">
        <v>26</v>
      </c>
    </row>
    <row r="27" spans="1:16" ht="21" x14ac:dyDescent="0.6">
      <c r="A27" s="33">
        <v>2023067</v>
      </c>
      <c r="B27" s="4" t="s">
        <v>43</v>
      </c>
      <c r="C27" s="1">
        <v>65</v>
      </c>
      <c r="D27" s="1">
        <v>87</v>
      </c>
      <c r="E27" s="1">
        <v>69</v>
      </c>
      <c r="F27" s="1">
        <v>55</v>
      </c>
      <c r="G27" s="1">
        <v>88</v>
      </c>
      <c r="H27" s="1">
        <v>50</v>
      </c>
      <c r="I27" s="1">
        <v>62</v>
      </c>
      <c r="J27" s="1">
        <v>75</v>
      </c>
      <c r="K27" s="1">
        <v>80</v>
      </c>
      <c r="L27" s="1">
        <v>71</v>
      </c>
      <c r="M27" s="2">
        <v>702</v>
      </c>
      <c r="N27" s="3">
        <v>26</v>
      </c>
      <c r="O27" s="2">
        <v>70.2</v>
      </c>
      <c r="P27" s="34" t="s">
        <v>26</v>
      </c>
    </row>
    <row r="28" spans="1:16" ht="21" x14ac:dyDescent="0.6">
      <c r="A28" s="33">
        <v>2023100</v>
      </c>
      <c r="B28" s="4" t="s">
        <v>44</v>
      </c>
      <c r="C28" s="1">
        <v>73</v>
      </c>
      <c r="D28" s="1">
        <v>86</v>
      </c>
      <c r="E28" s="1">
        <v>81</v>
      </c>
      <c r="F28" s="1">
        <v>100</v>
      </c>
      <c r="G28" s="1">
        <v>76</v>
      </c>
      <c r="H28" s="1">
        <v>50</v>
      </c>
      <c r="I28" s="1">
        <v>50</v>
      </c>
      <c r="J28" s="1">
        <v>78</v>
      </c>
      <c r="K28" s="1">
        <v>50</v>
      </c>
      <c r="L28" s="1">
        <v>98</v>
      </c>
      <c r="M28" s="2">
        <v>742</v>
      </c>
      <c r="N28" s="3">
        <v>23</v>
      </c>
      <c r="O28" s="2">
        <v>74.2</v>
      </c>
      <c r="P28" s="34" t="s">
        <v>45</v>
      </c>
    </row>
    <row r="29" spans="1:16" ht="21" x14ac:dyDescent="0.6">
      <c r="A29" s="33">
        <v>2023088</v>
      </c>
      <c r="B29" s="4" t="s">
        <v>46</v>
      </c>
      <c r="C29" s="1">
        <v>93</v>
      </c>
      <c r="D29" s="1">
        <v>79</v>
      </c>
      <c r="E29" s="1">
        <v>62</v>
      </c>
      <c r="F29" s="1">
        <v>90</v>
      </c>
      <c r="G29" s="1">
        <v>82</v>
      </c>
      <c r="H29" s="1">
        <v>50</v>
      </c>
      <c r="I29" s="1">
        <v>70</v>
      </c>
      <c r="J29" s="1">
        <v>63</v>
      </c>
      <c r="K29" s="1">
        <v>50</v>
      </c>
      <c r="L29" s="1">
        <v>63</v>
      </c>
      <c r="M29" s="2">
        <v>702</v>
      </c>
      <c r="N29" s="3">
        <v>26</v>
      </c>
      <c r="O29" s="2">
        <v>70.2</v>
      </c>
      <c r="P29" s="34" t="s">
        <v>45</v>
      </c>
    </row>
    <row r="30" spans="1:16" ht="21" x14ac:dyDescent="0.6">
      <c r="A30" s="33">
        <v>2023094</v>
      </c>
      <c r="B30" s="4" t="s">
        <v>47</v>
      </c>
      <c r="C30" s="1">
        <v>86</v>
      </c>
      <c r="D30" s="1">
        <v>85</v>
      </c>
      <c r="E30" s="1">
        <v>67</v>
      </c>
      <c r="F30" s="1">
        <v>70</v>
      </c>
      <c r="G30" s="1">
        <v>85</v>
      </c>
      <c r="H30" s="1">
        <v>60</v>
      </c>
      <c r="I30" s="1">
        <v>50</v>
      </c>
      <c r="J30" s="1">
        <v>81</v>
      </c>
      <c r="K30" s="1">
        <v>50</v>
      </c>
      <c r="L30" s="1">
        <v>55</v>
      </c>
      <c r="M30" s="2">
        <v>689</v>
      </c>
      <c r="N30" s="3">
        <v>29</v>
      </c>
      <c r="O30" s="2">
        <v>68.900000000000006</v>
      </c>
      <c r="P30" s="34" t="s">
        <v>45</v>
      </c>
    </row>
    <row r="31" spans="1:16" ht="21" x14ac:dyDescent="0.6">
      <c r="A31" s="33">
        <v>2023103</v>
      </c>
      <c r="B31" s="4" t="s">
        <v>48</v>
      </c>
      <c r="C31" s="1">
        <v>50</v>
      </c>
      <c r="D31" s="1">
        <v>88</v>
      </c>
      <c r="E31" s="1">
        <v>56</v>
      </c>
      <c r="F31" s="1">
        <v>85</v>
      </c>
      <c r="G31" s="1">
        <v>85</v>
      </c>
      <c r="H31" s="1">
        <v>39</v>
      </c>
      <c r="I31" s="1">
        <v>52</v>
      </c>
      <c r="J31" s="1">
        <v>60</v>
      </c>
      <c r="K31" s="1">
        <v>60</v>
      </c>
      <c r="L31" s="1">
        <v>92</v>
      </c>
      <c r="M31" s="2">
        <v>667</v>
      </c>
      <c r="N31" s="3">
        <v>31</v>
      </c>
      <c r="O31" s="2">
        <v>66.7</v>
      </c>
      <c r="P31" s="34" t="s">
        <v>45</v>
      </c>
    </row>
    <row r="32" spans="1:16" ht="21" x14ac:dyDescent="0.6">
      <c r="A32" s="33">
        <v>2023060</v>
      </c>
      <c r="B32" s="4" t="s">
        <v>49</v>
      </c>
      <c r="C32" s="1">
        <v>91</v>
      </c>
      <c r="D32" s="1">
        <v>89</v>
      </c>
      <c r="E32" s="1">
        <v>75</v>
      </c>
      <c r="F32" s="1">
        <v>87</v>
      </c>
      <c r="G32" s="1">
        <v>88</v>
      </c>
      <c r="H32" s="1">
        <v>56</v>
      </c>
      <c r="I32" s="1">
        <v>60</v>
      </c>
      <c r="J32" s="1">
        <v>50</v>
      </c>
      <c r="K32" s="1">
        <v>50</v>
      </c>
      <c r="L32" s="1">
        <v>50</v>
      </c>
      <c r="M32" s="2">
        <v>696</v>
      </c>
      <c r="N32" s="3">
        <v>28</v>
      </c>
      <c r="O32" s="2">
        <v>69.599999999999994</v>
      </c>
      <c r="P32" s="34" t="s">
        <v>45</v>
      </c>
    </row>
    <row r="33" spans="1:16" ht="21" x14ac:dyDescent="0.6">
      <c r="A33" s="33">
        <v>2023064</v>
      </c>
      <c r="B33" s="4" t="s">
        <v>50</v>
      </c>
      <c r="C33" s="1">
        <v>64</v>
      </c>
      <c r="D33" s="1">
        <v>90</v>
      </c>
      <c r="E33" s="1">
        <v>54</v>
      </c>
      <c r="F33" s="1">
        <v>85</v>
      </c>
      <c r="G33" s="1">
        <v>63</v>
      </c>
      <c r="H33" s="1">
        <v>50</v>
      </c>
      <c r="I33" s="1">
        <v>68</v>
      </c>
      <c r="J33" s="1">
        <v>75</v>
      </c>
      <c r="K33" s="1">
        <v>50</v>
      </c>
      <c r="L33" s="1">
        <v>90</v>
      </c>
      <c r="M33" s="2">
        <v>689</v>
      </c>
      <c r="N33" s="3">
        <v>29</v>
      </c>
      <c r="O33" s="2">
        <v>68.900000000000006</v>
      </c>
      <c r="P33" s="34" t="s">
        <v>45</v>
      </c>
    </row>
    <row r="34" spans="1:16" ht="21" x14ac:dyDescent="0.6">
      <c r="A34" s="33">
        <v>2023093</v>
      </c>
      <c r="B34" s="4" t="s">
        <v>51</v>
      </c>
      <c r="C34" s="1">
        <v>85</v>
      </c>
      <c r="D34" s="1">
        <v>79</v>
      </c>
      <c r="E34" s="1">
        <v>69</v>
      </c>
      <c r="F34" s="1">
        <v>88</v>
      </c>
      <c r="G34" s="1">
        <v>58</v>
      </c>
      <c r="H34" s="1">
        <v>50</v>
      </c>
      <c r="I34" s="1">
        <v>50</v>
      </c>
      <c r="J34" s="1">
        <v>60</v>
      </c>
      <c r="K34" s="1">
        <v>60</v>
      </c>
      <c r="L34" s="1">
        <v>50</v>
      </c>
      <c r="M34" s="2">
        <v>649</v>
      </c>
      <c r="N34" s="3">
        <v>33</v>
      </c>
      <c r="O34" s="2">
        <v>64.900000000000006</v>
      </c>
      <c r="P34" s="34" t="s">
        <v>45</v>
      </c>
    </row>
    <row r="35" spans="1:16" ht="21" x14ac:dyDescent="0.6">
      <c r="A35" s="33">
        <v>2023111</v>
      </c>
      <c r="B35" s="4" t="s">
        <v>52</v>
      </c>
      <c r="C35" s="1">
        <v>70</v>
      </c>
      <c r="D35" s="1">
        <v>77</v>
      </c>
      <c r="E35" s="1">
        <v>70</v>
      </c>
      <c r="F35" s="1">
        <v>68</v>
      </c>
      <c r="G35" s="1">
        <v>66</v>
      </c>
      <c r="H35" s="1">
        <v>50</v>
      </c>
      <c r="I35" s="1">
        <v>50</v>
      </c>
      <c r="J35" s="1">
        <v>60</v>
      </c>
      <c r="K35" s="1">
        <v>50</v>
      </c>
      <c r="L35" s="1">
        <v>50</v>
      </c>
      <c r="M35" s="2">
        <v>611</v>
      </c>
      <c r="N35" s="3">
        <v>35</v>
      </c>
      <c r="O35" s="2">
        <v>61.1</v>
      </c>
      <c r="P35" s="34" t="s">
        <v>45</v>
      </c>
    </row>
    <row r="36" spans="1:16" ht="21" x14ac:dyDescent="0.6">
      <c r="A36" s="33">
        <v>2023106</v>
      </c>
      <c r="B36" s="4" t="s">
        <v>53</v>
      </c>
      <c r="C36" s="1">
        <v>79</v>
      </c>
      <c r="D36" s="1">
        <v>86</v>
      </c>
      <c r="E36" s="1">
        <v>56</v>
      </c>
      <c r="F36" s="1">
        <v>60</v>
      </c>
      <c r="G36" s="1">
        <v>64</v>
      </c>
      <c r="H36" s="1">
        <v>73</v>
      </c>
      <c r="I36" s="1">
        <v>50</v>
      </c>
      <c r="J36" s="1">
        <v>66</v>
      </c>
      <c r="K36" s="1">
        <v>50</v>
      </c>
      <c r="L36" s="1">
        <v>66</v>
      </c>
      <c r="M36" s="2">
        <v>650</v>
      </c>
      <c r="N36" s="3">
        <v>32</v>
      </c>
      <c r="O36" s="2">
        <v>65</v>
      </c>
      <c r="P36" s="34" t="s">
        <v>54</v>
      </c>
    </row>
    <row r="37" spans="1:16" ht="21" x14ac:dyDescent="0.6">
      <c r="A37" s="33">
        <v>2023095</v>
      </c>
      <c r="B37" s="4" t="s">
        <v>55</v>
      </c>
      <c r="C37" s="1">
        <v>50</v>
      </c>
      <c r="D37" s="1">
        <v>72</v>
      </c>
      <c r="E37" s="1">
        <v>51</v>
      </c>
      <c r="F37" s="1">
        <v>75</v>
      </c>
      <c r="G37" s="1">
        <v>58</v>
      </c>
      <c r="H37" s="1">
        <v>50</v>
      </c>
      <c r="I37" s="1">
        <v>50</v>
      </c>
      <c r="J37" s="1">
        <v>66</v>
      </c>
      <c r="K37" s="1">
        <v>50</v>
      </c>
      <c r="L37" s="1">
        <v>50</v>
      </c>
      <c r="M37" s="2">
        <v>572</v>
      </c>
      <c r="N37" s="3">
        <v>36</v>
      </c>
      <c r="O37" s="2">
        <v>57.2</v>
      </c>
      <c r="P37" s="34" t="s">
        <v>54</v>
      </c>
    </row>
    <row r="38" spans="1:16" ht="21" x14ac:dyDescent="0.6">
      <c r="A38" s="33">
        <v>2023076</v>
      </c>
      <c r="B38" s="4" t="s">
        <v>56</v>
      </c>
      <c r="C38" s="1">
        <v>69</v>
      </c>
      <c r="D38" s="1">
        <v>91</v>
      </c>
      <c r="E38" s="1">
        <v>50</v>
      </c>
      <c r="F38" s="1">
        <v>91</v>
      </c>
      <c r="G38" s="1">
        <v>61</v>
      </c>
      <c r="H38" s="1">
        <v>50</v>
      </c>
      <c r="I38" s="1">
        <v>50</v>
      </c>
      <c r="J38" s="1">
        <v>58</v>
      </c>
      <c r="K38" s="1">
        <v>50</v>
      </c>
      <c r="L38" s="1">
        <v>60</v>
      </c>
      <c r="M38" s="2">
        <v>630</v>
      </c>
      <c r="N38" s="3">
        <v>34</v>
      </c>
      <c r="O38" s="2">
        <v>63</v>
      </c>
      <c r="P38" s="34" t="s">
        <v>54</v>
      </c>
    </row>
    <row r="39" spans="1:16" ht="21" x14ac:dyDescent="0.6">
      <c r="A39" s="33">
        <v>2023073</v>
      </c>
      <c r="B39" s="4" t="s">
        <v>57</v>
      </c>
      <c r="C39" s="1">
        <v>23</v>
      </c>
      <c r="D39" s="1">
        <v>90</v>
      </c>
      <c r="E39" s="1">
        <v>66</v>
      </c>
      <c r="F39" s="1">
        <v>88</v>
      </c>
      <c r="G39" s="1">
        <v>81</v>
      </c>
      <c r="H39" s="1">
        <v>10</v>
      </c>
      <c r="I39" s="1">
        <v>0</v>
      </c>
      <c r="J39" s="1">
        <v>0</v>
      </c>
      <c r="K39" s="1">
        <v>50</v>
      </c>
      <c r="L39" s="1">
        <v>100</v>
      </c>
      <c r="M39" s="2">
        <v>508</v>
      </c>
      <c r="N39" s="3">
        <v>37</v>
      </c>
      <c r="O39" s="2">
        <v>50.8</v>
      </c>
      <c r="P39" s="34" t="s">
        <v>54</v>
      </c>
    </row>
    <row r="40" spans="1:16" ht="21" x14ac:dyDescent="0.6">
      <c r="A40" s="33">
        <v>2023002</v>
      </c>
      <c r="B40" s="4" t="s">
        <v>71</v>
      </c>
      <c r="C40" s="1">
        <v>100</v>
      </c>
      <c r="D40" s="1">
        <v>97</v>
      </c>
      <c r="E40" s="1">
        <v>94</v>
      </c>
      <c r="F40" s="1">
        <v>100</v>
      </c>
      <c r="G40" s="1">
        <v>94</v>
      </c>
      <c r="H40" s="1">
        <v>86</v>
      </c>
      <c r="I40" s="1">
        <v>90</v>
      </c>
      <c r="J40" s="1">
        <v>96</v>
      </c>
      <c r="K40" s="1">
        <v>100</v>
      </c>
      <c r="L40" s="1">
        <v>100</v>
      </c>
      <c r="M40" s="2">
        <v>957</v>
      </c>
      <c r="N40" s="3">
        <v>1</v>
      </c>
      <c r="O40" s="2">
        <v>95.7</v>
      </c>
      <c r="P40" s="34" t="s">
        <v>18</v>
      </c>
    </row>
    <row r="41" spans="1:16" ht="21" x14ac:dyDescent="0.6">
      <c r="A41" s="33">
        <v>2023001</v>
      </c>
      <c r="B41" s="4" t="s">
        <v>72</v>
      </c>
      <c r="C41" s="1">
        <v>96</v>
      </c>
      <c r="D41" s="1">
        <v>85</v>
      </c>
      <c r="E41" s="1">
        <v>84</v>
      </c>
      <c r="F41" s="1">
        <v>100</v>
      </c>
      <c r="G41" s="1">
        <v>100</v>
      </c>
      <c r="H41" s="1">
        <v>87</v>
      </c>
      <c r="I41" s="1">
        <v>85</v>
      </c>
      <c r="J41" s="1">
        <v>90</v>
      </c>
      <c r="K41" s="1">
        <v>70</v>
      </c>
      <c r="L41" s="1">
        <v>100</v>
      </c>
      <c r="M41" s="2">
        <v>897</v>
      </c>
      <c r="N41" s="3">
        <v>2</v>
      </c>
      <c r="O41" s="2">
        <v>89.7</v>
      </c>
      <c r="P41" s="34" t="s">
        <v>18</v>
      </c>
    </row>
    <row r="42" spans="1:16" ht="21" x14ac:dyDescent="0.6">
      <c r="A42" s="33">
        <v>2023027</v>
      </c>
      <c r="B42" s="4" t="s">
        <v>73</v>
      </c>
      <c r="C42" s="1">
        <v>100</v>
      </c>
      <c r="D42" s="1">
        <v>95</v>
      </c>
      <c r="E42" s="1">
        <v>94</v>
      </c>
      <c r="F42" s="1">
        <v>100</v>
      </c>
      <c r="G42" s="1">
        <v>100</v>
      </c>
      <c r="H42" s="1">
        <v>92</v>
      </c>
      <c r="I42" s="1">
        <v>77</v>
      </c>
      <c r="J42" s="1">
        <v>97</v>
      </c>
      <c r="K42" s="1">
        <v>50</v>
      </c>
      <c r="L42" s="1">
        <v>83</v>
      </c>
      <c r="M42" s="2">
        <v>888</v>
      </c>
      <c r="N42" s="3">
        <v>3</v>
      </c>
      <c r="O42" s="2">
        <v>88.8</v>
      </c>
      <c r="P42" s="34" t="s">
        <v>18</v>
      </c>
    </row>
    <row r="43" spans="1:16" ht="21" x14ac:dyDescent="0.6">
      <c r="A43" s="33">
        <v>2023056</v>
      </c>
      <c r="B43" s="4" t="s">
        <v>74</v>
      </c>
      <c r="C43" s="1">
        <v>100</v>
      </c>
      <c r="D43" s="1">
        <v>100</v>
      </c>
      <c r="E43" s="1">
        <v>85</v>
      </c>
      <c r="F43" s="1">
        <v>90</v>
      </c>
      <c r="G43" s="1">
        <v>88</v>
      </c>
      <c r="H43" s="1">
        <v>81</v>
      </c>
      <c r="I43" s="1">
        <v>75</v>
      </c>
      <c r="J43" s="1">
        <v>85</v>
      </c>
      <c r="K43" s="1">
        <v>70</v>
      </c>
      <c r="L43" s="1">
        <v>100</v>
      </c>
      <c r="M43" s="2">
        <v>874</v>
      </c>
      <c r="N43" s="3">
        <v>4</v>
      </c>
      <c r="O43" s="2">
        <v>87.4</v>
      </c>
      <c r="P43" s="34" t="s">
        <v>18</v>
      </c>
    </row>
    <row r="44" spans="1:16" ht="21" x14ac:dyDescent="0.6">
      <c r="A44" s="33">
        <v>2023051</v>
      </c>
      <c r="B44" s="4" t="s">
        <v>75</v>
      </c>
      <c r="C44" s="1">
        <v>91</v>
      </c>
      <c r="D44" s="1">
        <v>97</v>
      </c>
      <c r="E44" s="1">
        <v>86</v>
      </c>
      <c r="F44" s="1">
        <v>90</v>
      </c>
      <c r="G44" s="1">
        <v>88</v>
      </c>
      <c r="H44" s="1">
        <v>91</v>
      </c>
      <c r="I44" s="1">
        <v>63</v>
      </c>
      <c r="J44" s="1">
        <v>93</v>
      </c>
      <c r="K44" s="1">
        <v>70</v>
      </c>
      <c r="L44" s="1">
        <v>86</v>
      </c>
      <c r="M44" s="2">
        <v>855</v>
      </c>
      <c r="N44" s="3">
        <v>5</v>
      </c>
      <c r="O44" s="2">
        <v>85.5</v>
      </c>
      <c r="P44" s="34" t="s">
        <v>18</v>
      </c>
    </row>
    <row r="45" spans="1:16" ht="21" x14ac:dyDescent="0.6">
      <c r="A45" s="33">
        <v>2023038</v>
      </c>
      <c r="B45" s="4" t="s">
        <v>76</v>
      </c>
      <c r="C45" s="1">
        <v>98</v>
      </c>
      <c r="D45" s="1">
        <v>80</v>
      </c>
      <c r="E45" s="1">
        <v>96</v>
      </c>
      <c r="F45" s="1">
        <v>100</v>
      </c>
      <c r="G45" s="1">
        <v>91</v>
      </c>
      <c r="H45" s="1">
        <v>86</v>
      </c>
      <c r="I45" s="1">
        <v>88</v>
      </c>
      <c r="J45" s="1">
        <v>71</v>
      </c>
      <c r="K45" s="1">
        <v>50</v>
      </c>
      <c r="L45" s="1">
        <v>92</v>
      </c>
      <c r="M45" s="2">
        <v>852</v>
      </c>
      <c r="N45" s="3">
        <v>6</v>
      </c>
      <c r="O45" s="2">
        <v>85.2</v>
      </c>
      <c r="P45" s="34" t="s">
        <v>18</v>
      </c>
    </row>
    <row r="46" spans="1:16" ht="21" x14ac:dyDescent="0.6">
      <c r="A46" s="33">
        <v>2023030</v>
      </c>
      <c r="B46" s="4" t="s">
        <v>77</v>
      </c>
      <c r="C46" s="1">
        <v>99</v>
      </c>
      <c r="D46" s="1">
        <v>82</v>
      </c>
      <c r="E46" s="1">
        <v>81</v>
      </c>
      <c r="F46" s="1">
        <v>100</v>
      </c>
      <c r="G46" s="1">
        <v>82</v>
      </c>
      <c r="H46" s="1">
        <v>80</v>
      </c>
      <c r="I46" s="1">
        <v>85</v>
      </c>
      <c r="J46" s="1">
        <v>89</v>
      </c>
      <c r="K46" s="1">
        <v>50</v>
      </c>
      <c r="L46" s="1">
        <v>100</v>
      </c>
      <c r="M46" s="2">
        <v>848</v>
      </c>
      <c r="N46" s="3">
        <v>7</v>
      </c>
      <c r="O46" s="2">
        <v>84.8</v>
      </c>
      <c r="P46" s="34" t="s">
        <v>18</v>
      </c>
    </row>
    <row r="47" spans="1:16" ht="21" x14ac:dyDescent="0.6">
      <c r="A47" s="33">
        <v>2023033</v>
      </c>
      <c r="B47" s="4" t="s">
        <v>78</v>
      </c>
      <c r="C47" s="1">
        <v>97</v>
      </c>
      <c r="D47" s="1">
        <v>92</v>
      </c>
      <c r="E47" s="1">
        <v>85</v>
      </c>
      <c r="F47" s="1">
        <v>90</v>
      </c>
      <c r="G47" s="1">
        <v>88</v>
      </c>
      <c r="H47" s="1">
        <v>85</v>
      </c>
      <c r="I47" s="1">
        <v>90</v>
      </c>
      <c r="J47" s="1">
        <v>96</v>
      </c>
      <c r="K47" s="1">
        <v>50</v>
      </c>
      <c r="L47" s="1">
        <v>74</v>
      </c>
      <c r="M47" s="2">
        <v>847</v>
      </c>
      <c r="N47" s="3">
        <v>8</v>
      </c>
      <c r="O47" s="2">
        <v>84.7</v>
      </c>
      <c r="P47" s="34" t="s">
        <v>18</v>
      </c>
    </row>
    <row r="48" spans="1:16" ht="21" x14ac:dyDescent="0.6">
      <c r="A48" s="33">
        <v>202357</v>
      </c>
      <c r="B48" s="4" t="s">
        <v>79</v>
      </c>
      <c r="C48" s="1">
        <v>92</v>
      </c>
      <c r="D48" s="1">
        <v>90</v>
      </c>
      <c r="E48" s="1">
        <v>79</v>
      </c>
      <c r="F48" s="1">
        <v>100</v>
      </c>
      <c r="G48" s="1">
        <v>84</v>
      </c>
      <c r="H48" s="1">
        <v>87</v>
      </c>
      <c r="I48" s="1">
        <v>53</v>
      </c>
      <c r="J48" s="1">
        <v>88</v>
      </c>
      <c r="K48" s="1">
        <v>70</v>
      </c>
      <c r="L48" s="1">
        <v>94</v>
      </c>
      <c r="M48" s="2">
        <v>837</v>
      </c>
      <c r="N48" s="3">
        <v>9</v>
      </c>
      <c r="O48" s="2">
        <v>83.7</v>
      </c>
      <c r="P48" s="34" t="s">
        <v>18</v>
      </c>
    </row>
    <row r="49" spans="1:16" ht="21" x14ac:dyDescent="0.6">
      <c r="A49" s="33">
        <v>2023124</v>
      </c>
      <c r="B49" s="4" t="s">
        <v>80</v>
      </c>
      <c r="C49" s="1">
        <v>90</v>
      </c>
      <c r="D49" s="1">
        <v>85</v>
      </c>
      <c r="E49" s="1">
        <v>81</v>
      </c>
      <c r="F49" s="1">
        <v>94</v>
      </c>
      <c r="G49" s="1">
        <v>88</v>
      </c>
      <c r="H49" s="1">
        <v>50</v>
      </c>
      <c r="I49" s="1">
        <v>72</v>
      </c>
      <c r="J49" s="1">
        <v>95</v>
      </c>
      <c r="K49" s="1">
        <v>80</v>
      </c>
      <c r="L49" s="1">
        <v>100</v>
      </c>
      <c r="M49" s="2">
        <v>835</v>
      </c>
      <c r="N49" s="3">
        <v>10</v>
      </c>
      <c r="O49" s="2">
        <v>83.5</v>
      </c>
      <c r="P49" s="34" t="s">
        <v>18</v>
      </c>
    </row>
    <row r="50" spans="1:16" ht="21" x14ac:dyDescent="0.6">
      <c r="A50" s="33">
        <v>2023045</v>
      </c>
      <c r="B50" s="4" t="s">
        <v>81</v>
      </c>
      <c r="C50" s="1">
        <v>94</v>
      </c>
      <c r="D50" s="1">
        <v>80</v>
      </c>
      <c r="E50" s="1">
        <v>83</v>
      </c>
      <c r="F50" s="1">
        <v>90</v>
      </c>
      <c r="G50" s="1">
        <v>91</v>
      </c>
      <c r="H50" s="1">
        <v>90</v>
      </c>
      <c r="I50" s="1">
        <v>68</v>
      </c>
      <c r="J50" s="1">
        <v>91</v>
      </c>
      <c r="K50" s="1">
        <v>50</v>
      </c>
      <c r="L50" s="1">
        <v>97</v>
      </c>
      <c r="M50" s="2">
        <v>834</v>
      </c>
      <c r="N50" s="3">
        <v>11</v>
      </c>
      <c r="O50" s="2">
        <v>83.4</v>
      </c>
      <c r="P50" s="34" t="s">
        <v>18</v>
      </c>
    </row>
    <row r="51" spans="1:16" ht="21" x14ac:dyDescent="0.6">
      <c r="A51" s="33">
        <v>2023021</v>
      </c>
      <c r="B51" s="4" t="s">
        <v>82</v>
      </c>
      <c r="C51" s="1">
        <v>97</v>
      </c>
      <c r="D51" s="1">
        <v>90</v>
      </c>
      <c r="E51" s="1">
        <v>84</v>
      </c>
      <c r="F51" s="1">
        <v>80</v>
      </c>
      <c r="G51" s="1">
        <v>88</v>
      </c>
      <c r="H51" s="1">
        <v>71</v>
      </c>
      <c r="I51" s="1">
        <v>64</v>
      </c>
      <c r="J51" s="1">
        <v>75</v>
      </c>
      <c r="K51" s="1">
        <v>90</v>
      </c>
      <c r="L51" s="1">
        <v>94</v>
      </c>
      <c r="M51" s="2">
        <v>833</v>
      </c>
      <c r="N51" s="3">
        <v>12</v>
      </c>
      <c r="O51" s="2">
        <v>83.3</v>
      </c>
      <c r="P51" s="34" t="s">
        <v>18</v>
      </c>
    </row>
    <row r="52" spans="1:16" ht="21" x14ac:dyDescent="0.6">
      <c r="A52" s="33">
        <v>2023046</v>
      </c>
      <c r="B52" s="4" t="s">
        <v>83</v>
      </c>
      <c r="C52" s="1">
        <v>99</v>
      </c>
      <c r="D52" s="1">
        <v>90</v>
      </c>
      <c r="E52" s="1">
        <v>79</v>
      </c>
      <c r="F52" s="1">
        <v>100</v>
      </c>
      <c r="G52" s="1">
        <v>97</v>
      </c>
      <c r="H52" s="1">
        <v>73</v>
      </c>
      <c r="I52" s="1">
        <v>58</v>
      </c>
      <c r="J52" s="1">
        <v>84</v>
      </c>
      <c r="K52" s="1">
        <v>80</v>
      </c>
      <c r="L52" s="1">
        <v>68</v>
      </c>
      <c r="M52" s="2">
        <v>828</v>
      </c>
      <c r="N52" s="3">
        <v>13</v>
      </c>
      <c r="O52" s="2">
        <v>82.8</v>
      </c>
      <c r="P52" s="34" t="s">
        <v>18</v>
      </c>
    </row>
    <row r="53" spans="1:16" ht="21" x14ac:dyDescent="0.6">
      <c r="A53" s="33">
        <v>2023042</v>
      </c>
      <c r="B53" s="4" t="s">
        <v>84</v>
      </c>
      <c r="C53" s="1">
        <v>92</v>
      </c>
      <c r="D53" s="1">
        <v>82</v>
      </c>
      <c r="E53" s="1">
        <v>77</v>
      </c>
      <c r="F53" s="1">
        <v>100</v>
      </c>
      <c r="G53" s="1">
        <v>98</v>
      </c>
      <c r="H53" s="1">
        <v>67</v>
      </c>
      <c r="I53" s="1">
        <v>90</v>
      </c>
      <c r="J53" s="1">
        <v>73</v>
      </c>
      <c r="K53" s="1">
        <v>60</v>
      </c>
      <c r="L53" s="1">
        <v>86</v>
      </c>
      <c r="M53" s="2">
        <v>825</v>
      </c>
      <c r="N53" s="3">
        <v>14</v>
      </c>
      <c r="O53" s="2">
        <v>82.5</v>
      </c>
      <c r="P53" s="34" t="s">
        <v>18</v>
      </c>
    </row>
    <row r="54" spans="1:16" ht="21" x14ac:dyDescent="0.6">
      <c r="A54" s="33">
        <v>2023040</v>
      </c>
      <c r="B54" s="4" t="s">
        <v>85</v>
      </c>
      <c r="C54" s="1">
        <v>94</v>
      </c>
      <c r="D54" s="1">
        <v>80</v>
      </c>
      <c r="E54" s="1">
        <v>79</v>
      </c>
      <c r="F54" s="1">
        <v>90</v>
      </c>
      <c r="G54" s="1">
        <v>94</v>
      </c>
      <c r="H54" s="1">
        <v>61</v>
      </c>
      <c r="I54" s="1">
        <v>73</v>
      </c>
      <c r="J54" s="1">
        <v>64</v>
      </c>
      <c r="K54" s="1">
        <v>80</v>
      </c>
      <c r="L54" s="1">
        <v>100</v>
      </c>
      <c r="M54" s="2">
        <v>815</v>
      </c>
      <c r="N54" s="3">
        <v>15</v>
      </c>
      <c r="O54" s="2">
        <v>81.5</v>
      </c>
      <c r="P54" s="34" t="s">
        <v>18</v>
      </c>
    </row>
    <row r="55" spans="1:16" ht="21" x14ac:dyDescent="0.6">
      <c r="A55" s="33">
        <v>2023017</v>
      </c>
      <c r="B55" s="4" t="s">
        <v>86</v>
      </c>
      <c r="C55" s="1">
        <v>96</v>
      </c>
      <c r="D55" s="1">
        <v>88</v>
      </c>
      <c r="E55" s="1">
        <v>83</v>
      </c>
      <c r="F55" s="1">
        <v>99</v>
      </c>
      <c r="G55" s="1">
        <v>84</v>
      </c>
      <c r="H55" s="1">
        <v>60</v>
      </c>
      <c r="I55" s="1">
        <v>55</v>
      </c>
      <c r="J55" s="1">
        <v>93</v>
      </c>
      <c r="K55" s="1">
        <v>50</v>
      </c>
      <c r="L55" s="1">
        <v>100</v>
      </c>
      <c r="M55" s="2">
        <v>808</v>
      </c>
      <c r="N55" s="3">
        <v>16</v>
      </c>
      <c r="O55" s="2">
        <v>80.8</v>
      </c>
      <c r="P55" s="34" t="s">
        <v>18</v>
      </c>
    </row>
    <row r="56" spans="1:16" ht="21" x14ac:dyDescent="0.6">
      <c r="A56" s="33">
        <v>2023022</v>
      </c>
      <c r="B56" s="4" t="s">
        <v>87</v>
      </c>
      <c r="C56" s="1">
        <v>91</v>
      </c>
      <c r="D56" s="1">
        <v>87</v>
      </c>
      <c r="E56" s="1">
        <v>82</v>
      </c>
      <c r="F56" s="1">
        <v>89</v>
      </c>
      <c r="G56" s="1">
        <v>88</v>
      </c>
      <c r="H56" s="1">
        <v>51</v>
      </c>
      <c r="I56" s="1">
        <v>50</v>
      </c>
      <c r="J56" s="1">
        <v>93</v>
      </c>
      <c r="K56" s="1">
        <v>80</v>
      </c>
      <c r="L56" s="1">
        <v>92</v>
      </c>
      <c r="M56" s="2">
        <v>803</v>
      </c>
      <c r="N56" s="3">
        <v>17</v>
      </c>
      <c r="O56" s="2">
        <v>80.3</v>
      </c>
      <c r="P56" s="34" t="s">
        <v>18</v>
      </c>
    </row>
    <row r="57" spans="1:16" ht="21" x14ac:dyDescent="0.6">
      <c r="A57" s="33">
        <v>2023035</v>
      </c>
      <c r="B57" s="4" t="s">
        <v>58</v>
      </c>
      <c r="C57" s="1">
        <v>100</v>
      </c>
      <c r="D57" s="1">
        <v>100</v>
      </c>
      <c r="E57" s="1">
        <v>100</v>
      </c>
      <c r="F57" s="1">
        <v>100</v>
      </c>
      <c r="G57" s="1">
        <v>100</v>
      </c>
      <c r="H57" s="1">
        <v>94</v>
      </c>
      <c r="I57" s="1">
        <v>95</v>
      </c>
      <c r="J57" s="1">
        <v>92</v>
      </c>
      <c r="K57" s="1">
        <v>90</v>
      </c>
      <c r="L57" s="1">
        <v>100</v>
      </c>
      <c r="M57" s="2">
        <v>971</v>
      </c>
      <c r="N57" s="2">
        <v>1</v>
      </c>
      <c r="O57" s="2">
        <v>97.1</v>
      </c>
      <c r="P57" s="35" t="s">
        <v>18</v>
      </c>
    </row>
    <row r="58" spans="1:16" ht="21" x14ac:dyDescent="0.6">
      <c r="A58" s="33">
        <v>2023085</v>
      </c>
      <c r="B58" s="4" t="s">
        <v>59</v>
      </c>
      <c r="C58" s="1">
        <v>100</v>
      </c>
      <c r="D58" s="1">
        <v>100</v>
      </c>
      <c r="E58" s="1">
        <v>100</v>
      </c>
      <c r="F58" s="1">
        <v>100</v>
      </c>
      <c r="G58" s="1">
        <v>100</v>
      </c>
      <c r="H58" s="1">
        <v>89</v>
      </c>
      <c r="I58" s="1">
        <v>94</v>
      </c>
      <c r="J58" s="1">
        <v>100</v>
      </c>
      <c r="K58" s="1">
        <v>80</v>
      </c>
      <c r="L58" s="1">
        <v>100</v>
      </c>
      <c r="M58" s="2">
        <v>963</v>
      </c>
      <c r="N58" s="2">
        <v>2</v>
      </c>
      <c r="O58" s="2">
        <v>96.3</v>
      </c>
      <c r="P58" s="35" t="s">
        <v>18</v>
      </c>
    </row>
    <row r="59" spans="1:16" ht="21" x14ac:dyDescent="0.6">
      <c r="A59" s="33">
        <v>2023053</v>
      </c>
      <c r="B59" s="4" t="s">
        <v>60</v>
      </c>
      <c r="C59" s="1">
        <v>100</v>
      </c>
      <c r="D59" s="1">
        <v>100</v>
      </c>
      <c r="E59" s="1">
        <v>100</v>
      </c>
      <c r="F59" s="1">
        <v>100</v>
      </c>
      <c r="G59" s="1">
        <v>100</v>
      </c>
      <c r="H59" s="1">
        <v>81</v>
      </c>
      <c r="I59" s="1">
        <v>78</v>
      </c>
      <c r="J59" s="1">
        <v>92</v>
      </c>
      <c r="K59" s="1">
        <v>90</v>
      </c>
      <c r="L59" s="1">
        <v>98</v>
      </c>
      <c r="M59" s="2">
        <v>939</v>
      </c>
      <c r="N59" s="2">
        <v>3</v>
      </c>
      <c r="O59" s="2">
        <v>93.9</v>
      </c>
      <c r="P59" s="35" t="s">
        <v>18</v>
      </c>
    </row>
    <row r="60" spans="1:16" ht="21" x14ac:dyDescent="0.6">
      <c r="A60" s="33">
        <v>2023023</v>
      </c>
      <c r="B60" s="4" t="s">
        <v>61</v>
      </c>
      <c r="C60" s="1">
        <v>100</v>
      </c>
      <c r="D60" s="1">
        <v>100</v>
      </c>
      <c r="E60" s="1">
        <v>100</v>
      </c>
      <c r="F60" s="1">
        <v>100</v>
      </c>
      <c r="G60" s="1">
        <v>100</v>
      </c>
      <c r="H60" s="1">
        <v>81</v>
      </c>
      <c r="I60" s="1">
        <v>95</v>
      </c>
      <c r="J60" s="1">
        <v>90</v>
      </c>
      <c r="K60" s="1">
        <v>70</v>
      </c>
      <c r="L60" s="1">
        <v>100</v>
      </c>
      <c r="M60" s="2">
        <v>936</v>
      </c>
      <c r="N60" s="2">
        <v>4</v>
      </c>
      <c r="O60" s="2">
        <v>93.6</v>
      </c>
      <c r="P60" s="35" t="s">
        <v>18</v>
      </c>
    </row>
    <row r="61" spans="1:16" ht="21" x14ac:dyDescent="0.6">
      <c r="A61" s="33">
        <v>2023084</v>
      </c>
      <c r="B61" s="4" t="s">
        <v>62</v>
      </c>
      <c r="C61" s="1">
        <v>100</v>
      </c>
      <c r="D61" s="1">
        <v>100</v>
      </c>
      <c r="E61" s="1">
        <v>100</v>
      </c>
      <c r="F61" s="1">
        <v>100</v>
      </c>
      <c r="G61" s="1">
        <v>91</v>
      </c>
      <c r="H61" s="1">
        <v>82</v>
      </c>
      <c r="I61" s="1">
        <v>90</v>
      </c>
      <c r="J61" s="1">
        <v>99</v>
      </c>
      <c r="K61" s="1">
        <v>70</v>
      </c>
      <c r="L61" s="1">
        <v>100</v>
      </c>
      <c r="M61" s="2">
        <v>932</v>
      </c>
      <c r="N61" s="2">
        <v>5</v>
      </c>
      <c r="O61" s="2">
        <v>93.2</v>
      </c>
      <c r="P61" s="35" t="s">
        <v>18</v>
      </c>
    </row>
    <row r="62" spans="1:16" ht="21" x14ac:dyDescent="0.6">
      <c r="A62" s="33">
        <v>2023039</v>
      </c>
      <c r="B62" s="4" t="s">
        <v>63</v>
      </c>
      <c r="C62" s="1">
        <v>100</v>
      </c>
      <c r="D62" s="1">
        <v>98</v>
      </c>
      <c r="E62" s="1">
        <v>98</v>
      </c>
      <c r="F62" s="1">
        <v>99</v>
      </c>
      <c r="G62" s="1">
        <v>90</v>
      </c>
      <c r="H62" s="1">
        <v>66</v>
      </c>
      <c r="I62" s="1">
        <v>65</v>
      </c>
      <c r="J62" s="1">
        <v>85</v>
      </c>
      <c r="K62" s="1">
        <v>95</v>
      </c>
      <c r="L62" s="1">
        <v>91</v>
      </c>
      <c r="M62" s="2">
        <v>887</v>
      </c>
      <c r="N62" s="2">
        <v>6</v>
      </c>
      <c r="O62" s="2">
        <v>88.7</v>
      </c>
      <c r="P62" s="35" t="s">
        <v>18</v>
      </c>
    </row>
    <row r="63" spans="1:16" ht="21" x14ac:dyDescent="0.6">
      <c r="A63" s="33">
        <v>2023041</v>
      </c>
      <c r="B63" s="4" t="s">
        <v>64</v>
      </c>
      <c r="C63" s="1">
        <v>100</v>
      </c>
      <c r="D63" s="1">
        <v>100</v>
      </c>
      <c r="E63" s="1">
        <v>100</v>
      </c>
      <c r="F63" s="1">
        <v>100</v>
      </c>
      <c r="G63" s="1">
        <v>80</v>
      </c>
      <c r="H63" s="1">
        <v>91</v>
      </c>
      <c r="I63" s="1">
        <v>71</v>
      </c>
      <c r="J63" s="1">
        <v>86</v>
      </c>
      <c r="K63" s="1">
        <v>50</v>
      </c>
      <c r="L63" s="1">
        <v>94</v>
      </c>
      <c r="M63" s="2">
        <v>872</v>
      </c>
      <c r="N63" s="2">
        <v>7</v>
      </c>
      <c r="O63" s="2">
        <v>87.2</v>
      </c>
      <c r="P63" s="35" t="s">
        <v>18</v>
      </c>
    </row>
    <row r="64" spans="1:16" ht="21" x14ac:dyDescent="0.6">
      <c r="A64" s="33">
        <v>2023055</v>
      </c>
      <c r="B64" s="4" t="s">
        <v>65</v>
      </c>
      <c r="C64" s="1">
        <v>100</v>
      </c>
      <c r="D64" s="1">
        <v>100</v>
      </c>
      <c r="E64" s="1">
        <v>100</v>
      </c>
      <c r="F64" s="1">
        <v>98</v>
      </c>
      <c r="G64" s="1">
        <v>71</v>
      </c>
      <c r="H64" s="1">
        <v>51</v>
      </c>
      <c r="I64" s="1">
        <v>55</v>
      </c>
      <c r="J64" s="1">
        <v>95</v>
      </c>
      <c r="K64" s="1">
        <v>90</v>
      </c>
      <c r="L64" s="1">
        <v>100</v>
      </c>
      <c r="M64" s="2">
        <v>860</v>
      </c>
      <c r="N64" s="2">
        <v>8</v>
      </c>
      <c r="O64" s="2">
        <v>86</v>
      </c>
      <c r="P64" s="35" t="s">
        <v>18</v>
      </c>
    </row>
    <row r="65" spans="1:16" ht="21" x14ac:dyDescent="0.6">
      <c r="A65" s="33">
        <v>2023129</v>
      </c>
      <c r="B65" s="4" t="s">
        <v>66</v>
      </c>
      <c r="C65" s="1">
        <v>95</v>
      </c>
      <c r="D65" s="1">
        <v>98</v>
      </c>
      <c r="E65" s="1">
        <v>98</v>
      </c>
      <c r="F65" s="1">
        <v>90</v>
      </c>
      <c r="G65" s="1">
        <v>94</v>
      </c>
      <c r="H65" s="1">
        <v>72</v>
      </c>
      <c r="I65" s="1">
        <v>77</v>
      </c>
      <c r="J65" s="1">
        <v>88</v>
      </c>
      <c r="K65" s="1">
        <v>50</v>
      </c>
      <c r="L65" s="1">
        <v>87</v>
      </c>
      <c r="M65" s="2">
        <v>849</v>
      </c>
      <c r="N65" s="2">
        <v>9</v>
      </c>
      <c r="O65" s="2">
        <v>84.9</v>
      </c>
      <c r="P65" s="35" t="s">
        <v>18</v>
      </c>
    </row>
    <row r="66" spans="1:16" ht="21" x14ac:dyDescent="0.6">
      <c r="A66" s="33">
        <v>2023107</v>
      </c>
      <c r="B66" s="4" t="s">
        <v>67</v>
      </c>
      <c r="C66" s="1">
        <v>95</v>
      </c>
      <c r="D66" s="1">
        <v>100</v>
      </c>
      <c r="E66" s="1">
        <v>91</v>
      </c>
      <c r="F66" s="1">
        <v>100</v>
      </c>
      <c r="G66" s="1">
        <v>88</v>
      </c>
      <c r="H66" s="1">
        <v>71</v>
      </c>
      <c r="I66" s="1">
        <v>60</v>
      </c>
      <c r="J66" s="1">
        <v>70</v>
      </c>
      <c r="K66" s="1">
        <v>60</v>
      </c>
      <c r="L66" s="1">
        <v>50</v>
      </c>
      <c r="M66" s="2">
        <v>785</v>
      </c>
      <c r="N66" s="2">
        <v>10</v>
      </c>
      <c r="O66" s="2">
        <v>78.5</v>
      </c>
      <c r="P66" s="35" t="s">
        <v>68</v>
      </c>
    </row>
    <row r="67" spans="1:16" ht="21" x14ac:dyDescent="0.6">
      <c r="A67" s="33">
        <v>2023025</v>
      </c>
      <c r="B67" s="4" t="s">
        <v>69</v>
      </c>
      <c r="C67" s="1">
        <v>85</v>
      </c>
      <c r="D67" s="1">
        <v>98</v>
      </c>
      <c r="E67" s="1">
        <v>100</v>
      </c>
      <c r="F67" s="1">
        <v>80</v>
      </c>
      <c r="G67" s="1">
        <v>60</v>
      </c>
      <c r="H67" s="1">
        <v>50</v>
      </c>
      <c r="I67" s="1">
        <v>53</v>
      </c>
      <c r="J67" s="1">
        <v>70</v>
      </c>
      <c r="K67" s="1">
        <v>70</v>
      </c>
      <c r="L67" s="1">
        <v>96</v>
      </c>
      <c r="M67" s="2">
        <v>762</v>
      </c>
      <c r="N67" s="2">
        <v>11</v>
      </c>
      <c r="O67" s="2">
        <v>76.2</v>
      </c>
      <c r="P67" s="35" t="s">
        <v>68</v>
      </c>
    </row>
    <row r="68" spans="1:16" ht="21" x14ac:dyDescent="0.6">
      <c r="A68" s="41">
        <v>2023149</v>
      </c>
      <c r="B68" s="30" t="s">
        <v>88</v>
      </c>
      <c r="C68" s="31">
        <v>85</v>
      </c>
      <c r="D68" s="31">
        <v>93</v>
      </c>
      <c r="E68" s="31">
        <v>84</v>
      </c>
      <c r="F68" s="31">
        <v>65</v>
      </c>
      <c r="G68" s="31">
        <v>58</v>
      </c>
      <c r="H68" s="31">
        <v>22</v>
      </c>
      <c r="I68" s="31">
        <v>51</v>
      </c>
      <c r="J68" s="31">
        <v>65</v>
      </c>
      <c r="K68" s="31">
        <v>50</v>
      </c>
      <c r="L68" s="31">
        <v>50</v>
      </c>
      <c r="M68" s="32">
        <v>623</v>
      </c>
      <c r="N68" s="32">
        <v>12</v>
      </c>
      <c r="O68" s="32">
        <v>62.3</v>
      </c>
      <c r="P68" s="42" t="s">
        <v>70</v>
      </c>
    </row>
    <row r="69" spans="1:16" x14ac:dyDescent="0.3">
      <c r="A69" s="5"/>
    </row>
    <row r="70" spans="1:16" ht="13.8" x14ac:dyDescent="0.25">
      <c r="A70"/>
    </row>
    <row r="71" spans="1:16" ht="13.8" x14ac:dyDescent="0.25">
      <c r="A71"/>
    </row>
    <row r="72" spans="1:16" ht="13.8" x14ac:dyDescent="0.25">
      <c r="A72"/>
    </row>
    <row r="73" spans="1:16" ht="13.8" x14ac:dyDescent="0.25">
      <c r="A73"/>
    </row>
    <row r="74" spans="1:16" ht="13.8" x14ac:dyDescent="0.25">
      <c r="A74"/>
    </row>
    <row r="75" spans="1:16" ht="13.8" x14ac:dyDescent="0.25">
      <c r="A75"/>
    </row>
    <row r="76" spans="1:16" ht="13.8" x14ac:dyDescent="0.25">
      <c r="A76"/>
    </row>
  </sheetData>
  <mergeCells count="1">
    <mergeCell ref="A1:O1"/>
  </mergeCells>
  <conditionalFormatting sqref="A3:A68">
    <cfRule type="timePeriod" dxfId="33" priority="1" timePeriod="yesterday">
      <formula>FLOOR(A3,1)=TODAY()-1</formula>
    </cfRule>
  </conditionalFormatting>
  <conditionalFormatting sqref="A3:B68">
    <cfRule type="duplicateValues" dxfId="32" priority="2"/>
  </conditionalFormatting>
  <conditionalFormatting sqref="C3:L68">
    <cfRule type="cellIs" dxfId="31" priority="3" operator="lessThan">
      <formula>50</formula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F9B2-CB9B-4D05-8C77-BB9947098AB1}">
  <sheetPr>
    <tabColor rgb="FF002060"/>
  </sheetPr>
  <dimension ref="A1:R78"/>
  <sheetViews>
    <sheetView rightToLeft="1" topLeftCell="A26" workbookViewId="0">
      <selection activeCell="R3" sqref="R3"/>
    </sheetView>
  </sheetViews>
  <sheetFormatPr defaultRowHeight="13.8" x14ac:dyDescent="0.25"/>
  <cols>
    <col min="2" max="2" width="32" customWidth="1"/>
    <col min="3" max="12" width="5.19921875" customWidth="1"/>
    <col min="13" max="13" width="9.796875" bestFit="1" customWidth="1"/>
    <col min="14" max="14" width="9.296875" bestFit="1" customWidth="1"/>
    <col min="15" max="16" width="5.19921875" customWidth="1"/>
    <col min="17" max="17" width="9.296875" bestFit="1" customWidth="1"/>
    <col min="18" max="18" width="5.09765625" customWidth="1"/>
  </cols>
  <sheetData>
    <row r="1" spans="1:18" ht="49.5" customHeight="1" x14ac:dyDescent="0.25">
      <c r="M1" s="7"/>
    </row>
    <row r="2" spans="1:18" ht="88.5" customHeight="1" x14ac:dyDescent="0.25">
      <c r="A2" s="8" t="s">
        <v>89</v>
      </c>
      <c r="B2" s="9" t="s">
        <v>90</v>
      </c>
      <c r="C2" s="10" t="s">
        <v>91</v>
      </c>
      <c r="D2" s="10" t="s">
        <v>92</v>
      </c>
      <c r="E2" s="10" t="s">
        <v>93</v>
      </c>
      <c r="F2" s="10" t="s">
        <v>94</v>
      </c>
      <c r="G2" s="10" t="s">
        <v>95</v>
      </c>
      <c r="H2" s="10" t="s">
        <v>96</v>
      </c>
      <c r="I2" s="10" t="s">
        <v>97</v>
      </c>
      <c r="J2" s="10" t="s">
        <v>98</v>
      </c>
      <c r="K2" s="10" t="s">
        <v>99</v>
      </c>
      <c r="L2" s="10" t="s">
        <v>100</v>
      </c>
      <c r="M2" s="11" t="s">
        <v>13</v>
      </c>
      <c r="N2" s="12" t="s">
        <v>101</v>
      </c>
      <c r="O2" s="13" t="s">
        <v>102</v>
      </c>
      <c r="P2" s="12" t="s">
        <v>103</v>
      </c>
      <c r="Q2" s="12" t="s">
        <v>16</v>
      </c>
      <c r="R2" s="14" t="s">
        <v>104</v>
      </c>
    </row>
    <row r="3" spans="1:18" ht="34.200000000000003" x14ac:dyDescent="0.25">
      <c r="A3" s="15">
        <v>2023035</v>
      </c>
      <c r="B3" s="16" t="s">
        <v>58</v>
      </c>
      <c r="C3" s="17">
        <f>SUM('[1]م الثالث'!C71:D71)</f>
        <v>95</v>
      </c>
      <c r="D3" s="17">
        <f>SUM('[1]م الثالث'!E71:F71)</f>
        <v>90</v>
      </c>
      <c r="E3" s="17">
        <f>SUM('[1]م الثالث'!G71:H71)</f>
        <v>94</v>
      </c>
      <c r="F3" s="17">
        <f>SUM('[1]م الثالث'!I71:J71)</f>
        <v>90</v>
      </c>
      <c r="G3" s="17">
        <f>SUM('[1]م الثالث'!K71:L71)</f>
        <v>92</v>
      </c>
      <c r="H3" s="17">
        <f>SUM('[1]م الثالث'!M71:N71)</f>
        <v>94</v>
      </c>
      <c r="I3" s="17">
        <f>SUM('[1]م الثالث'!O71:P71)</f>
        <v>97</v>
      </c>
      <c r="J3" s="17">
        <f>SUM('[1]م الثالث'!Q71:R71)</f>
        <v>100</v>
      </c>
      <c r="K3" s="17">
        <f>SUM('[1]م الثالث'!S71:T71)</f>
        <v>94</v>
      </c>
      <c r="L3" s="17">
        <f>SUM('[1]م الثالث'!U71:V71)</f>
        <v>90</v>
      </c>
      <c r="M3" s="18">
        <f>SUM(الجدول1[[#This Row],[القرآن الكريم  ]:[English(3)]])</f>
        <v>936</v>
      </c>
      <c r="N3" s="19">
        <f>الجدول1[[#This Row],[المجموع]]/10</f>
        <v>93.6</v>
      </c>
      <c r="O3" s="20">
        <f>COUNTIF(الجدول1[[#This Row],[القرآن الكريم  ]:[English(3)]],"&lt;50")</f>
        <v>0</v>
      </c>
      <c r="P3" s="21" t="str">
        <f>VLOOKUP(الجدول1[[#This Row],[مواد الرسوب]],'[1]النتائج م1'!$W$6:$X$8,2,TRUE)</f>
        <v>ناجح</v>
      </c>
      <c r="Q3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ممتاز</v>
      </c>
      <c r="R3" s="23">
        <f>RANK(الجدول1[[#This Row],[النسبة ]],الجدول1[[النسبة ]],0)</f>
        <v>1</v>
      </c>
    </row>
    <row r="4" spans="1:18" ht="34.200000000000003" x14ac:dyDescent="0.25">
      <c r="A4" s="15">
        <v>2023085</v>
      </c>
      <c r="B4" s="16" t="s">
        <v>59</v>
      </c>
      <c r="C4" s="17">
        <f>SUM('[1]م الثالث'!C77:D77)</f>
        <v>99</v>
      </c>
      <c r="D4" s="17">
        <f>SUM('[1]م الثالث'!E77:F77)</f>
        <v>90</v>
      </c>
      <c r="E4" s="17">
        <f>SUM('[1]م الثالث'!G77:H77)</f>
        <v>100</v>
      </c>
      <c r="F4" s="17">
        <f>SUM('[1]م الثالث'!I77:J77)</f>
        <v>90</v>
      </c>
      <c r="G4" s="17">
        <f>SUM('[1]م الثالث'!K77:L77)</f>
        <v>100</v>
      </c>
      <c r="H4" s="17">
        <f>SUM('[1]م الثالث'!M77:N77)</f>
        <v>85</v>
      </c>
      <c r="I4" s="17">
        <f>SUM('[1]م الثالث'!O77:P77)</f>
        <v>92</v>
      </c>
      <c r="J4" s="17">
        <f>SUM('[1]م الثالث'!Q77:R77)</f>
        <v>82</v>
      </c>
      <c r="K4" s="17">
        <f>SUM('[1]م الثالث'!S77:T77)</f>
        <v>89</v>
      </c>
      <c r="L4" s="17">
        <f>SUM('[1]م الثالث'!U77:V77)</f>
        <v>90</v>
      </c>
      <c r="M4" s="18">
        <f>SUM(الجدول1[[#This Row],[القرآن الكريم  ]:[English(3)]])</f>
        <v>917</v>
      </c>
      <c r="N4" s="19">
        <f>الجدول1[[#This Row],[المجموع]]/10</f>
        <v>91.7</v>
      </c>
      <c r="O4" s="20">
        <f>COUNTIF(الجدول1[[#This Row],[القرآن الكريم  ]:[English(3)]],"&lt;50")</f>
        <v>0</v>
      </c>
      <c r="P4" s="21" t="str">
        <f>VLOOKUP(الجدول1[[#This Row],[مواد الرسوب]],'[1]النتائج م1'!$W$6:$X$8,2,TRUE)</f>
        <v>ناجح</v>
      </c>
      <c r="Q4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ممتاز</v>
      </c>
      <c r="R4" s="23">
        <f>RANK(الجدول1[[#This Row],[النسبة ]],الجدول1[[النسبة ]],0)</f>
        <v>2</v>
      </c>
    </row>
    <row r="5" spans="1:18" ht="34.200000000000003" x14ac:dyDescent="0.25">
      <c r="A5" s="15">
        <v>2023027</v>
      </c>
      <c r="B5" s="16" t="s">
        <v>73</v>
      </c>
      <c r="C5" s="17">
        <f>SUM('[1]م الثالث'!C19:D19)</f>
        <v>98</v>
      </c>
      <c r="D5" s="17">
        <f>SUM('[1]م الثالث'!E19:F19)</f>
        <v>83</v>
      </c>
      <c r="E5" s="17">
        <f>SUM('[1]م الثالث'!G19:H19)</f>
        <v>93</v>
      </c>
      <c r="F5" s="17">
        <f>SUM('[1]م الثالث'!I19:J19)</f>
        <v>98</v>
      </c>
      <c r="G5" s="17">
        <f>SUM('[1]م الثالث'!K19:L19)</f>
        <v>89</v>
      </c>
      <c r="H5" s="17">
        <f>SUM('[1]م الثالث'!M19:N19)</f>
        <v>95</v>
      </c>
      <c r="I5" s="17">
        <f>SUM('[1]م الثالث'!O19:P19)</f>
        <v>100</v>
      </c>
      <c r="J5" s="17">
        <f>SUM('[1]م الثالث'!Q19:R19)</f>
        <v>85</v>
      </c>
      <c r="K5" s="17">
        <f>SUM('[1]م الثالث'!S19:T19)</f>
        <v>89</v>
      </c>
      <c r="L5" s="17">
        <f>SUM('[1]م الثالث'!U19:V19)</f>
        <v>70</v>
      </c>
      <c r="M5" s="18">
        <f>SUM(الجدول1[[#This Row],[القرآن الكريم  ]:[English(3)]])</f>
        <v>900</v>
      </c>
      <c r="N5" s="19">
        <f>الجدول1[[#This Row],[المجموع]]/10</f>
        <v>90</v>
      </c>
      <c r="O5" s="20">
        <f>COUNTIF(الجدول1[[#This Row],[القرآن الكريم  ]:[English(3)]],"&lt;50")</f>
        <v>0</v>
      </c>
      <c r="P5" s="21" t="str">
        <f>VLOOKUP(الجدول1[[#This Row],[مواد الرسوب]],'[1]النتائج م1'!$W$6:$X$8,2,TRUE)</f>
        <v>ناجح</v>
      </c>
      <c r="Q5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ممتاز</v>
      </c>
      <c r="R5" s="23">
        <f>RANK(الجدول1[[#This Row],[النسبة ]],الجدول1[[النسبة ]],0)</f>
        <v>3</v>
      </c>
    </row>
    <row r="6" spans="1:18" ht="34.200000000000003" x14ac:dyDescent="0.25">
      <c r="A6" s="15">
        <v>2023002</v>
      </c>
      <c r="B6" s="16" t="s">
        <v>71</v>
      </c>
      <c r="C6" s="17">
        <f>SUM('[1]م الثالث'!C7:D7)</f>
        <v>97</v>
      </c>
      <c r="D6" s="17">
        <f>SUM('[1]م الثالث'!E7:F7)</f>
        <v>90</v>
      </c>
      <c r="E6" s="17">
        <f>SUM('[1]م الثالث'!G7:H7)</f>
        <v>93</v>
      </c>
      <c r="F6" s="17">
        <f>SUM('[1]م الثالث'!I7:J7)</f>
        <v>98</v>
      </c>
      <c r="G6" s="17">
        <f>SUM('[1]م الثالث'!K7:L7)</f>
        <v>100</v>
      </c>
      <c r="H6" s="17">
        <f>SUM('[1]م الثالث'!M7:N7)</f>
        <v>77</v>
      </c>
      <c r="I6" s="17">
        <f>SUM('[1]م الثالث'!O7:P7)</f>
        <v>96</v>
      </c>
      <c r="J6" s="17">
        <f>SUM('[1]م الثالث'!Q7:R7)</f>
        <v>90</v>
      </c>
      <c r="K6" s="17">
        <f>SUM('[1]م الثالث'!S7:T7)</f>
        <v>85</v>
      </c>
      <c r="L6" s="17">
        <f>SUM('[1]م الثالث'!U7:V7)</f>
        <v>71</v>
      </c>
      <c r="M6" s="18">
        <f>SUM(الجدول1[[#This Row],[القرآن الكريم  ]:[English(3)]])</f>
        <v>897</v>
      </c>
      <c r="N6" s="19">
        <f>الجدول1[[#This Row],[المجموع]]/10</f>
        <v>89.7</v>
      </c>
      <c r="O6" s="20">
        <f>COUNTIF(الجدول1[[#This Row],[القرآن الكريم  ]:[English(3)]],"&lt;50")</f>
        <v>0</v>
      </c>
      <c r="P6" s="21" t="str">
        <f>VLOOKUP(الجدول1[[#This Row],[مواد الرسوب]],'[1]النتائج م1'!$W$6:$X$8,2,TRUE)</f>
        <v>ناجح</v>
      </c>
      <c r="Q6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ممتاز</v>
      </c>
      <c r="R6" s="23">
        <f>RANK(الجدول1[[#This Row],[النسبة ]],الجدول1[[النسبة ]],0)</f>
        <v>4</v>
      </c>
    </row>
    <row r="7" spans="1:18" ht="34.200000000000003" x14ac:dyDescent="0.25">
      <c r="A7" s="15">
        <v>2023097</v>
      </c>
      <c r="B7" s="16" t="s">
        <v>19</v>
      </c>
      <c r="C7" s="17">
        <f>SUM('[1]م الثالث'!C56:D56)</f>
        <v>98</v>
      </c>
      <c r="D7" s="17">
        <f>SUM('[1]م الثالث'!E56:F56)</f>
        <v>90</v>
      </c>
      <c r="E7" s="17">
        <f>SUM('[1]م الثالث'!G56:H56)</f>
        <v>92</v>
      </c>
      <c r="F7" s="17">
        <f>SUM('[1]م الثالث'!I56:J56)</f>
        <v>100</v>
      </c>
      <c r="G7" s="17">
        <f>SUM('[1]م الثالث'!K56:L56)</f>
        <v>82</v>
      </c>
      <c r="H7" s="17">
        <f>SUM('[1]م الثالث'!M56:N56)</f>
        <v>95</v>
      </c>
      <c r="I7" s="17">
        <f>SUM('[1]م الثالث'!O56:P56)</f>
        <v>93</v>
      </c>
      <c r="J7" s="17">
        <f>SUM('[1]م الثالث'!Q56:R56)</f>
        <v>100</v>
      </c>
      <c r="K7" s="17">
        <f>SUM('[1]م الثالث'!S56:T56)</f>
        <v>79</v>
      </c>
      <c r="L7" s="17">
        <f>SUM('[1]م الثالث'!U56:V56)</f>
        <v>53</v>
      </c>
      <c r="M7" s="18">
        <f>SUM(الجدول1[[#This Row],[القرآن الكريم  ]:[English(3)]])</f>
        <v>882</v>
      </c>
      <c r="N7" s="19">
        <f>الجدول1[[#This Row],[المجموع]]/10</f>
        <v>88.2</v>
      </c>
      <c r="O7" s="20">
        <f>COUNTIF(الجدول1[[#This Row],[القرآن الكريم  ]:[English(3)]],"&lt;50")</f>
        <v>0</v>
      </c>
      <c r="P7" s="21" t="str">
        <f>VLOOKUP(الجدول1[[#This Row],[مواد الرسوب]],'[1]النتائج م1'!$W$6:$X$8,2,TRUE)</f>
        <v>ناجح</v>
      </c>
      <c r="Q7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ممتاز</v>
      </c>
      <c r="R7" s="23">
        <f>RANK(الجدول1[[#This Row],[النسبة ]],الجدول1[[النسبة ]],0)</f>
        <v>5</v>
      </c>
    </row>
    <row r="8" spans="1:18" ht="34.200000000000003" x14ac:dyDescent="0.25">
      <c r="A8" s="15">
        <v>2023001</v>
      </c>
      <c r="B8" s="16" t="s">
        <v>72</v>
      </c>
      <c r="C8" s="17">
        <f>SUM('[1]م الثالث'!C6:D6)</f>
        <v>96</v>
      </c>
      <c r="D8" s="17">
        <f>SUM('[1]م الثالث'!E6:F6)</f>
        <v>83</v>
      </c>
      <c r="E8" s="17">
        <f>SUM('[1]م الثالث'!G6:H6)</f>
        <v>98</v>
      </c>
      <c r="F8" s="17">
        <f>SUM('[1]م الثالث'!I6:J6)</f>
        <v>90</v>
      </c>
      <c r="G8" s="17">
        <f>SUM('[1]م الثالث'!K6:L6)</f>
        <v>70</v>
      </c>
      <c r="H8" s="17">
        <f>SUM('[1]م الثالث'!M6:N6)</f>
        <v>83</v>
      </c>
      <c r="I8" s="17">
        <f>SUM('[1]م الثالث'!O6:P6)</f>
        <v>85</v>
      </c>
      <c r="J8" s="17">
        <f>SUM('[1]م الثالث'!Q6:R6)</f>
        <v>90</v>
      </c>
      <c r="K8" s="17">
        <f>SUM('[1]م الثالث'!S6:T6)</f>
        <v>88</v>
      </c>
      <c r="L8" s="17">
        <f>SUM('[1]م الثالث'!U6:V6)</f>
        <v>92</v>
      </c>
      <c r="M8" s="18">
        <f>SUM(الجدول1[[#This Row],[القرآن الكريم  ]:[English(3)]])</f>
        <v>875</v>
      </c>
      <c r="N8" s="19">
        <f>الجدول1[[#This Row],[المجموع]]/10</f>
        <v>87.5</v>
      </c>
      <c r="O8" s="20">
        <f>COUNTIF(الجدول1[[#This Row],[القرآن الكريم  ]:[English(3)]],"&lt;50")</f>
        <v>0</v>
      </c>
      <c r="P8" s="21" t="str">
        <f>VLOOKUP(الجدول1[[#This Row],[مواد الرسوب]],'[1]النتائج م1'!$W$6:$X$8,2,TRUE)</f>
        <v>ناجح</v>
      </c>
      <c r="Q8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ممتاز</v>
      </c>
      <c r="R8" s="23">
        <f>RANK(الجدول1[[#This Row],[النسبة ]],الجدول1[[النسبة ]],0)</f>
        <v>6</v>
      </c>
    </row>
    <row r="9" spans="1:18" ht="34.200000000000003" x14ac:dyDescent="0.25">
      <c r="A9" s="15">
        <v>2023053</v>
      </c>
      <c r="B9" s="16" t="s">
        <v>60</v>
      </c>
      <c r="C9" s="17">
        <f>SUM('[1]م الثالث'!C74:D74)</f>
        <v>90</v>
      </c>
      <c r="D9" s="17">
        <f>SUM('[1]م الثالث'!E74:F74)</f>
        <v>90</v>
      </c>
      <c r="E9" s="17">
        <f>SUM('[1]م الثالث'!G74:H74)</f>
        <v>85</v>
      </c>
      <c r="F9" s="17">
        <f>SUM('[1]م الثالث'!I74:J74)</f>
        <v>90</v>
      </c>
      <c r="G9" s="17">
        <f>SUM('[1]م الثالث'!K74:L74)</f>
        <v>100</v>
      </c>
      <c r="H9" s="17">
        <f>SUM('[1]م الثالث'!M74:N74)</f>
        <v>72</v>
      </c>
      <c r="I9" s="17">
        <f>SUM('[1]م الثالث'!O74:P74)</f>
        <v>77</v>
      </c>
      <c r="J9" s="17">
        <f>SUM('[1]م الثالث'!Q74:R74)</f>
        <v>75</v>
      </c>
      <c r="K9" s="17">
        <f>SUM('[1]م الثالث'!S74:T74)</f>
        <v>90</v>
      </c>
      <c r="L9" s="17">
        <f>SUM('[1]م الثالث'!U74:V74)</f>
        <v>89</v>
      </c>
      <c r="M9" s="18">
        <f>SUM(الجدول1[[#This Row],[القرآن الكريم  ]:[English(3)]])</f>
        <v>858</v>
      </c>
      <c r="N9" s="19">
        <f>الجدول1[[#This Row],[المجموع]]/10</f>
        <v>85.8</v>
      </c>
      <c r="O9" s="20">
        <f>COUNTIF(الجدول1[[#This Row],[القرآن الكريم  ]:[English(3)]],"&lt;50")</f>
        <v>0</v>
      </c>
      <c r="P9" s="21" t="str">
        <f>VLOOKUP(الجدول1[[#This Row],[مواد الرسوب]],'[1]النتائج م1'!$W$6:$X$8,2,TRUE)</f>
        <v>ناجح</v>
      </c>
      <c r="Q9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ممتاز</v>
      </c>
      <c r="R9" s="23">
        <f>RANK(الجدول1[[#This Row],[النسبة ]],الجدول1[[النسبة ]],0)</f>
        <v>7</v>
      </c>
    </row>
    <row r="10" spans="1:18" ht="34.200000000000003" x14ac:dyDescent="0.25">
      <c r="A10" s="15">
        <v>2023041</v>
      </c>
      <c r="B10" s="16" t="s">
        <v>64</v>
      </c>
      <c r="C10" s="17">
        <f>SUM('[1]م الثالث'!C73:D73)</f>
        <v>96</v>
      </c>
      <c r="D10" s="17">
        <f>SUM('[1]م الثالث'!E73:F73)</f>
        <v>90</v>
      </c>
      <c r="E10" s="17">
        <f>SUM('[1]م الثالث'!G73:H73)</f>
        <v>79</v>
      </c>
      <c r="F10" s="17">
        <f>SUM('[1]م الثالث'!I73:J73)</f>
        <v>90</v>
      </c>
      <c r="G10" s="17">
        <f>SUM('[1]م الثالث'!K73:L73)</f>
        <v>100</v>
      </c>
      <c r="H10" s="17">
        <f>SUM('[1]م الثالث'!M73:N73)</f>
        <v>88</v>
      </c>
      <c r="I10" s="17">
        <f>SUM('[1]م الثالث'!O73:P73)</f>
        <v>90</v>
      </c>
      <c r="J10" s="17">
        <f>SUM('[1]م الثالث'!Q73:R73)</f>
        <v>75</v>
      </c>
      <c r="K10" s="17">
        <f>SUM('[1]م الثالث'!S73:T73)</f>
        <v>67</v>
      </c>
      <c r="L10" s="17">
        <f>SUM('[1]م الثالث'!U73:V73)</f>
        <v>81</v>
      </c>
      <c r="M10" s="18">
        <f>SUM(الجدول1[[#This Row],[القرآن الكريم  ]:[English(3)]])</f>
        <v>856</v>
      </c>
      <c r="N10" s="19">
        <f>الجدول1[[#This Row],[المجموع]]/10</f>
        <v>85.6</v>
      </c>
      <c r="O10" s="20">
        <f>COUNTIF(الجدول1[[#This Row],[القرآن الكريم  ]:[English(3)]],"&lt;50")</f>
        <v>0</v>
      </c>
      <c r="P10" s="21" t="str">
        <f>VLOOKUP(الجدول1[[#This Row],[مواد الرسوب]],'[1]النتائج م1'!$W$6:$X$8,2,TRUE)</f>
        <v>ناجح</v>
      </c>
      <c r="Q10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ممتاز</v>
      </c>
      <c r="R10" s="23">
        <f>RANK(الجدول1[[#This Row],[النسبة ]],الجدول1[[النسبة ]],0)</f>
        <v>8</v>
      </c>
    </row>
    <row r="11" spans="1:18" ht="34.200000000000003" x14ac:dyDescent="0.25">
      <c r="A11" s="15">
        <v>2023023</v>
      </c>
      <c r="B11" s="16" t="s">
        <v>61</v>
      </c>
      <c r="C11" s="17">
        <f>SUM('[1]م الثالث'!C69:D69)</f>
        <v>80</v>
      </c>
      <c r="D11" s="17">
        <f>SUM('[1]م الثالث'!E69:F69)</f>
        <v>88</v>
      </c>
      <c r="E11" s="17">
        <f>SUM('[1]م الثالث'!G69:H69)</f>
        <v>84</v>
      </c>
      <c r="F11" s="17">
        <f>SUM('[1]م الثالث'!I69:J69)</f>
        <v>90</v>
      </c>
      <c r="G11" s="17">
        <f>SUM('[1]م الثالث'!K69:L69)</f>
        <v>95</v>
      </c>
      <c r="H11" s="17">
        <f>SUM('[1]م الثالث'!M69:N69)</f>
        <v>74</v>
      </c>
      <c r="I11" s="17">
        <f>SUM('[1]م الثالث'!O69:P69)</f>
        <v>80</v>
      </c>
      <c r="J11" s="17">
        <f>SUM('[1]م الثالث'!Q69:R69)</f>
        <v>88</v>
      </c>
      <c r="K11" s="17">
        <f>SUM('[1]م الثالث'!S69:T69)</f>
        <v>82</v>
      </c>
      <c r="L11" s="17">
        <f>SUM('[1]م الثالث'!U69:V69)</f>
        <v>93</v>
      </c>
      <c r="M11" s="18">
        <f>SUM(الجدول1[[#This Row],[القرآن الكريم  ]:[English(3)]])</f>
        <v>854</v>
      </c>
      <c r="N11" s="19">
        <f>الجدول1[[#This Row],[المجموع]]/10</f>
        <v>85.4</v>
      </c>
      <c r="O11" s="20">
        <f>COUNTIF(الجدول1[[#This Row],[القرآن الكريم  ]:[English(3)]],"&lt;50")</f>
        <v>0</v>
      </c>
      <c r="P11" s="21" t="str">
        <f>VLOOKUP(الجدول1[[#This Row],[مواد الرسوب]],'[1]النتائج م1'!$W$6:$X$8,2,TRUE)</f>
        <v>ناجح</v>
      </c>
      <c r="Q11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ممتاز</v>
      </c>
      <c r="R11" s="23">
        <f>RANK(الجدول1[[#This Row],[النسبة ]],الجدول1[[النسبة ]],0)</f>
        <v>9</v>
      </c>
    </row>
    <row r="12" spans="1:18" ht="34.200000000000003" x14ac:dyDescent="0.25">
      <c r="A12" s="15">
        <v>2023084</v>
      </c>
      <c r="B12" s="24" t="s">
        <v>62</v>
      </c>
      <c r="C12" s="17">
        <f>SUM('[1]م الثالث'!C76:D76)</f>
        <v>91</v>
      </c>
      <c r="D12" s="17">
        <f>SUM('[1]م الثالث'!E76:F76)</f>
        <v>89</v>
      </c>
      <c r="E12" s="17">
        <f>SUM('[1]م الثالث'!G76:H76)</f>
        <v>82</v>
      </c>
      <c r="F12" s="17">
        <f>SUM('[1]م الثالث'!I76:J76)</f>
        <v>90</v>
      </c>
      <c r="G12" s="17">
        <f>SUM('[1]م الثالث'!K76:L76)</f>
        <v>100</v>
      </c>
      <c r="H12" s="17">
        <f>SUM('[1]م الثالث'!M76:N76)</f>
        <v>75</v>
      </c>
      <c r="I12" s="17">
        <f>SUM('[1]م الثالث'!O76:P76)</f>
        <v>70</v>
      </c>
      <c r="J12" s="17">
        <f>SUM('[1]م الثالث'!Q76:R76)</f>
        <v>93</v>
      </c>
      <c r="K12" s="17">
        <f>SUM('[1]م الثالث'!S76:T76)</f>
        <v>83</v>
      </c>
      <c r="L12" s="17">
        <f>SUM('[1]م الثالث'!U76:V76)</f>
        <v>80</v>
      </c>
      <c r="M12" s="18">
        <f>SUM(الجدول1[[#This Row],[القرآن الكريم  ]:[English(3)]])</f>
        <v>853</v>
      </c>
      <c r="N12" s="19">
        <f>الجدول1[[#This Row],[المجموع]]/10</f>
        <v>85.3</v>
      </c>
      <c r="O12" s="20">
        <f>COUNTIF(الجدول1[[#This Row],[القرآن الكريم  ]:[English(3)]],"&lt;50")</f>
        <v>0</v>
      </c>
      <c r="P12" s="21" t="str">
        <f>VLOOKUP(الجدول1[[#This Row],[مواد الرسوب]],'[1]النتائج م1'!$W$6:$X$8,2,TRUE)</f>
        <v>ناجح</v>
      </c>
      <c r="Q12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ممتاز</v>
      </c>
      <c r="R12" s="23">
        <f>RANK(الجدول1[[#This Row],[النسبة ]],الجدول1[[النسبة ]],0)</f>
        <v>10</v>
      </c>
    </row>
    <row r="13" spans="1:18" ht="34.200000000000003" x14ac:dyDescent="0.25">
      <c r="A13" s="15">
        <v>2023110</v>
      </c>
      <c r="B13" s="16" t="s">
        <v>28</v>
      </c>
      <c r="C13" s="17">
        <f>SUM('[1]م الثالث'!C63:D63)</f>
        <v>98</v>
      </c>
      <c r="D13" s="17">
        <f>SUM('[1]م الثالث'!E63:F63)</f>
        <v>90</v>
      </c>
      <c r="E13" s="17">
        <f>SUM('[1]م الثالث'!G63:H63)</f>
        <v>90</v>
      </c>
      <c r="F13" s="17">
        <f>SUM('[1]م الثالث'!I63:J63)</f>
        <v>89</v>
      </c>
      <c r="G13" s="17">
        <f>SUM('[1]م الثالث'!K63:L63)</f>
        <v>75</v>
      </c>
      <c r="H13" s="17">
        <f>SUM('[1]م الثالث'!M63:N63)</f>
        <v>79</v>
      </c>
      <c r="I13" s="17">
        <f>SUM('[1]م الثالث'!O63:P63)</f>
        <v>87</v>
      </c>
      <c r="J13" s="17">
        <f>SUM('[1]م الثالث'!Q63:R63)</f>
        <v>80</v>
      </c>
      <c r="K13" s="17">
        <f>SUM('[1]م الثالث'!S63:T63)</f>
        <v>69</v>
      </c>
      <c r="L13" s="17">
        <f>SUM('[1]م الثالث'!U63:V63)</f>
        <v>94</v>
      </c>
      <c r="M13" s="18">
        <f>SUM(الجدول1[[#This Row],[القرآن الكريم  ]:[English(3)]])</f>
        <v>851</v>
      </c>
      <c r="N13" s="19">
        <f>الجدول1[[#This Row],[المجموع]]/10</f>
        <v>85.1</v>
      </c>
      <c r="O13" s="20">
        <f>COUNTIF(الجدول1[[#This Row],[القرآن الكريم  ]:[English(3)]],"&lt;50")</f>
        <v>0</v>
      </c>
      <c r="P13" s="21" t="str">
        <f>VLOOKUP(الجدول1[[#This Row],[مواد الرسوب]],'[1]النتائج م1'!$W$6:$X$8,2,TRUE)</f>
        <v>ناجح</v>
      </c>
      <c r="Q13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ممتاز</v>
      </c>
      <c r="R13" s="23">
        <f>RANK(الجدول1[[#This Row],[النسبة ]],الجدول1[[النسبة ]],0)</f>
        <v>11</v>
      </c>
    </row>
    <row r="14" spans="1:18" ht="34.200000000000003" x14ac:dyDescent="0.25">
      <c r="A14" s="15">
        <v>2023045</v>
      </c>
      <c r="B14" s="16" t="s">
        <v>81</v>
      </c>
      <c r="C14" s="17">
        <f>SUM('[1]م الثالث'!C27:D27)</f>
        <v>93</v>
      </c>
      <c r="D14" s="17">
        <f>SUM('[1]م الثالث'!E27:F27)</f>
        <v>75</v>
      </c>
      <c r="E14" s="17">
        <f>SUM('[1]م الثالث'!G27:H27)</f>
        <v>84</v>
      </c>
      <c r="F14" s="17">
        <f>SUM('[1]م الثالث'!I27:J27)</f>
        <v>91</v>
      </c>
      <c r="G14" s="17">
        <f>SUM('[1]م الثالث'!K27:L27)</f>
        <v>70</v>
      </c>
      <c r="H14" s="17">
        <f>SUM('[1]م الثالث'!M27:N27)</f>
        <v>88</v>
      </c>
      <c r="I14" s="17">
        <f>SUM('[1]م الثالث'!O27:P27)</f>
        <v>94</v>
      </c>
      <c r="J14" s="17">
        <f>SUM('[1]م الثالث'!Q27:R27)</f>
        <v>75</v>
      </c>
      <c r="K14" s="17">
        <f>SUM('[1]م الثالث'!S27:T27)</f>
        <v>84</v>
      </c>
      <c r="L14" s="17">
        <f>SUM('[1]م الثالث'!U27:V27)</f>
        <v>90</v>
      </c>
      <c r="M14" s="18">
        <f>SUM(الجدول1[[#This Row],[القرآن الكريم  ]:[English(3)]])</f>
        <v>844</v>
      </c>
      <c r="N14" s="19">
        <f>الجدول1[[#This Row],[المجموع]]/10</f>
        <v>84.4</v>
      </c>
      <c r="O14" s="20">
        <f>COUNTIF(الجدول1[[#This Row],[القرآن الكريم  ]:[English(3)]],"&lt;50")</f>
        <v>0</v>
      </c>
      <c r="P14" s="21" t="str">
        <f>VLOOKUP(الجدول1[[#This Row],[مواد الرسوب]],'[1]النتائج م1'!$W$6:$X$8,2,TRUE)</f>
        <v>ناجح</v>
      </c>
      <c r="Q14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14" s="23">
        <f>RANK(الجدول1[[#This Row],[النسبة ]],الجدول1[[النسبة ]],0)</f>
        <v>12</v>
      </c>
    </row>
    <row r="15" spans="1:18" ht="34.200000000000003" x14ac:dyDescent="0.25">
      <c r="A15" s="15">
        <v>2023090</v>
      </c>
      <c r="B15" s="16" t="s">
        <v>20</v>
      </c>
      <c r="C15" s="17">
        <f>SUM('[1]م الثالث'!C50:D50)</f>
        <v>98</v>
      </c>
      <c r="D15" s="17">
        <f>SUM('[1]م الثالث'!E50:F50)</f>
        <v>78</v>
      </c>
      <c r="E15" s="17">
        <f>SUM('[1]م الثالث'!G50:H50)</f>
        <v>82</v>
      </c>
      <c r="F15" s="17">
        <f>SUM('[1]م الثالث'!I50:J50)</f>
        <v>89</v>
      </c>
      <c r="G15" s="17">
        <f>SUM('[1]م الثالث'!K50:L50)</f>
        <v>67</v>
      </c>
      <c r="H15" s="17">
        <f>SUM('[1]م الثالث'!M50:N50)</f>
        <v>86</v>
      </c>
      <c r="I15" s="17">
        <f>SUM('[1]م الثالث'!O50:P50)</f>
        <v>77</v>
      </c>
      <c r="J15" s="17">
        <f>SUM('[1]م الثالث'!Q50:R50)</f>
        <v>95</v>
      </c>
      <c r="K15" s="17">
        <f>SUM('[1]م الثالث'!S50:T50)</f>
        <v>88</v>
      </c>
      <c r="L15" s="17">
        <f>SUM('[1]م الثالث'!U50:V50)</f>
        <v>83</v>
      </c>
      <c r="M15" s="18">
        <f>SUM(الجدول1[[#This Row],[القرآن الكريم  ]:[English(3)]])</f>
        <v>843</v>
      </c>
      <c r="N15" s="19">
        <f>الجدول1[[#This Row],[المجموع]]/10</f>
        <v>84.3</v>
      </c>
      <c r="O15" s="20">
        <f>COUNTIF(الجدول1[[#This Row],[القرآن الكريم  ]:[English(3)]],"&lt;50")</f>
        <v>0</v>
      </c>
      <c r="P15" s="21" t="str">
        <f>VLOOKUP(الجدول1[[#This Row],[مواد الرسوب]],'[1]النتائج م1'!$W$6:$X$8,2,TRUE)</f>
        <v>ناجح</v>
      </c>
      <c r="Q15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15" s="23">
        <f>RANK(الجدول1[[#This Row],[النسبة ]],الجدول1[[النسبة ]],0)</f>
        <v>13</v>
      </c>
    </row>
    <row r="16" spans="1:18" ht="34.200000000000003" x14ac:dyDescent="0.25">
      <c r="A16" s="15">
        <v>2023069</v>
      </c>
      <c r="B16" s="16" t="s">
        <v>21</v>
      </c>
      <c r="C16" s="17">
        <f>SUM('[1]م الثالث'!C39:D39)</f>
        <v>92</v>
      </c>
      <c r="D16" s="17">
        <f>SUM('[1]م الثالث'!E39:F39)</f>
        <v>70</v>
      </c>
      <c r="E16" s="17">
        <f>SUM('[1]م الثالث'!G39:H39)</f>
        <v>91</v>
      </c>
      <c r="F16" s="17">
        <f>SUM('[1]م الثالث'!I39:J39)</f>
        <v>91</v>
      </c>
      <c r="G16" s="17">
        <f>SUM('[1]م الثالث'!K39:L39)</f>
        <v>76</v>
      </c>
      <c r="H16" s="17">
        <f>SUM('[1]م الثالث'!M39:N39)</f>
        <v>81</v>
      </c>
      <c r="I16" s="17">
        <f>SUM('[1]م الثالث'!O39:P39)</f>
        <v>95</v>
      </c>
      <c r="J16" s="17">
        <f>SUM('[1]م الثالث'!Q39:R39)</f>
        <v>80</v>
      </c>
      <c r="K16" s="17">
        <f>SUM('[1]م الثالث'!S39:T39)</f>
        <v>78</v>
      </c>
      <c r="L16" s="17">
        <f>SUM('[1]م الثالث'!U39:V39)</f>
        <v>77</v>
      </c>
      <c r="M16" s="18">
        <f>SUM(الجدول1[[#This Row],[القرآن الكريم  ]:[English(3)]])</f>
        <v>831</v>
      </c>
      <c r="N16" s="19">
        <f>الجدول1[[#This Row],[المجموع]]/10</f>
        <v>83.1</v>
      </c>
      <c r="O16" s="20">
        <f>COUNTIF(الجدول1[[#This Row],[القرآن الكريم  ]:[English(3)]],"&lt;50")</f>
        <v>0</v>
      </c>
      <c r="P16" s="21" t="str">
        <f>VLOOKUP(الجدول1[[#This Row],[مواد الرسوب]],'[1]النتائج م1'!$W$6:$X$8,2,TRUE)</f>
        <v>ناجح</v>
      </c>
      <c r="Q16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16" s="23">
        <f>RANK(الجدول1[[#This Row],[النسبة ]],الجدول1[[النسبة ]],0)</f>
        <v>14</v>
      </c>
    </row>
    <row r="17" spans="1:18" ht="34.200000000000003" x14ac:dyDescent="0.25">
      <c r="A17" s="15">
        <v>2023065</v>
      </c>
      <c r="B17" s="16" t="s">
        <v>29</v>
      </c>
      <c r="C17" s="17">
        <f>SUM('[1]م الثالث'!C36:D36)</f>
        <v>92</v>
      </c>
      <c r="D17" s="17">
        <f>SUM('[1]م الثالث'!E36:F36)</f>
        <v>82</v>
      </c>
      <c r="E17" s="17">
        <f>SUM('[1]م الثالث'!G36:H36)</f>
        <v>81</v>
      </c>
      <c r="F17" s="17">
        <f>SUM('[1]م الثالث'!I36:J36)</f>
        <v>94</v>
      </c>
      <c r="G17" s="17">
        <f>SUM('[1]م الثالث'!K36:L36)</f>
        <v>70</v>
      </c>
      <c r="H17" s="17">
        <f>SUM('[1]م الثالث'!M36:N36)</f>
        <v>80</v>
      </c>
      <c r="I17" s="17">
        <f>SUM('[1]م الثالث'!O36:P36)</f>
        <v>83</v>
      </c>
      <c r="J17" s="17">
        <f>SUM('[1]م الثالث'!Q36:R36)</f>
        <v>80</v>
      </c>
      <c r="K17" s="17">
        <f>SUM('[1]م الثالث'!S36:T36)</f>
        <v>78</v>
      </c>
      <c r="L17" s="17">
        <f>SUM('[1]م الثالث'!U36:V36)</f>
        <v>89</v>
      </c>
      <c r="M17" s="18">
        <f>SUM(الجدول1[[#This Row],[القرآن الكريم  ]:[English(3)]])</f>
        <v>829</v>
      </c>
      <c r="N17" s="19">
        <f>الجدول1[[#This Row],[المجموع]]/10</f>
        <v>82.9</v>
      </c>
      <c r="O17" s="20">
        <f>COUNTIF(الجدول1[[#This Row],[القرآن الكريم  ]:[English(3)]],"&lt;50")</f>
        <v>0</v>
      </c>
      <c r="P17" s="21" t="str">
        <f>VLOOKUP(الجدول1[[#This Row],[مواد الرسوب]],'[1]النتائج م1'!$W$6:$X$8,2,TRUE)</f>
        <v>ناجح</v>
      </c>
      <c r="Q17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17" s="23">
        <f>RANK(الجدول1[[#This Row],[النسبة ]],الجدول1[[النسبة ]],0)</f>
        <v>15</v>
      </c>
    </row>
    <row r="18" spans="1:18" ht="34.200000000000003" x14ac:dyDescent="0.25">
      <c r="A18" s="15">
        <v>2023087</v>
      </c>
      <c r="B18" s="16" t="s">
        <v>22</v>
      </c>
      <c r="C18" s="17">
        <f>SUM('[1]م الثالث'!C47:D47)</f>
        <v>87</v>
      </c>
      <c r="D18" s="17">
        <f>SUM('[1]م الثالث'!E47:F47)</f>
        <v>90</v>
      </c>
      <c r="E18" s="17">
        <f>SUM('[1]م الثالث'!G47:H47)</f>
        <v>83</v>
      </c>
      <c r="F18" s="17">
        <f>SUM('[1]م الثالث'!I47:J47)</f>
        <v>94</v>
      </c>
      <c r="G18" s="17">
        <f>SUM('[1]م الثالث'!K47:L47)</f>
        <v>77</v>
      </c>
      <c r="H18" s="17">
        <f>SUM('[1]م الثالث'!M47:N47)</f>
        <v>79</v>
      </c>
      <c r="I18" s="17">
        <f>SUM('[1]م الثالث'!O47:P47)</f>
        <v>83</v>
      </c>
      <c r="J18" s="17">
        <f>SUM('[1]م الثالث'!Q47:R47)</f>
        <v>75</v>
      </c>
      <c r="K18" s="17">
        <f>SUM('[1]م الثالث'!S47:T47)</f>
        <v>97</v>
      </c>
      <c r="L18" s="17">
        <f>SUM('[1]م الثالث'!U47:V47)</f>
        <v>64</v>
      </c>
      <c r="M18" s="18">
        <f>SUM(الجدول1[[#This Row],[القرآن الكريم  ]:[English(3)]])</f>
        <v>829</v>
      </c>
      <c r="N18" s="19">
        <f>الجدول1[[#This Row],[المجموع]]/10</f>
        <v>82.9</v>
      </c>
      <c r="O18" s="20">
        <f>COUNTIF(الجدول1[[#This Row],[القرآن الكريم  ]:[English(3)]],"&lt;50")</f>
        <v>0</v>
      </c>
      <c r="P18" s="21" t="str">
        <f>VLOOKUP(الجدول1[[#This Row],[مواد الرسوب]],'[1]النتائج م1'!$W$6:$X$8,2,TRUE)</f>
        <v>ناجح</v>
      </c>
      <c r="Q18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18" s="23">
        <f>RANK(الجدول1[[#This Row],[النسبة ]],الجدول1[[النسبة ]],0)</f>
        <v>15</v>
      </c>
    </row>
    <row r="19" spans="1:18" ht="34.200000000000003" x14ac:dyDescent="0.25">
      <c r="A19" s="15">
        <v>2023038</v>
      </c>
      <c r="B19" s="27" t="s">
        <v>76</v>
      </c>
      <c r="C19" s="17">
        <f>SUM('[1]م الثالث'!C24:D24)</f>
        <v>96</v>
      </c>
      <c r="D19" s="17">
        <f>SUM('[1]م الثالث'!E24:F24)</f>
        <v>80</v>
      </c>
      <c r="E19" s="17">
        <f>SUM('[1]م الثالث'!G24:H24)</f>
        <v>81</v>
      </c>
      <c r="F19" s="17">
        <f>30+45</f>
        <v>75</v>
      </c>
      <c r="G19" s="17">
        <f>SUM('[1]م الثالث'!K24:L24)</f>
        <v>70</v>
      </c>
      <c r="H19" s="17">
        <f>SUM('[1]م الثالث'!M24:N24)</f>
        <v>100</v>
      </c>
      <c r="I19" s="17">
        <f>SUM('[1]م الثالث'!O24:P24)</f>
        <v>78</v>
      </c>
      <c r="J19" s="17">
        <f>SUM('[1]م الثالث'!Q24:R24)</f>
        <v>85</v>
      </c>
      <c r="K19" s="17">
        <f>20+65</f>
        <v>85</v>
      </c>
      <c r="L19" s="17">
        <f>SUM('[1]م الثالث'!U24:V24)</f>
        <v>75</v>
      </c>
      <c r="M19" s="18">
        <f>SUM(الجدول1[[#This Row],[القرآن الكريم  ]:[English(3)]])</f>
        <v>825</v>
      </c>
      <c r="N19" s="19">
        <f>الجدول1[[#This Row],[المجموع]]/10</f>
        <v>82.5</v>
      </c>
      <c r="O19" s="20">
        <f>COUNTIF(الجدول1[[#This Row],[القرآن الكريم  ]:[English(3)]],"&lt;50")</f>
        <v>0</v>
      </c>
      <c r="P19" s="21" t="str">
        <f>VLOOKUP(الجدول1[[#This Row],[مواد الرسوب]],'[1]النتائج م1'!$W$6:$X$8,2,TRUE)</f>
        <v>ناجح</v>
      </c>
      <c r="Q19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19" s="23">
        <f>RANK(الجدول1[[#This Row],[النسبة ]],الجدول1[[النسبة ]],0)</f>
        <v>17</v>
      </c>
    </row>
    <row r="20" spans="1:18" ht="34.200000000000003" x14ac:dyDescent="0.25">
      <c r="A20" s="15">
        <v>2023113</v>
      </c>
      <c r="B20" s="16" t="s">
        <v>25</v>
      </c>
      <c r="C20" s="17">
        <f>SUM('[1]م الثالث'!C65:D65)</f>
        <v>91</v>
      </c>
      <c r="D20" s="17">
        <f>SUM('[1]م الثالث'!E65:F65)</f>
        <v>90</v>
      </c>
      <c r="E20" s="17">
        <f>SUM('[1]م الثالث'!G65:H65)</f>
        <v>81</v>
      </c>
      <c r="F20" s="17">
        <f>SUM('[1]م الثالث'!I65:J65)</f>
        <v>92</v>
      </c>
      <c r="G20" s="17">
        <f>SUM('[1]م الثالث'!K65:L65)</f>
        <v>72</v>
      </c>
      <c r="H20" s="17">
        <f>SUM('[1]م الثالث'!M65:N65)</f>
        <v>88</v>
      </c>
      <c r="I20" s="17">
        <f>SUM('[1]م الثالث'!O65:P65)</f>
        <v>84</v>
      </c>
      <c r="J20" s="17">
        <f>SUM('[1]م الثالث'!Q65:R65)</f>
        <v>70</v>
      </c>
      <c r="K20" s="17">
        <f>SUM('[1]م الثالث'!S65:T65)</f>
        <v>93</v>
      </c>
      <c r="L20" s="17">
        <f>SUM('[1]م الثالث'!U65:V65)</f>
        <v>63</v>
      </c>
      <c r="M20" s="18">
        <f>SUM(الجدول1[[#This Row],[القرآن الكريم  ]:[English(3)]])</f>
        <v>824</v>
      </c>
      <c r="N20" s="19">
        <f>الجدول1[[#This Row],[المجموع]]/10</f>
        <v>82.4</v>
      </c>
      <c r="O20" s="20">
        <f>COUNTIF(الجدول1[[#This Row],[القرآن الكريم  ]:[English(3)]],"&lt;50")</f>
        <v>0</v>
      </c>
      <c r="P20" s="21" t="str">
        <f>VLOOKUP(الجدول1[[#This Row],[مواد الرسوب]],'[1]النتائج م1'!$W$6:$X$8,2,TRUE)</f>
        <v>ناجح</v>
      </c>
      <c r="Q20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20" s="23">
        <f>RANK(الجدول1[[#This Row],[النسبة ]],الجدول1[[النسبة ]],0)</f>
        <v>18</v>
      </c>
    </row>
    <row r="21" spans="1:18" ht="34.200000000000003" x14ac:dyDescent="0.25">
      <c r="A21" s="15">
        <v>2023056</v>
      </c>
      <c r="B21" s="16" t="s">
        <v>74</v>
      </c>
      <c r="C21" s="17">
        <f>SUM('[1]م الثالث'!C32:D32)</f>
        <v>96</v>
      </c>
      <c r="D21" s="17">
        <f>SUM('[1]م الثالث'!E32:F32)</f>
        <v>75</v>
      </c>
      <c r="E21" s="17">
        <f>SUM('[1]م الثالث'!G32:H32)</f>
        <v>78</v>
      </c>
      <c r="F21" s="17">
        <f>SUM('[1]م الثالث'!I32:J32)</f>
        <v>91</v>
      </c>
      <c r="G21" s="17">
        <f>SUM('[1]م الثالث'!K32:L32)</f>
        <v>65</v>
      </c>
      <c r="H21" s="17">
        <f>SUM('[1]م الثالث'!M32:N32)</f>
        <v>87</v>
      </c>
      <c r="I21" s="17">
        <f>SUM('[1]م الثالث'!O32:P32)</f>
        <v>93</v>
      </c>
      <c r="J21" s="17">
        <f>SUM('[1]م الثالث'!Q32:R32)</f>
        <v>80</v>
      </c>
      <c r="K21" s="17">
        <f>SUM('[1]م الثالث'!S32:T32)</f>
        <v>74</v>
      </c>
      <c r="L21" s="17">
        <f>SUM('[1]م الثالث'!U32:V32)</f>
        <v>85</v>
      </c>
      <c r="M21" s="18">
        <f>SUM(الجدول1[[#This Row],[القرآن الكريم  ]:[English(3)]])</f>
        <v>824</v>
      </c>
      <c r="N21" s="19">
        <f>الجدول1[[#This Row],[المجموع]]/10</f>
        <v>82.4</v>
      </c>
      <c r="O21" s="20">
        <f>COUNTIF(الجدول1[[#This Row],[القرآن الكريم  ]:[English(3)]],"&lt;50")</f>
        <v>0</v>
      </c>
      <c r="P21" s="21" t="str">
        <f>VLOOKUP(الجدول1[[#This Row],[مواد الرسوب]],'[1]النتائج م1'!$W$6:$X$8,2,TRUE)</f>
        <v>ناجح</v>
      </c>
      <c r="Q21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21" s="23">
        <f>RANK(الجدول1[[#This Row],[النسبة ]],الجدول1[[النسبة ]],0)</f>
        <v>18</v>
      </c>
    </row>
    <row r="22" spans="1:18" ht="34.200000000000003" x14ac:dyDescent="0.25">
      <c r="A22" s="15">
        <v>2023082</v>
      </c>
      <c r="B22" s="16" t="s">
        <v>31</v>
      </c>
      <c r="C22" s="17">
        <f>SUM('[1]م الثالث'!C46:D46)</f>
        <v>93</v>
      </c>
      <c r="D22" s="17">
        <f>SUM('[1]م الثالث'!E46:F46)</f>
        <v>90</v>
      </c>
      <c r="E22" s="17">
        <f>SUM('[1]م الثالث'!G46:H46)</f>
        <v>74</v>
      </c>
      <c r="F22" s="17">
        <f>SUM('[1]م الثالث'!I46:J46)</f>
        <v>85</v>
      </c>
      <c r="G22" s="17">
        <f>SUM('[1]م الثالث'!K46:L46)</f>
        <v>83</v>
      </c>
      <c r="H22" s="26">
        <f>SUM('[1]م الثالث'!M46:N46)</f>
        <v>100</v>
      </c>
      <c r="I22" s="17">
        <f>SUM('[1]م الثالث'!O46:P46)</f>
        <v>94</v>
      </c>
      <c r="J22" s="17">
        <f>SUM('[1]م الثالث'!Q46:R46)</f>
        <v>70</v>
      </c>
      <c r="K22" s="17">
        <f>SUM('[1]م الثالث'!S46:T46)</f>
        <v>81</v>
      </c>
      <c r="L22" s="17">
        <f>SUM('[1]م الثالث'!U46:V46)</f>
        <v>51</v>
      </c>
      <c r="M22" s="18">
        <f>SUM(الجدول1[[#This Row],[القرآن الكريم  ]:[English(3)]])</f>
        <v>821</v>
      </c>
      <c r="N22" s="19">
        <f>الجدول1[[#This Row],[المجموع]]/10</f>
        <v>82.1</v>
      </c>
      <c r="O22" s="20">
        <f>COUNTIF(الجدول1[[#This Row],[القرآن الكريم  ]:[English(3)]],"&lt;50")</f>
        <v>0</v>
      </c>
      <c r="P22" s="21" t="str">
        <f>VLOOKUP(الجدول1[[#This Row],[مواد الرسوب]],'[1]النتائج م1'!$W$6:$X$8,2,TRUE)</f>
        <v>ناجح</v>
      </c>
      <c r="Q22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22" s="23">
        <f>RANK(الجدول1[[#This Row],[النسبة ]],الجدول1[[النسبة ]],0)</f>
        <v>20</v>
      </c>
    </row>
    <row r="23" spans="1:18" ht="34.200000000000003" x14ac:dyDescent="0.25">
      <c r="A23" s="15">
        <v>202357</v>
      </c>
      <c r="B23" s="16" t="s">
        <v>79</v>
      </c>
      <c r="C23" s="17">
        <f>SUM('[1]م الثالث'!C5:D5)</f>
        <v>92</v>
      </c>
      <c r="D23" s="17">
        <f>SUM('[1]م الثالث'!E5:F5)</f>
        <v>84</v>
      </c>
      <c r="E23" s="17">
        <f>SUM('[1]م الثالث'!G5:H5)</f>
        <v>72</v>
      </c>
      <c r="F23" s="17">
        <f>SUM('[1]م الثالث'!I5:J5)</f>
        <v>96</v>
      </c>
      <c r="G23" s="17">
        <f>SUM('[1]م الثالث'!K5:L5)</f>
        <v>71</v>
      </c>
      <c r="H23" s="17">
        <f>SUM('[1]م الثالث'!M5:N5)</f>
        <v>90</v>
      </c>
      <c r="I23" s="17">
        <f>SUM('[1]م الثالث'!O5:P5)</f>
        <v>91</v>
      </c>
      <c r="J23" s="17">
        <f>SUM('[1]م الثالث'!Q5:R5)</f>
        <v>78</v>
      </c>
      <c r="K23" s="17">
        <f>SUM('[1]م الثالث'!S5:T5)</f>
        <v>73</v>
      </c>
      <c r="L23" s="17">
        <f>SUM('[1]م الثالث'!U5:V5)</f>
        <v>72</v>
      </c>
      <c r="M23" s="18">
        <f>SUM(الجدول1[[#This Row],[القرآن الكريم  ]:[English(3)]])</f>
        <v>819</v>
      </c>
      <c r="N23" s="19">
        <f>الجدول1[[#This Row],[المجموع]]/10</f>
        <v>81.900000000000006</v>
      </c>
      <c r="O23" s="20">
        <f>COUNTIF(الجدول1[[#This Row],[القرآن الكريم  ]:[English(3)]],"&lt;50")</f>
        <v>0</v>
      </c>
      <c r="P23" s="21" t="str">
        <f>VLOOKUP(الجدول1[[#This Row],[مواد الرسوب]],'[1]النتائج م1'!$W$6:$X$8,2,TRUE)</f>
        <v>ناجح</v>
      </c>
      <c r="Q23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23" s="23">
        <f>RANK(الجدول1[[#This Row],[النسبة ]],الجدول1[[النسبة ]],0)</f>
        <v>21</v>
      </c>
    </row>
    <row r="24" spans="1:18" ht="34.200000000000003" x14ac:dyDescent="0.25">
      <c r="A24" s="15">
        <v>2023033</v>
      </c>
      <c r="B24" s="16" t="s">
        <v>78</v>
      </c>
      <c r="C24" s="17">
        <f>SUM('[1]م الثالث'!C22:D22)</f>
        <v>92</v>
      </c>
      <c r="D24" s="17">
        <f>SUM('[1]م الثالث'!E22:F22)</f>
        <v>78</v>
      </c>
      <c r="E24" s="17">
        <f>SUM('[1]م الثالث'!G22:H22)</f>
        <v>78</v>
      </c>
      <c r="F24" s="17">
        <f>SUM('[1]م الثالث'!I22:J22)</f>
        <v>90</v>
      </c>
      <c r="G24" s="17">
        <f>SUM('[1]م الثالث'!K22:L22)</f>
        <v>62</v>
      </c>
      <c r="H24" s="17">
        <f>SUM('[1]م الثالث'!M22:N22)</f>
        <v>94</v>
      </c>
      <c r="I24" s="17">
        <f>SUM('[1]م الثالث'!O22:P22)</f>
        <v>89</v>
      </c>
      <c r="J24" s="17">
        <f>SUM('[1]م الثالث'!Q22:R22)</f>
        <v>95</v>
      </c>
      <c r="K24" s="17">
        <f>SUM('[1]م الثالث'!S22:T22)</f>
        <v>80</v>
      </c>
      <c r="L24" s="17">
        <f>SUM('[1]م الثالث'!U22:V22)</f>
        <v>58</v>
      </c>
      <c r="M24" s="18">
        <f>SUM(الجدول1[[#This Row],[القرآن الكريم  ]:[English(3)]])</f>
        <v>816</v>
      </c>
      <c r="N24" s="19">
        <f>الجدول1[[#This Row],[المجموع]]/10</f>
        <v>81.599999999999994</v>
      </c>
      <c r="O24" s="20">
        <f>COUNTIF(الجدول1[[#This Row],[القرآن الكريم  ]:[English(3)]],"&lt;50")</f>
        <v>0</v>
      </c>
      <c r="P24" s="21" t="str">
        <f>VLOOKUP(الجدول1[[#This Row],[مواد الرسوب]],'[1]النتائج م1'!$W$6:$X$8,2,TRUE)</f>
        <v>ناجح</v>
      </c>
      <c r="Q24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24" s="23">
        <f>RANK(الجدول1[[#This Row],[النسبة ]],الجدول1[[النسبة ]],0)</f>
        <v>22</v>
      </c>
    </row>
    <row r="25" spans="1:18" ht="34.200000000000003" x14ac:dyDescent="0.25">
      <c r="A25" s="15">
        <v>2023018</v>
      </c>
      <c r="B25" s="16" t="s">
        <v>105</v>
      </c>
      <c r="C25" s="17">
        <f>SUM('[1]م الثالث'!C14:D14)</f>
        <v>77</v>
      </c>
      <c r="D25" s="17">
        <f>SUM('[1]م الثالث'!E14:F14)</f>
        <v>89</v>
      </c>
      <c r="E25" s="17">
        <f>SUM('[1]م الثالث'!G14:H14)</f>
        <v>90</v>
      </c>
      <c r="F25" s="17">
        <f>SUM('[1]م الثالث'!I14:J14)</f>
        <v>90</v>
      </c>
      <c r="G25" s="17">
        <f>SUM('[1]م الثالث'!K14:L14)</f>
        <v>75</v>
      </c>
      <c r="H25" s="17">
        <f>SUM('[1]م الثالث'!M14:N14)</f>
        <v>78</v>
      </c>
      <c r="I25" s="17">
        <f>SUM('[1]م الثالث'!O14:P14)</f>
        <v>79</v>
      </c>
      <c r="J25" s="17">
        <f>SUM('[1]م الثالث'!Q14:R14)</f>
        <v>80</v>
      </c>
      <c r="K25" s="17">
        <f>SUM('[1]م الثالث'!S14:T14)</f>
        <v>84</v>
      </c>
      <c r="L25" s="17">
        <f>SUM('[1]م الثالث'!U14:V14)</f>
        <v>70</v>
      </c>
      <c r="M25" s="18">
        <f>SUM(الجدول1[[#This Row],[القرآن الكريم  ]:[English(3)]])</f>
        <v>812</v>
      </c>
      <c r="N25" s="19">
        <f>الجدول1[[#This Row],[المجموع]]/10</f>
        <v>81.2</v>
      </c>
      <c r="O25" s="20">
        <f>COUNTIF(الجدول1[[#This Row],[القرآن الكريم  ]:[English(3)]],"&lt;50")</f>
        <v>0</v>
      </c>
      <c r="P25" s="21" t="str">
        <f>VLOOKUP(الجدول1[[#This Row],[مواد الرسوب]],'[1]النتائج م1'!$W$6:$X$8,2,TRUE)</f>
        <v>ناجح</v>
      </c>
      <c r="Q25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25" s="23">
        <f>RANK(الجدول1[[#This Row],[النسبة ]],الجدول1[[النسبة ]],0)</f>
        <v>23</v>
      </c>
    </row>
    <row r="26" spans="1:18" ht="34.200000000000003" x14ac:dyDescent="0.25">
      <c r="A26" s="15">
        <v>2023129</v>
      </c>
      <c r="B26" s="24" t="s">
        <v>66</v>
      </c>
      <c r="C26" s="17">
        <f>SUM('[1]م الثالث'!C79:D79)</f>
        <v>80</v>
      </c>
      <c r="D26" s="17">
        <f>SUM('[1]م الثالث'!E79:F79)</f>
        <v>88</v>
      </c>
      <c r="E26" s="17">
        <f>SUM('[1]م الثالث'!G79:H79)</f>
        <v>79</v>
      </c>
      <c r="F26" s="17">
        <f>SUM('[1]م الثالث'!I79:J79)</f>
        <v>85</v>
      </c>
      <c r="G26" s="17">
        <f>SUM('[1]م الثالث'!K79:L79)</f>
        <v>100</v>
      </c>
      <c r="H26" s="17">
        <f>SUM('[1]م الثالث'!M79:N79)</f>
        <v>74</v>
      </c>
      <c r="I26" s="17">
        <f>SUM('[1]م الثالث'!O79:P79)</f>
        <v>73</v>
      </c>
      <c r="J26" s="17">
        <f>SUM('[1]م الثالث'!Q79:R79)</f>
        <v>83</v>
      </c>
      <c r="K26" s="17">
        <f>SUM('[1]م الثالث'!S79:T79)</f>
        <v>66</v>
      </c>
      <c r="L26" s="17">
        <f>SUM('[1]م الثالث'!U79:V79)</f>
        <v>81</v>
      </c>
      <c r="M26" s="18">
        <f>SUM(الجدول1[[#This Row],[القرآن الكريم  ]:[English(3)]])</f>
        <v>809</v>
      </c>
      <c r="N26" s="19">
        <f>الجدول1[[#This Row],[المجموع]]/10</f>
        <v>80.900000000000006</v>
      </c>
      <c r="O26" s="25">
        <f>COUNTIF(الجدول1[[#This Row],[القرآن الكريم  ]:[English(3)]],"&lt;50")</f>
        <v>0</v>
      </c>
      <c r="P26" s="21" t="str">
        <f>VLOOKUP(الجدول1[[#This Row],[مواد الرسوب]],'[1]النتائج م1'!$W$6:$X$8,2,TRUE)</f>
        <v>ناجح</v>
      </c>
      <c r="Q26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26" s="23">
        <f>RANK(الجدول1[[#This Row],[النسبة ]],الجدول1[[النسبة ]],0)</f>
        <v>24</v>
      </c>
    </row>
    <row r="27" spans="1:18" ht="34.200000000000003" x14ac:dyDescent="0.25">
      <c r="A27" s="15">
        <v>2023101</v>
      </c>
      <c r="B27" s="16" t="s">
        <v>37</v>
      </c>
      <c r="C27" s="17">
        <f>SUM('[1]م الثالث'!C59:D59)</f>
        <v>96</v>
      </c>
      <c r="D27" s="17">
        <f>SUM('[1]م الثالث'!E59:F59)</f>
        <v>84</v>
      </c>
      <c r="E27" s="17">
        <f>SUM('[1]م الثالث'!G59:H59)</f>
        <v>64</v>
      </c>
      <c r="F27" s="17">
        <f>SUM('[1]م الثالث'!I59:J59)</f>
        <v>91</v>
      </c>
      <c r="G27" s="17">
        <f>SUM('[1]م الثالث'!K59:L59)</f>
        <v>73</v>
      </c>
      <c r="H27" s="17">
        <f>SUM('[1]م الثالث'!M59:N59)</f>
        <v>77</v>
      </c>
      <c r="I27" s="17">
        <f>SUM('[1]م الثالث'!O59:P59)</f>
        <v>70</v>
      </c>
      <c r="J27" s="17">
        <f>SUM('[1]م الثالث'!Q59:R59)</f>
        <v>93</v>
      </c>
      <c r="K27" s="17">
        <f>SUM('[1]م الثالث'!S59:T59)</f>
        <v>87</v>
      </c>
      <c r="L27" s="17">
        <f>SUM('[1]م الثالث'!U59:V59)</f>
        <v>73</v>
      </c>
      <c r="M27" s="18">
        <f>SUM(الجدول1[[#This Row],[القرآن الكريم  ]:[English(3)]])</f>
        <v>808</v>
      </c>
      <c r="N27" s="19">
        <f>الجدول1[[#This Row],[المجموع]]/10</f>
        <v>80.8</v>
      </c>
      <c r="O27" s="20">
        <f>COUNTIF(الجدول1[[#This Row],[القرآن الكريم  ]:[English(3)]],"&lt;50")</f>
        <v>0</v>
      </c>
      <c r="P27" s="21" t="str">
        <f>VLOOKUP(الجدول1[[#This Row],[مواد الرسوب]],'[1]النتائج م1'!$W$6:$X$8,2,TRUE)</f>
        <v>ناجح</v>
      </c>
      <c r="Q27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27" s="23">
        <f>RANK(الجدول1[[#This Row],[النسبة ]],الجدول1[[النسبة ]],0)</f>
        <v>25</v>
      </c>
    </row>
    <row r="28" spans="1:18" ht="34.200000000000003" x14ac:dyDescent="0.25">
      <c r="A28" s="15">
        <v>2023124</v>
      </c>
      <c r="B28" s="16" t="s">
        <v>80</v>
      </c>
      <c r="C28" s="17">
        <f>SUM('[1]م الثالث'!C66:D66)</f>
        <v>92</v>
      </c>
      <c r="D28" s="17">
        <f>SUM('[1]م الثالث'!E66:F66)</f>
        <v>88</v>
      </c>
      <c r="E28" s="17">
        <f>SUM('[1]م الثالث'!G66:H66)</f>
        <v>87</v>
      </c>
      <c r="F28" s="17">
        <f>SUM('[1]م الثالث'!I66:J66)</f>
        <v>90</v>
      </c>
      <c r="G28" s="17">
        <f>SUM('[1]م الثالث'!K66:L66)</f>
        <v>69</v>
      </c>
      <c r="H28" s="17">
        <f>SUM('[1]م الثالث'!M66:N66)</f>
        <v>60</v>
      </c>
      <c r="I28" s="17">
        <f>SUM('[1]م الثالث'!O66:P66)</f>
        <v>56</v>
      </c>
      <c r="J28" s="17">
        <f>SUM('[1]م الثالث'!Q66:R66)</f>
        <v>90</v>
      </c>
      <c r="K28" s="17">
        <f>SUM('[1]م الثالث'!S66:T66)</f>
        <v>87</v>
      </c>
      <c r="L28" s="17">
        <f>SUM('[1]م الثالث'!U66:V66)</f>
        <v>86</v>
      </c>
      <c r="M28" s="18">
        <f>SUM(الجدول1[[#This Row],[القرآن الكريم  ]:[English(3)]])</f>
        <v>805</v>
      </c>
      <c r="N28" s="19">
        <f>الجدول1[[#This Row],[المجموع]]/10</f>
        <v>80.5</v>
      </c>
      <c r="O28" s="20">
        <f>COUNTIF(الجدول1[[#This Row],[القرآن الكريم  ]:[English(3)]],"&lt;50")</f>
        <v>0</v>
      </c>
      <c r="P28" s="21" t="str">
        <f>VLOOKUP(الجدول1[[#This Row],[مواد الرسوب]],'[1]النتائج م1'!$W$6:$X$8,2,TRUE)</f>
        <v>ناجح</v>
      </c>
      <c r="Q28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28" s="23">
        <f>RANK(الجدول1[[#This Row],[النسبة ]],الجدول1[[النسبة ]],0)</f>
        <v>26</v>
      </c>
    </row>
    <row r="29" spans="1:18" ht="34.200000000000003" x14ac:dyDescent="0.25">
      <c r="A29" s="15">
        <v>2023046</v>
      </c>
      <c r="B29" s="16" t="s">
        <v>83</v>
      </c>
      <c r="C29" s="17">
        <f>SUM('[1]م الثالث'!C28:D28)</f>
        <v>99</v>
      </c>
      <c r="D29" s="17">
        <f>SUM('[1]م الثالث'!E28:F28)</f>
        <v>80</v>
      </c>
      <c r="E29" s="17">
        <f>SUM('[1]م الثالث'!G28:H28)</f>
        <v>87</v>
      </c>
      <c r="F29" s="17">
        <f>SUM('[1]م الثالث'!I28:J28)</f>
        <v>93</v>
      </c>
      <c r="G29" s="17">
        <f>SUM('[1]م الثالث'!K28:L28)</f>
        <v>69</v>
      </c>
      <c r="H29" s="17">
        <f>SUM('[1]م الثالث'!M28:N28)</f>
        <v>77</v>
      </c>
      <c r="I29" s="17">
        <f>SUM('[1]م الثالث'!O28:P28)</f>
        <v>62</v>
      </c>
      <c r="J29" s="17">
        <f>SUM('[1]م الثالث'!Q28:R28)</f>
        <v>85</v>
      </c>
      <c r="K29" s="17">
        <f>SUM('[1]م الثالث'!S28:T28)</f>
        <v>86</v>
      </c>
      <c r="L29" s="17">
        <f>SUM('[1]م الثالث'!U28:V28)</f>
        <v>58</v>
      </c>
      <c r="M29" s="18">
        <f>SUM(الجدول1[[#This Row],[القرآن الكريم  ]:[English(3)]])</f>
        <v>796</v>
      </c>
      <c r="N29" s="19">
        <f>الجدول1[[#This Row],[المجموع]]/10</f>
        <v>79.599999999999994</v>
      </c>
      <c r="O29" s="20">
        <f>COUNTIF(الجدول1[[#This Row],[القرآن الكريم  ]:[English(3)]],"&lt;50")</f>
        <v>0</v>
      </c>
      <c r="P29" s="21" t="str">
        <f>VLOOKUP(الجدول1[[#This Row],[مواد الرسوب]],'[1]النتائج م1'!$W$6:$X$8,2,TRUE)</f>
        <v>ناجح</v>
      </c>
      <c r="Q29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29" s="23">
        <f>RANK(الجدول1[[#This Row],[النسبة ]],الجدول1[[النسبة ]],0)</f>
        <v>27</v>
      </c>
    </row>
    <row r="30" spans="1:18" ht="34.200000000000003" x14ac:dyDescent="0.25">
      <c r="A30" s="15">
        <v>2023062</v>
      </c>
      <c r="B30" s="16" t="s">
        <v>17</v>
      </c>
      <c r="C30" s="17">
        <f>SUM('[1]م الثالث'!C34:D34)</f>
        <v>94</v>
      </c>
      <c r="D30" s="17">
        <f>SUM('[1]م الثالث'!E34:F34)</f>
        <v>85</v>
      </c>
      <c r="E30" s="17">
        <f>SUM('[1]م الثالث'!G34:H34)</f>
        <v>88</v>
      </c>
      <c r="F30" s="17">
        <f>SUM('[1]م الثالث'!I34:J34)</f>
        <v>89</v>
      </c>
      <c r="G30" s="17">
        <f>SUM('[1]م الثالث'!K34:L34)</f>
        <v>82</v>
      </c>
      <c r="H30" s="17">
        <f>SUM('[1]م الثالث'!M34:N34)</f>
        <v>92</v>
      </c>
      <c r="I30" s="17">
        <f>SUM('[1]م الثالث'!O34:P34)</f>
        <v>74</v>
      </c>
      <c r="J30" s="17">
        <f>SUM('[1]م الثالث'!Q34:R34)</f>
        <v>85</v>
      </c>
      <c r="K30" s="17">
        <f>SUM('[1]م الثالث'!S34:T34)</f>
        <v>52</v>
      </c>
      <c r="L30" s="17">
        <f>SUM('[1]م الثالث'!U34:V34)</f>
        <v>50</v>
      </c>
      <c r="M30" s="18">
        <f>SUM(الجدول1[[#This Row],[القرآن الكريم  ]:[English(3)]])</f>
        <v>791</v>
      </c>
      <c r="N30" s="19">
        <f>الجدول1[[#This Row],[المجموع]]/10</f>
        <v>79.099999999999994</v>
      </c>
      <c r="O30" s="20">
        <f>COUNTIF(الجدول1[[#This Row],[القرآن الكريم  ]:[English(3)]],"&lt;50")</f>
        <v>0</v>
      </c>
      <c r="P30" s="21" t="str">
        <f>VLOOKUP(الجدول1[[#This Row],[مواد الرسوب]],'[1]النتائج م1'!$W$6:$X$8,2,TRUE)</f>
        <v>ناجح</v>
      </c>
      <c r="Q30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30" s="23">
        <f>RANK(الجدول1[[#This Row],[النسبة ]],الجدول1[[النسبة ]],0)</f>
        <v>28</v>
      </c>
    </row>
    <row r="31" spans="1:18" ht="34.200000000000003" x14ac:dyDescent="0.25">
      <c r="A31" s="15">
        <v>2023081</v>
      </c>
      <c r="B31" s="16" t="s">
        <v>23</v>
      </c>
      <c r="C31" s="17">
        <f>SUM('[1]م الثالث'!C45:D45)</f>
        <v>91</v>
      </c>
      <c r="D31" s="17">
        <f>SUM('[1]م الثالث'!E45:F45)</f>
        <v>67</v>
      </c>
      <c r="E31" s="17">
        <f>SUM('[1]م الثالث'!G45:H45)</f>
        <v>61</v>
      </c>
      <c r="F31" s="17">
        <f>SUM('[1]م الثالث'!I45:J45)</f>
        <v>87</v>
      </c>
      <c r="G31" s="17">
        <f>SUM('[1]م الثالث'!K45:L45)</f>
        <v>70</v>
      </c>
      <c r="H31" s="17">
        <f>SUM('[1]م الثالث'!M45:N45)</f>
        <v>88</v>
      </c>
      <c r="I31" s="17">
        <f>SUM('[1]م الثالث'!O45:P45)</f>
        <v>76</v>
      </c>
      <c r="J31" s="17">
        <f>SUM('[1]م الثالث'!Q45:R45)</f>
        <v>90</v>
      </c>
      <c r="K31" s="17">
        <f>SUM('[1]م الثالث'!S45:T45)</f>
        <v>80</v>
      </c>
      <c r="L31" s="17">
        <f>SUM('[1]م الثالث'!U45:V45)</f>
        <v>80</v>
      </c>
      <c r="M31" s="18">
        <f>SUM(الجدول1[[#This Row],[القرآن الكريم  ]:[English(3)]])</f>
        <v>790</v>
      </c>
      <c r="N31" s="19">
        <f>الجدول1[[#This Row],[المجموع]]/10</f>
        <v>79</v>
      </c>
      <c r="O31" s="20">
        <f>COUNTIF(الجدول1[[#This Row],[القرآن الكريم  ]:[English(3)]],"&lt;50")</f>
        <v>0</v>
      </c>
      <c r="P31" s="21" t="str">
        <f>VLOOKUP(الجدول1[[#This Row],[مواد الرسوب]],'[1]النتائج م1'!$W$6:$X$8,2,TRUE)</f>
        <v>ناجح</v>
      </c>
      <c r="Q31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31" s="23">
        <f>RANK(الجدول1[[#This Row],[النسبة ]],الجدول1[[النسبة ]],0)</f>
        <v>29</v>
      </c>
    </row>
    <row r="32" spans="1:18" ht="34.200000000000003" x14ac:dyDescent="0.25">
      <c r="A32" s="15">
        <v>2023055</v>
      </c>
      <c r="B32" s="16" t="s">
        <v>65</v>
      </c>
      <c r="C32" s="17">
        <f>SUM('[1]م الثالث'!C75:D75)</f>
        <v>96</v>
      </c>
      <c r="D32" s="17">
        <f>SUM('[1]م الثالث'!E75:F75)</f>
        <v>70</v>
      </c>
      <c r="E32" s="17">
        <f>SUM('[1]م الثالث'!G75:H75)</f>
        <v>60</v>
      </c>
      <c r="F32" s="17">
        <f>SUM('[1]م الثالث'!I75:J75)</f>
        <v>90</v>
      </c>
      <c r="G32" s="17">
        <f>SUM('[1]م الثالث'!K75:L75)</f>
        <v>100</v>
      </c>
      <c r="H32" s="17">
        <f>SUM('[1]م الثالث'!M75:N75)</f>
        <v>74</v>
      </c>
      <c r="I32" s="17">
        <f>SUM('[1]م الثالث'!O75:P75)</f>
        <v>52</v>
      </c>
      <c r="J32" s="17">
        <f>SUM('[1]م الثالث'!Q75:R75)</f>
        <v>80</v>
      </c>
      <c r="K32" s="17">
        <f>SUM('[1]م الثالث'!S75:T75)</f>
        <v>78</v>
      </c>
      <c r="L32" s="17">
        <f>SUM('[1]م الثالث'!U75:V75)</f>
        <v>85</v>
      </c>
      <c r="M32" s="18">
        <f>SUM(الجدول1[[#This Row],[القرآن الكريم  ]:[English(3)]])</f>
        <v>785</v>
      </c>
      <c r="N32" s="19">
        <f>الجدول1[[#This Row],[المجموع]]/10</f>
        <v>78.5</v>
      </c>
      <c r="O32" s="20">
        <f>COUNTIF(الجدول1[[#This Row],[القرآن الكريم  ]:[English(3)]],"&lt;50")</f>
        <v>0</v>
      </c>
      <c r="P32" s="21" t="str">
        <f>VLOOKUP(الجدول1[[#This Row],[مواد الرسوب]],'[1]النتائج م1'!$W$6:$X$8,2,TRUE)</f>
        <v>ناجح</v>
      </c>
      <c r="Q32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32" s="23">
        <f>RANK(الجدول1[[#This Row],[النسبة ]],الجدول1[[النسبة ]],0)</f>
        <v>30</v>
      </c>
    </row>
    <row r="33" spans="1:18" ht="34.200000000000003" x14ac:dyDescent="0.25">
      <c r="A33" s="15">
        <v>2023030</v>
      </c>
      <c r="B33" s="16" t="s">
        <v>77</v>
      </c>
      <c r="C33" s="17">
        <f>SUM('[1]م الثالث'!C20:D20)</f>
        <v>93</v>
      </c>
      <c r="D33" s="17">
        <f>SUM('[1]م الثالث'!E20:F20)</f>
        <v>83</v>
      </c>
      <c r="E33" s="17">
        <f>SUM('[1]م الثالث'!G20:H20)</f>
        <v>76</v>
      </c>
      <c r="F33" s="17">
        <f>SUM('[1]م الثالث'!I20:J20)</f>
        <v>91</v>
      </c>
      <c r="G33" s="17">
        <f>SUM('[1]م الثالث'!K20:L20)</f>
        <v>72</v>
      </c>
      <c r="H33" s="17">
        <f>SUM('[1]م الثالث'!M20:N20)</f>
        <v>69</v>
      </c>
      <c r="I33" s="17">
        <f>SUM('[1]م الثالث'!O20:P20)</f>
        <v>74</v>
      </c>
      <c r="J33" s="17">
        <f>SUM('[1]م الثالث'!Q20:R20)</f>
        <v>73</v>
      </c>
      <c r="K33" s="17">
        <f>SUM('[1]م الثالث'!S20:T20)</f>
        <v>69</v>
      </c>
      <c r="L33" s="17">
        <f>SUM('[1]م الثالث'!U20:V20)</f>
        <v>85</v>
      </c>
      <c r="M33" s="18">
        <f>SUM(الجدول1[[#This Row],[القرآن الكريم  ]:[English(3)]])</f>
        <v>785</v>
      </c>
      <c r="N33" s="19">
        <f>الجدول1[[#This Row],[المجموع]]/10</f>
        <v>78.5</v>
      </c>
      <c r="O33" s="20">
        <f>COUNTIF(الجدول1[[#This Row],[القرآن الكريم  ]:[English(3)]],"&lt;50")</f>
        <v>0</v>
      </c>
      <c r="P33" s="21" t="str">
        <f>VLOOKUP(الجدول1[[#This Row],[مواد الرسوب]],'[1]النتائج م1'!$W$6:$X$8,2,TRUE)</f>
        <v>ناجح</v>
      </c>
      <c r="Q33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33" s="23">
        <f>RANK(الجدول1[[#This Row],[النسبة ]],الجدول1[[النسبة ]],0)</f>
        <v>30</v>
      </c>
    </row>
    <row r="34" spans="1:18" ht="34.200000000000003" x14ac:dyDescent="0.25">
      <c r="A34" s="15">
        <v>2023015</v>
      </c>
      <c r="B34" s="16" t="s">
        <v>86</v>
      </c>
      <c r="C34" s="17">
        <f>SUM('[1]م الثالث'!C12:D12)</f>
        <v>96</v>
      </c>
      <c r="D34" s="17">
        <f>SUM('[1]م الثالث'!E12:F12)</f>
        <v>89</v>
      </c>
      <c r="E34" s="17">
        <f>SUM('[1]م الثالث'!G12:H12)</f>
        <v>65</v>
      </c>
      <c r="F34" s="17">
        <f>SUM('[1]م الثالث'!I12:J12)</f>
        <v>95</v>
      </c>
      <c r="G34" s="17">
        <f>SUM('[1]م الثالث'!K12:L12)</f>
        <v>70</v>
      </c>
      <c r="H34" s="17">
        <f>SUM('[1]م الثالث'!M12:N12)</f>
        <v>81</v>
      </c>
      <c r="I34" s="17">
        <f>SUM('[1]م الثالث'!O12:P12)</f>
        <v>72</v>
      </c>
      <c r="J34" s="17">
        <f>SUM('[1]م الثالث'!Q12:R12)</f>
        <v>65</v>
      </c>
      <c r="K34" s="17">
        <f>SUM('[1]م الثالث'!S12:T12)</f>
        <v>60</v>
      </c>
      <c r="L34" s="17">
        <f>SUM('[1]م الثالث'!U12:V12)</f>
        <v>87</v>
      </c>
      <c r="M34" s="18">
        <f>SUM(الجدول1[[#This Row],[القرآن الكريم  ]:[English(3)]])</f>
        <v>780</v>
      </c>
      <c r="N34" s="19">
        <f>الجدول1[[#This Row],[المجموع]]/10</f>
        <v>78</v>
      </c>
      <c r="O34" s="20">
        <f>COUNTIF(الجدول1[[#This Row],[القرآن الكريم  ]:[English(3)]],"&lt;50")</f>
        <v>0</v>
      </c>
      <c r="P34" s="21" t="str">
        <f>VLOOKUP(الجدول1[[#This Row],[مواد الرسوب]],'[1]النتائج م1'!$W$6:$X$8,2,TRUE)</f>
        <v>ناجح</v>
      </c>
      <c r="Q34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34" s="23">
        <f>RANK(الجدول1[[#This Row],[النسبة ]],الجدول1[[النسبة ]],0)</f>
        <v>32</v>
      </c>
    </row>
    <row r="35" spans="1:18" ht="34.200000000000003" x14ac:dyDescent="0.25">
      <c r="A35" s="15">
        <v>2023089</v>
      </c>
      <c r="B35" s="16" t="s">
        <v>27</v>
      </c>
      <c r="C35" s="17">
        <f>SUM('[1]م الثالث'!C49:D49)</f>
        <v>95</v>
      </c>
      <c r="D35" s="17">
        <f>SUM('[1]م الثالث'!E49:F49)</f>
        <v>85</v>
      </c>
      <c r="E35" s="17">
        <f>SUM('[1]م الثالث'!G49:H49)</f>
        <v>67</v>
      </c>
      <c r="F35" s="17">
        <f>SUM('[1]م الثالث'!I49:J49)</f>
        <v>90</v>
      </c>
      <c r="G35" s="17">
        <f>SUM('[1]م الثالث'!K49:L49)</f>
        <v>71</v>
      </c>
      <c r="H35" s="17">
        <f>SUM('[1]م الثالث'!M49:N49)</f>
        <v>78</v>
      </c>
      <c r="I35" s="17">
        <f>SUM('[1]م الثالث'!O49:P49)</f>
        <v>71</v>
      </c>
      <c r="J35" s="17">
        <f>SUM('[1]م الثالث'!Q49:R49)</f>
        <v>85</v>
      </c>
      <c r="K35" s="17">
        <f>SUM('[1]م الثالث'!S49:T49)</f>
        <v>77</v>
      </c>
      <c r="L35" s="17">
        <f>SUM('[1]م الثالث'!U49:V49)</f>
        <v>60</v>
      </c>
      <c r="M35" s="18">
        <f>SUM(الجدول1[[#This Row],[القرآن الكريم  ]:[English(3)]])</f>
        <v>779</v>
      </c>
      <c r="N35" s="19">
        <f>الجدول1[[#This Row],[المجموع]]/10</f>
        <v>77.900000000000006</v>
      </c>
      <c r="O35" s="20">
        <f>COUNTIF(الجدول1[[#This Row],[القرآن الكريم  ]:[English(3)]],"&lt;50")</f>
        <v>0</v>
      </c>
      <c r="P35" s="21" t="str">
        <f>VLOOKUP(الجدول1[[#This Row],[مواد الرسوب]],'[1]النتائج م1'!$W$6:$X$8,2,TRUE)</f>
        <v>ناجح</v>
      </c>
      <c r="Q35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35" s="23">
        <f>RANK(الجدول1[[#This Row],[النسبة ]],الجدول1[[النسبة ]],0)</f>
        <v>33</v>
      </c>
    </row>
    <row r="36" spans="1:18" ht="34.200000000000003" x14ac:dyDescent="0.25">
      <c r="A36" s="15">
        <v>2023130</v>
      </c>
      <c r="B36" s="16" t="s">
        <v>32</v>
      </c>
      <c r="C36" s="17">
        <f>SUM('[1]م الثالث'!C67:D67)</f>
        <v>92</v>
      </c>
      <c r="D36" s="17">
        <f>SUM('[1]م الثالث'!E67:F67)</f>
        <v>90</v>
      </c>
      <c r="E36" s="17">
        <f>SUM('[1]م الثالث'!G67:H67)</f>
        <v>77</v>
      </c>
      <c r="F36" s="17">
        <f>SUM('[1]م الثالث'!I67:J67)</f>
        <v>90</v>
      </c>
      <c r="G36" s="17">
        <f>SUM('[1]م الثالث'!K67:L67)</f>
        <v>55</v>
      </c>
      <c r="H36" s="17">
        <f>SUM('[1]م الثالث'!M67:N67)</f>
        <v>65</v>
      </c>
      <c r="I36" s="17">
        <f>SUM('[1]م الثالث'!O67:P67)</f>
        <v>84</v>
      </c>
      <c r="J36" s="17">
        <f>SUM('[1]م الثالث'!Q67:R67)</f>
        <v>85</v>
      </c>
      <c r="K36" s="17">
        <f>SUM('[1]م الثالث'!S67:T67)</f>
        <v>66</v>
      </c>
      <c r="L36" s="17">
        <f>SUM('[1]م الثالث'!U67:V67)</f>
        <v>74</v>
      </c>
      <c r="M36" s="18">
        <f>SUM(الجدول1[[#This Row],[القرآن الكريم  ]:[English(3)]])</f>
        <v>778</v>
      </c>
      <c r="N36" s="19">
        <f>الجدول1[[#This Row],[المجموع]]/10</f>
        <v>77.8</v>
      </c>
      <c r="O36" s="20">
        <f>COUNTIF(الجدول1[[#This Row],[القرآن الكريم  ]:[English(3)]],"&lt;50")</f>
        <v>0</v>
      </c>
      <c r="P36" s="21" t="str">
        <f>VLOOKUP(الجدول1[[#This Row],[مواد الرسوب]],'[1]النتائج م1'!$W$6:$X$8,2,TRUE)</f>
        <v>ناجح</v>
      </c>
      <c r="Q36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36" s="23">
        <f>RANK(الجدول1[[#This Row],[النسبة ]],الجدول1[[النسبة ]],0)</f>
        <v>34</v>
      </c>
    </row>
    <row r="37" spans="1:18" ht="34.200000000000003" x14ac:dyDescent="0.25">
      <c r="A37" s="15">
        <v>2023072</v>
      </c>
      <c r="B37" s="16" t="s">
        <v>30</v>
      </c>
      <c r="C37" s="17">
        <f>SUM('[1]م الثالث'!C41:D41)</f>
        <v>88</v>
      </c>
      <c r="D37" s="17">
        <f>SUM('[1]م الثالث'!E41:F41)</f>
        <v>90</v>
      </c>
      <c r="E37" s="17">
        <f>SUM('[1]م الثالث'!G41:H41)</f>
        <v>90</v>
      </c>
      <c r="F37" s="17">
        <f>SUM('[1]م الثالث'!I41:J41)</f>
        <v>90</v>
      </c>
      <c r="G37" s="17">
        <f>SUM('[1]م الثالث'!K41:L41)</f>
        <v>50</v>
      </c>
      <c r="H37" s="17">
        <f>SUM('[1]م الثالث'!M41:N41)</f>
        <v>84</v>
      </c>
      <c r="I37" s="17">
        <f>SUM('[1]م الثالث'!O41:P41)</f>
        <v>87</v>
      </c>
      <c r="J37" s="17">
        <f>SUM('[1]م الثالث'!Q41:R41)</f>
        <v>65</v>
      </c>
      <c r="K37" s="17">
        <f>SUM('[1]م الثالث'!S41:T41)</f>
        <v>77</v>
      </c>
      <c r="L37" s="17">
        <f>SUM('[1]م الثالث'!U41:V41)</f>
        <v>56</v>
      </c>
      <c r="M37" s="18">
        <f>SUM(الجدول1[[#This Row],[القرآن الكريم  ]:[English(3)]])</f>
        <v>777</v>
      </c>
      <c r="N37" s="19">
        <f>الجدول1[[#This Row],[المجموع]]/10</f>
        <v>77.7</v>
      </c>
      <c r="O37" s="20">
        <f>COUNTIF(الجدول1[[#This Row],[القرآن الكريم  ]:[English(3)]],"&lt;50")</f>
        <v>0</v>
      </c>
      <c r="P37" s="21" t="str">
        <f>VLOOKUP(الجدول1[[#This Row],[مواد الرسوب]],'[1]النتائج م1'!$W$6:$X$8,2,TRUE)</f>
        <v>ناجح</v>
      </c>
      <c r="Q37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37" s="23">
        <f>RANK(الجدول1[[#This Row],[النسبة ]],الجدول1[[النسبة ]],0)</f>
        <v>35</v>
      </c>
    </row>
    <row r="38" spans="1:18" ht="34.200000000000003" x14ac:dyDescent="0.25">
      <c r="A38" s="15">
        <v>2023019</v>
      </c>
      <c r="B38" s="16" t="s">
        <v>106</v>
      </c>
      <c r="C38" s="17">
        <f>SUM('[1]م الثالث'!C15:D15)</f>
        <v>93</v>
      </c>
      <c r="D38" s="17">
        <f>SUM('[1]م الثالث'!E15:F15)</f>
        <v>70</v>
      </c>
      <c r="E38" s="17">
        <f>SUM('[1]م الثالث'!G15:H15)</f>
        <v>77</v>
      </c>
      <c r="F38" s="17">
        <f>SUM('[1]م الثالث'!I15:J15)</f>
        <v>91</v>
      </c>
      <c r="G38" s="17">
        <f>SUM('[1]م الثالث'!K15:L15)</f>
        <v>68</v>
      </c>
      <c r="H38" s="17">
        <f>SUM('[1]م الثالث'!M15:N15)</f>
        <v>84</v>
      </c>
      <c r="I38" s="17">
        <f>SUM('[1]م الثالث'!O15:P15)</f>
        <v>85</v>
      </c>
      <c r="J38" s="17">
        <f>SUM('[1]م الثالث'!Q15:R15)</f>
        <v>73</v>
      </c>
      <c r="K38" s="17">
        <f>SUM('[1]م الثالث'!S15:T15)</f>
        <v>60</v>
      </c>
      <c r="L38" s="17">
        <f>SUM('[1]م الثالث'!U15:V15)</f>
        <v>75</v>
      </c>
      <c r="M38" s="18">
        <f>SUM(الجدول1[[#This Row],[القرآن الكريم  ]:[English(3)]])</f>
        <v>776</v>
      </c>
      <c r="N38" s="19">
        <f>الجدول1[[#This Row],[المجموع]]/10</f>
        <v>77.599999999999994</v>
      </c>
      <c r="O38" s="20">
        <f>COUNTIF(الجدول1[[#This Row],[القرآن الكريم  ]:[English(3)]],"&lt;50")</f>
        <v>0</v>
      </c>
      <c r="P38" s="21" t="str">
        <f>VLOOKUP(الجدول1[[#This Row],[مواد الرسوب]],'[1]النتائج م1'!$W$6:$X$8,2,TRUE)</f>
        <v>ناجح</v>
      </c>
      <c r="Q38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38" s="23">
        <f>RANK(الجدول1[[#This Row],[النسبة ]],الجدول1[[النسبة ]],0)</f>
        <v>36</v>
      </c>
    </row>
    <row r="39" spans="1:18" ht="34.200000000000003" x14ac:dyDescent="0.25">
      <c r="A39" s="15">
        <v>2023042</v>
      </c>
      <c r="B39" s="16" t="s">
        <v>84</v>
      </c>
      <c r="C39" s="17">
        <f>SUM('[1]م الثالث'!C26:D26)</f>
        <v>91</v>
      </c>
      <c r="D39" s="17">
        <f>SUM('[1]م الثالث'!E26:F26)</f>
        <v>85</v>
      </c>
      <c r="E39" s="17">
        <f>SUM('[1]م الثالث'!G26:H26)</f>
        <v>70</v>
      </c>
      <c r="F39" s="17">
        <f>SUM('[1]م الثالث'!I26:J26)</f>
        <v>90</v>
      </c>
      <c r="G39" s="17">
        <f>SUM('[1]م الثالث'!K26:L26)</f>
        <v>70</v>
      </c>
      <c r="H39" s="17">
        <f>SUM('[1]م الثالث'!M26:N26)</f>
        <v>90</v>
      </c>
      <c r="I39" s="17">
        <f>SUM('[1]م الثالث'!O26:P26)</f>
        <v>72</v>
      </c>
      <c r="J39" s="17">
        <f>SUM('[1]م الثالث'!Q26:R26)</f>
        <v>75</v>
      </c>
      <c r="K39" s="17">
        <f>SUM('[1]م الثالث'!S26:T26)</f>
        <v>78</v>
      </c>
      <c r="L39" s="17">
        <f>SUM('[1]م الثالث'!U26:V26)</f>
        <v>54</v>
      </c>
      <c r="M39" s="18">
        <f>SUM(الجدول1[[#This Row],[القرآن الكريم  ]:[English(3)]])</f>
        <v>775</v>
      </c>
      <c r="N39" s="19">
        <f>الجدول1[[#This Row],[المجموع]]/10</f>
        <v>77.5</v>
      </c>
      <c r="O39" s="20">
        <f>COUNTIF(الجدول1[[#This Row],[القرآن الكريم  ]:[English(3)]],"&lt;50")</f>
        <v>0</v>
      </c>
      <c r="P39" s="21" t="str">
        <f>VLOOKUP(الجدول1[[#This Row],[مواد الرسوب]],'[1]النتائج م1'!$W$6:$X$8,2,TRUE)</f>
        <v>ناجح</v>
      </c>
      <c r="Q39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39" s="23">
        <f>RANK(الجدول1[[#This Row],[النسبة ]],الجدول1[[النسبة ]],0)</f>
        <v>37</v>
      </c>
    </row>
    <row r="40" spans="1:18" ht="34.200000000000003" x14ac:dyDescent="0.25">
      <c r="A40" s="15">
        <v>2023021</v>
      </c>
      <c r="B40" s="16" t="s">
        <v>82</v>
      </c>
      <c r="C40" s="17">
        <f>SUM('[1]م الثالث'!C16:D16)</f>
        <v>95</v>
      </c>
      <c r="D40" s="17">
        <f>SUM('[1]م الثالث'!E16:F16)</f>
        <v>84</v>
      </c>
      <c r="E40" s="17">
        <f>SUM('[1]م الثالث'!G16:H16)</f>
        <v>94</v>
      </c>
      <c r="F40" s="17">
        <f>SUM('[1]م الثالث'!I16:J16)</f>
        <v>98</v>
      </c>
      <c r="G40" s="17">
        <f>SUM('[1]م الثالث'!K16:L16)</f>
        <v>60</v>
      </c>
      <c r="H40" s="17">
        <f>SUM('[1]م الثالث'!M16:N16)</f>
        <v>57</v>
      </c>
      <c r="I40" s="17">
        <f>SUM('[1]م الثالث'!O16:P16)</f>
        <v>59</v>
      </c>
      <c r="J40" s="17">
        <f>SUM('[1]م الثالث'!Q16:R16)</f>
        <v>68</v>
      </c>
      <c r="K40" s="17">
        <f>SUM('[1]م الثالث'!S16:T16)</f>
        <v>75</v>
      </c>
      <c r="L40" s="17">
        <f>SUM('[1]م الثالث'!U16:V16)</f>
        <v>75</v>
      </c>
      <c r="M40" s="18">
        <f>SUM(الجدول1[[#This Row],[القرآن الكريم  ]:[English(3)]])</f>
        <v>765</v>
      </c>
      <c r="N40" s="19">
        <f>الجدول1[[#This Row],[المجموع]]/10</f>
        <v>76.5</v>
      </c>
      <c r="O40" s="20">
        <f>COUNTIF(الجدول1[[#This Row],[القرآن الكريم  ]:[English(3)]],"&lt;50")</f>
        <v>0</v>
      </c>
      <c r="P40" s="21" t="str">
        <f>VLOOKUP(الجدول1[[#This Row],[مواد الرسوب]],'[1]النتائج م1'!$W$6:$X$8,2,TRUE)</f>
        <v>ناجح</v>
      </c>
      <c r="Q40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40" s="23">
        <f>RANK(الجدول1[[#This Row],[النسبة ]],الجدول1[[النسبة ]],0)</f>
        <v>38</v>
      </c>
    </row>
    <row r="41" spans="1:18" ht="34.200000000000003" x14ac:dyDescent="0.25">
      <c r="A41" s="15">
        <v>2023009</v>
      </c>
      <c r="B41" s="16" t="s">
        <v>109</v>
      </c>
      <c r="C41" s="17">
        <f>SUM('[1]م الثالث'!C10:D10)</f>
        <v>96</v>
      </c>
      <c r="D41" s="17">
        <f>SUM('[1]م الثالث'!E10:F10)</f>
        <v>75</v>
      </c>
      <c r="E41" s="17">
        <f>SUM('[1]م الثالث'!G10:H10)</f>
        <v>72</v>
      </c>
      <c r="F41" s="17">
        <f>SUM('[1]م الثالث'!I10:J10)</f>
        <v>98</v>
      </c>
      <c r="G41" s="17">
        <f>SUM('[1]م الثالث'!K10:L10)</f>
        <v>75</v>
      </c>
      <c r="H41" s="17">
        <f>SUM('[1]م الثالث'!M10:N10)</f>
        <v>64</v>
      </c>
      <c r="I41" s="17">
        <f>SUM('[1]م الثالث'!O10:P10)</f>
        <v>72</v>
      </c>
      <c r="J41" s="17">
        <f>SUM('[1]م الثالث'!Q10:R10)</f>
        <v>80</v>
      </c>
      <c r="K41" s="17">
        <f>SUM('[1]م الثالث'!S10:T10)</f>
        <v>78</v>
      </c>
      <c r="L41" s="17">
        <f>SUM('[1]م الثالث'!U10:V10)</f>
        <v>50</v>
      </c>
      <c r="M41" s="18">
        <f>SUM(الجدول1[[#This Row],[القرآن الكريم  ]:[English(3)]])</f>
        <v>760</v>
      </c>
      <c r="N41" s="19">
        <f>الجدول1[[#This Row],[المجموع]]/10</f>
        <v>76</v>
      </c>
      <c r="O41" s="20">
        <f>COUNTIF(الجدول1[[#This Row],[القرآن الكريم  ]:[English(3)]],"&lt;50")</f>
        <v>0</v>
      </c>
      <c r="P41" s="21" t="str">
        <f>VLOOKUP(الجدول1[[#This Row],[مواد الرسوب]],'[1]النتائج م1'!$W$6:$X$8,2,TRUE)</f>
        <v>ناجح</v>
      </c>
      <c r="Q41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41" s="23">
        <f>RANK(الجدول1[[#This Row],[النسبة ]],الجدول1[[النسبة ]],0)</f>
        <v>39</v>
      </c>
    </row>
    <row r="42" spans="1:18" ht="34.200000000000003" x14ac:dyDescent="0.25">
      <c r="A42" s="15">
        <v>2023107</v>
      </c>
      <c r="B42" s="24" t="s">
        <v>67</v>
      </c>
      <c r="C42" s="17">
        <f>SUM('[1]م الثالث'!C78:D78)</f>
        <v>80</v>
      </c>
      <c r="D42" s="17">
        <f>SUM('[1]م الثالث'!E78:F78)</f>
        <v>90</v>
      </c>
      <c r="E42" s="17">
        <f>SUM('[1]م الثالث'!G78:H78)</f>
        <v>76</v>
      </c>
      <c r="F42" s="17">
        <f>SUM('[1]م الثالث'!I78:J78)</f>
        <v>85</v>
      </c>
      <c r="G42" s="17">
        <v>94</v>
      </c>
      <c r="H42" s="17">
        <f>SUM('[1]م الثالث'!M78:N78)</f>
        <v>56</v>
      </c>
      <c r="I42" s="17">
        <f>SUM('[1]م الثالث'!O78:P78)</f>
        <v>55</v>
      </c>
      <c r="J42" s="17">
        <f>SUM('[1]م الثالث'!Q78:R78)</f>
        <v>88</v>
      </c>
      <c r="K42" s="17">
        <f>SUM('[1]م الثالث'!S78:T78)</f>
        <v>81</v>
      </c>
      <c r="L42" s="17">
        <v>50</v>
      </c>
      <c r="M42" s="18">
        <f>SUM(الجدول1[[#This Row],[القرآن الكريم  ]:[English(3)]])</f>
        <v>755</v>
      </c>
      <c r="N42" s="19">
        <f>الجدول1[[#This Row],[المجموع]]/10</f>
        <v>75.5</v>
      </c>
      <c r="O42" s="20">
        <f>COUNTIF(الجدول1[[#This Row],[القرآن الكريم  ]:[English(3)]],"&lt;50")</f>
        <v>0</v>
      </c>
      <c r="P42" s="21" t="str">
        <f>VLOOKUP(الجدول1[[#This Row],[مواد الرسوب]],'[1]النتائج م1'!$W$6:$X$8,2,TRUE)</f>
        <v>ناجح</v>
      </c>
      <c r="Q42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42" s="23">
        <f>RANK(الجدول1[[#This Row],[النسبة ]],الجدول1[[النسبة ]],0)</f>
        <v>40</v>
      </c>
    </row>
    <row r="43" spans="1:18" ht="34.200000000000003" x14ac:dyDescent="0.25">
      <c r="A43" s="15">
        <v>2023047</v>
      </c>
      <c r="B43" s="16" t="s">
        <v>107</v>
      </c>
      <c r="C43" s="17">
        <f>SUM('[1]م الثالث'!C29:D29)</f>
        <v>84</v>
      </c>
      <c r="D43" s="17">
        <f>SUM('[1]م الثالث'!E29:F29)</f>
        <v>67</v>
      </c>
      <c r="E43" s="17">
        <f>SUM('[1]م الثالث'!G29:H29)</f>
        <v>60</v>
      </c>
      <c r="F43" s="17">
        <f>SUM('[1]م الثالث'!I29:J29)</f>
        <v>95</v>
      </c>
      <c r="G43" s="17">
        <f>SUM('[1]م الثالث'!K29:L29)</f>
        <v>72</v>
      </c>
      <c r="H43" s="17">
        <f>SUM('[1]م الثالث'!M29:N29)</f>
        <v>83</v>
      </c>
      <c r="I43" s="17">
        <f>SUM('[1]م الثالث'!O29:P29)</f>
        <v>72</v>
      </c>
      <c r="J43" s="17">
        <f>SUM('[1]م الثالث'!Q29:R29)</f>
        <v>75</v>
      </c>
      <c r="K43" s="17">
        <f>SUM('[1]م الثالث'!S29:T29)</f>
        <v>78</v>
      </c>
      <c r="L43" s="17">
        <f>SUM('[1]م الثالث'!U29:V29)</f>
        <v>67</v>
      </c>
      <c r="M43" s="18">
        <f>SUM(الجدول1[[#This Row],[القرآن الكريم  ]:[English(3)]])</f>
        <v>753</v>
      </c>
      <c r="N43" s="19">
        <f>الجدول1[[#This Row],[المجموع]]/10</f>
        <v>75.3</v>
      </c>
      <c r="O43" s="20">
        <f>COUNTIF(الجدول1[[#This Row],[القرآن الكريم  ]:[English(3)]],"&lt;50")</f>
        <v>0</v>
      </c>
      <c r="P43" s="21" t="str">
        <f>VLOOKUP(الجدول1[[#This Row],[مواد الرسوب]],'[1]النتائج م1'!$W$6:$X$8,2,TRUE)</f>
        <v>ناجح</v>
      </c>
      <c r="Q43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جيدجدا</v>
      </c>
      <c r="R43" s="23">
        <f>RANK(الجدول1[[#This Row],[النسبة ]],الجدول1[[النسبة ]],0)</f>
        <v>41</v>
      </c>
    </row>
    <row r="44" spans="1:18" ht="34.200000000000003" x14ac:dyDescent="0.25">
      <c r="A44" s="15">
        <v>2023039</v>
      </c>
      <c r="B44" s="16" t="s">
        <v>63</v>
      </c>
      <c r="C44" s="17">
        <f>SUM('[1]م الثالث'!C72:D72)</f>
        <v>59</v>
      </c>
      <c r="D44" s="17">
        <f>SUM('[1]م الثالث'!E72:F72)</f>
        <v>90</v>
      </c>
      <c r="E44" s="17">
        <f>SUM('[1]م الثالث'!G72:H72)</f>
        <v>62</v>
      </c>
      <c r="F44" s="17">
        <f>SUM('[1]م الثالث'!I72:J72)</f>
        <v>90</v>
      </c>
      <c r="G44" s="17">
        <f>SUM('[1]م الثالث'!K72:L72)</f>
        <v>90</v>
      </c>
      <c r="H44" s="17">
        <f>SUM('[1]م الثالث'!M72:N72)</f>
        <v>68</v>
      </c>
      <c r="I44" s="17">
        <f>SUM('[1]م الثالث'!O72:P72)</f>
        <v>80</v>
      </c>
      <c r="J44" s="17">
        <f>SUM('[1]م الثالث'!Q72:R72)</f>
        <v>85</v>
      </c>
      <c r="K44" s="17">
        <f>SUM('[1]م الثالث'!S72:T72)</f>
        <v>67</v>
      </c>
      <c r="L44" s="17">
        <f>SUM('[1]م الثالث'!U72:V72)</f>
        <v>52</v>
      </c>
      <c r="M44" s="18">
        <f>SUM(الجدول1[[#This Row],[القرآن الكريم  ]:[English(3)]])</f>
        <v>743</v>
      </c>
      <c r="N44" s="19">
        <f>الجدول1[[#This Row],[المجموع]]/10</f>
        <v>74.3</v>
      </c>
      <c r="O44" s="20">
        <f>COUNTIF(الجدول1[[#This Row],[القرآن الكريم  ]:[English(3)]],"&lt;50")</f>
        <v>0</v>
      </c>
      <c r="P44" s="21" t="str">
        <f>VLOOKUP(الجدول1[[#This Row],[مواد الرسوب]],'[1]النتائج م1'!$W$6:$X$8,2,TRUE)</f>
        <v>ناجح</v>
      </c>
      <c r="Q44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44" s="23">
        <f>RANK(الجدول1[[#This Row],[النسبة ]],الجدول1[[النسبة ]],0)</f>
        <v>42</v>
      </c>
    </row>
    <row r="45" spans="1:18" ht="34.200000000000003" x14ac:dyDescent="0.25">
      <c r="A45" s="15">
        <v>2023096</v>
      </c>
      <c r="B45" s="16" t="s">
        <v>36</v>
      </c>
      <c r="C45" s="17">
        <v>90</v>
      </c>
      <c r="D45" s="17">
        <f>SUM('[1]م الثالث'!E55:F55)</f>
        <v>70</v>
      </c>
      <c r="E45" s="17">
        <v>52</v>
      </c>
      <c r="F45" s="17">
        <f>SUM('[1]م الثالث'!I55:J55)</f>
        <v>90</v>
      </c>
      <c r="G45" s="17">
        <f>SUM('[1]م الثالث'!K55:L55)</f>
        <v>69</v>
      </c>
      <c r="H45" s="17">
        <f>SUM('[1]م الثالث'!M55:N55)</f>
        <v>61</v>
      </c>
      <c r="I45" s="17">
        <f>SUM('[1]م الثالث'!O55:P55)</f>
        <v>58</v>
      </c>
      <c r="J45" s="17">
        <f>SUM('[1]م الثالث'!Q55:R55)</f>
        <v>65</v>
      </c>
      <c r="K45" s="17">
        <f>SUM('[1]م الثالث'!S55:T55)</f>
        <v>79</v>
      </c>
      <c r="L45" s="17">
        <f>SUM('[1]م الثالث'!U55:V55)</f>
        <v>76</v>
      </c>
      <c r="M45" s="18">
        <f>SUM(الجدول1[[#This Row],[القرآن الكريم  ]:[English(3)]])</f>
        <v>710</v>
      </c>
      <c r="N45" s="19">
        <f>الجدول1[[#This Row],[المجموع]]/10</f>
        <v>71</v>
      </c>
      <c r="O45" s="20">
        <f>COUNTIF(الجدول1[[#This Row],[القرآن الكريم  ]:[English(3)]],"&lt;50")</f>
        <v>0</v>
      </c>
      <c r="P45" s="21" t="str">
        <f>VLOOKUP(الجدول1[[#This Row],[مواد الرسوب]],'[1]النتائج م1'!$W$6:$X$8,2,TRUE)</f>
        <v>ناجح</v>
      </c>
      <c r="Q45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45" s="23">
        <f>RANK(الجدول1[[#This Row],[النسبة ]],الجدول1[[النسبة ]],0)</f>
        <v>43</v>
      </c>
    </row>
    <row r="46" spans="1:18" ht="34.200000000000003" x14ac:dyDescent="0.25">
      <c r="A46" s="15">
        <v>2023022</v>
      </c>
      <c r="B46" s="16" t="s">
        <v>108</v>
      </c>
      <c r="C46" s="17">
        <f>SUM('[1]م الثالث'!C17:D17)</f>
        <v>87</v>
      </c>
      <c r="D46" s="17">
        <f>SUM('[1]م الثالث'!E17:F17)</f>
        <v>57</v>
      </c>
      <c r="E46" s="17">
        <f>SUM('[1]م الثالث'!G17:H17)</f>
        <v>61</v>
      </c>
      <c r="F46" s="17">
        <f>SUM('[1]م الثالث'!I17:J17)</f>
        <v>88</v>
      </c>
      <c r="G46" s="17">
        <f>SUM('[1]م الثالث'!K17:L17)</f>
        <v>68</v>
      </c>
      <c r="H46" s="17">
        <f>SUM('[1]م الثالث'!M17:N17)</f>
        <v>63</v>
      </c>
      <c r="I46" s="17">
        <f>SUM('[1]م الثالث'!O17:P17)</f>
        <v>75</v>
      </c>
      <c r="J46" s="17">
        <f>SUM('[1]م الثالث'!Q17:R17)</f>
        <v>60</v>
      </c>
      <c r="K46" s="17">
        <f>SUM('[1]م الثالث'!S17:T17)</f>
        <v>73</v>
      </c>
      <c r="L46" s="17">
        <f>SUM('[1]م الثالث'!U17:V17)</f>
        <v>75</v>
      </c>
      <c r="M46" s="18">
        <f>SUM(الجدول1[[#This Row],[القرآن الكريم  ]:[English(3)]])</f>
        <v>707</v>
      </c>
      <c r="N46" s="19">
        <f>الجدول1[[#This Row],[المجموع]]/10</f>
        <v>70.7</v>
      </c>
      <c r="O46" s="20">
        <f>COUNTIF(الجدول1[[#This Row],[القرآن الكريم  ]:[English(3)]],"&lt;50")</f>
        <v>0</v>
      </c>
      <c r="P46" s="21" t="str">
        <f>VLOOKUP(الجدول1[[#This Row],[مواد الرسوب]],'[1]النتائج م1'!$W$6:$X$8,2,TRUE)</f>
        <v>ناجح</v>
      </c>
      <c r="Q46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46" s="23">
        <f>RANK(الجدول1[[#This Row],[النسبة ]],الجدول1[[النسبة ]],0)</f>
        <v>44</v>
      </c>
    </row>
    <row r="47" spans="1:18" ht="34.200000000000003" x14ac:dyDescent="0.25">
      <c r="A47" s="15">
        <v>2023041</v>
      </c>
      <c r="B47" s="16" t="s">
        <v>85</v>
      </c>
      <c r="C47" s="17">
        <v>88</v>
      </c>
      <c r="D47" s="17">
        <f>SUM('[1]م الثالث'!E25:F25)</f>
        <v>84</v>
      </c>
      <c r="E47" s="17">
        <f>SUM('[1]م الثالث'!G25:H25)</f>
        <v>57</v>
      </c>
      <c r="F47" s="17">
        <f>SUM('[1]م الثالث'!I25:J25)</f>
        <v>90</v>
      </c>
      <c r="G47" s="17">
        <f>SUM('[1]م الثالث'!K25:L25)</f>
        <v>71</v>
      </c>
      <c r="H47" s="17">
        <f>SUM('[1]م الثالث'!M25:N25)</f>
        <v>59</v>
      </c>
      <c r="I47" s="17">
        <f>SUM('[1]م الثالث'!O25:P25)</f>
        <v>66</v>
      </c>
      <c r="J47" s="17">
        <f>SUM('[1]م الثالث'!Q25:R25)</f>
        <v>70</v>
      </c>
      <c r="K47" s="17">
        <f>SUM('[1]م الثالث'!S25:T25)</f>
        <v>71</v>
      </c>
      <c r="L47" s="17">
        <v>51</v>
      </c>
      <c r="M47" s="18">
        <f>SUM(الجدول1[[#This Row],[القرآن الكريم  ]:[English(3)]])</f>
        <v>707</v>
      </c>
      <c r="N47" s="19">
        <f>الجدول1[[#This Row],[المجموع]]/10</f>
        <v>70.7</v>
      </c>
      <c r="O47" s="20">
        <f>COUNTIF(الجدول1[[#This Row],[القرآن الكريم  ]:[English(3)]],"&lt;50")</f>
        <v>0</v>
      </c>
      <c r="P47" s="21" t="str">
        <f>VLOOKUP(الجدول1[[#This Row],[مواد الرسوب]],'[1]النتائج م1'!$W$6:$X$8,2,TRUE)</f>
        <v>ناجح</v>
      </c>
      <c r="Q47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47" s="23">
        <f>RANK(الجدول1[[#This Row],[النسبة ]],الجدول1[[النسبة ]],0)</f>
        <v>44</v>
      </c>
    </row>
    <row r="48" spans="1:18" ht="34.200000000000003" x14ac:dyDescent="0.25">
      <c r="A48" s="15">
        <v>2023017</v>
      </c>
      <c r="B48" s="16" t="s">
        <v>114</v>
      </c>
      <c r="C48" s="17">
        <v>50</v>
      </c>
      <c r="D48" s="17">
        <v>82</v>
      </c>
      <c r="E48" s="17">
        <f>SUM('[1]م الثالث'!G13:H13)</f>
        <v>50</v>
      </c>
      <c r="F48" s="17">
        <f>SUM('[1]م الثالث'!I13:J13)</f>
        <v>89</v>
      </c>
      <c r="G48" s="17">
        <f>SUM('[1]م الثالث'!K13:L13)</f>
        <v>67</v>
      </c>
      <c r="H48" s="17">
        <f>SUM('[1]م الثالث'!M13:N13)</f>
        <v>68</v>
      </c>
      <c r="I48" s="17">
        <f>SUM('[1]م الثالث'!O13:P13)</f>
        <v>90</v>
      </c>
      <c r="J48" s="17">
        <f>SUM('[1]م الثالث'!Q13:R13)</f>
        <v>65</v>
      </c>
      <c r="K48" s="17">
        <f>SUM('[1]م الثالث'!S13:T13)</f>
        <v>80</v>
      </c>
      <c r="L48" s="17">
        <f>SUM('[1]م الثالث'!U13:V13)</f>
        <v>54</v>
      </c>
      <c r="M48" s="18">
        <f>SUM(الجدول1[[#This Row],[القرآن الكريم  ]:[English(3)]])</f>
        <v>695</v>
      </c>
      <c r="N48" s="19">
        <f>الجدول1[[#This Row],[المجموع]]/10</f>
        <v>69.5</v>
      </c>
      <c r="O48" s="20">
        <f>COUNTIF(الجدول1[[#This Row],[القرآن الكريم  ]:[English(3)]],"&lt;50")</f>
        <v>0</v>
      </c>
      <c r="P48" s="21" t="str">
        <f>VLOOKUP(الجدول1[[#This Row],[مواد الرسوب]],'[1]النتائج م1'!$W$6:$X$8,2,TRUE)</f>
        <v>ناجح</v>
      </c>
      <c r="Q48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48" s="23">
        <f>RANK(الجدول1[[#This Row],[النسبة ]],الجدول1[[النسبة ]],0)</f>
        <v>46</v>
      </c>
    </row>
    <row r="49" spans="1:18" ht="34.200000000000003" x14ac:dyDescent="0.25">
      <c r="A49" s="15">
        <v>2023103</v>
      </c>
      <c r="B49" s="16" t="s">
        <v>48</v>
      </c>
      <c r="C49" s="17">
        <v>85</v>
      </c>
      <c r="D49" s="17">
        <f>SUM('[1]م الثالث'!E60:F60)</f>
        <v>87</v>
      </c>
      <c r="E49" s="17">
        <f>SUM('[1]م الثالث'!G60:H60)</f>
        <v>50</v>
      </c>
      <c r="F49" s="17">
        <f>SUM('[1]م الثالث'!I60:J60)</f>
        <v>90</v>
      </c>
      <c r="G49" s="17">
        <f>SUM('[1]م الثالث'!K60:L60)</f>
        <v>60</v>
      </c>
      <c r="H49" s="17">
        <v>50</v>
      </c>
      <c r="I49" s="17">
        <v>50</v>
      </c>
      <c r="J49" s="17">
        <f>SUM('[1]م الثالث'!Q60:R60)</f>
        <v>55</v>
      </c>
      <c r="K49" s="17">
        <f>SUM('[1]م الثالث'!S60:T60)</f>
        <v>80</v>
      </c>
      <c r="L49" s="17">
        <v>87</v>
      </c>
      <c r="M49" s="18">
        <f>SUM(الجدول1[[#This Row],[القرآن الكريم  ]:[English(3)]])</f>
        <v>694</v>
      </c>
      <c r="N49" s="19">
        <f>الجدول1[[#This Row],[المجموع]]/10</f>
        <v>69.400000000000006</v>
      </c>
      <c r="O49" s="20">
        <f>COUNTIF(الجدول1[[#This Row],[القرآن الكريم  ]:[English(3)]],"&lt;50")</f>
        <v>0</v>
      </c>
      <c r="P49" s="21" t="str">
        <f>VLOOKUP(الجدول1[[#This Row],[مواد الرسوب]],'[1]النتائج م1'!$W$6:$X$8,2,TRUE)</f>
        <v>ناجح</v>
      </c>
      <c r="Q49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49" s="23">
        <f>RANK(الجدول1[[#This Row],[النسبة ]],الجدول1[[النسبة ]],0)</f>
        <v>47</v>
      </c>
    </row>
    <row r="50" spans="1:18" ht="34.200000000000003" x14ac:dyDescent="0.25">
      <c r="A50" s="15">
        <v>2023079</v>
      </c>
      <c r="B50" s="16" t="s">
        <v>38</v>
      </c>
      <c r="C50" s="17">
        <v>80</v>
      </c>
      <c r="D50" s="17">
        <v>50</v>
      </c>
      <c r="E50" s="17">
        <f>SUM('[1]م الثالث'!G44:H44)</f>
        <v>69</v>
      </c>
      <c r="F50" s="17">
        <f>SUM('[1]م الثالث'!I44:J44)</f>
        <v>83</v>
      </c>
      <c r="G50" s="17">
        <f>SUM('[1]م الثالث'!K44:L44)</f>
        <v>70</v>
      </c>
      <c r="H50" s="17">
        <f>SUM('[1]م الثالث'!M44:N44)</f>
        <v>50</v>
      </c>
      <c r="I50" s="17">
        <v>50</v>
      </c>
      <c r="J50" s="17">
        <f>SUM('[1]م الثالث'!Q44:R44)</f>
        <v>80</v>
      </c>
      <c r="K50" s="17">
        <v>80</v>
      </c>
      <c r="L50" s="17">
        <f>SUM('[1]م الثالث'!U44:V44)</f>
        <v>75</v>
      </c>
      <c r="M50" s="18">
        <f>SUM(الجدول1[[#This Row],[القرآن الكريم  ]:[English(3)]])</f>
        <v>687</v>
      </c>
      <c r="N50" s="19">
        <f>الجدول1[[#This Row],[المجموع]]/10</f>
        <v>68.7</v>
      </c>
      <c r="O50" s="20">
        <f>COUNTIF(الجدول1[[#This Row],[القرآن الكريم  ]:[English(3)]],"&lt;50")</f>
        <v>0</v>
      </c>
      <c r="P50" s="21" t="str">
        <f>VLOOKUP(الجدول1[[#This Row],[مواد الرسوب]],'[1]النتائج م1'!$W$6:$X$8,2,TRUE)</f>
        <v>ناجح</v>
      </c>
      <c r="Q50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50" s="23">
        <f>RANK(الجدول1[[#This Row],[النسبة ]],الجدول1[[النسبة ]],0)</f>
        <v>48</v>
      </c>
    </row>
    <row r="51" spans="1:18" ht="34.200000000000003" x14ac:dyDescent="0.25">
      <c r="A51" s="15">
        <v>2023088</v>
      </c>
      <c r="B51" s="16" t="s">
        <v>46</v>
      </c>
      <c r="C51" s="17">
        <v>90</v>
      </c>
      <c r="D51" s="17">
        <v>80</v>
      </c>
      <c r="E51" s="17">
        <f>SUM('[1]م الثالث'!G48:H48)</f>
        <v>57</v>
      </c>
      <c r="F51" s="17">
        <f>SUM('[1]م الثالث'!I48:J48)</f>
        <v>89</v>
      </c>
      <c r="G51" s="17">
        <v>50</v>
      </c>
      <c r="H51" s="17">
        <v>50</v>
      </c>
      <c r="I51" s="17">
        <v>50</v>
      </c>
      <c r="J51" s="17">
        <f>SUM('[1]م الثالث'!Q48:R48)</f>
        <v>75</v>
      </c>
      <c r="K51" s="17">
        <f>SUM('[1]م الثالث'!S48:T48)</f>
        <v>80</v>
      </c>
      <c r="L51" s="17">
        <f>SUM('[1]م الثالث'!U48:V48)</f>
        <v>63</v>
      </c>
      <c r="M51" s="18">
        <f>SUM(الجدول1[[#This Row],[القرآن الكريم  ]:[English(3)]])</f>
        <v>684</v>
      </c>
      <c r="N51" s="19">
        <f>الجدول1[[#This Row],[المجموع]]/10</f>
        <v>68.400000000000006</v>
      </c>
      <c r="O51" s="20">
        <f>COUNTIF(الجدول1[[#This Row],[القرآن الكريم  ]:[English(3)]],"&lt;50")</f>
        <v>0</v>
      </c>
      <c r="P51" s="21" t="str">
        <f>VLOOKUP(الجدول1[[#This Row],[مواد الرسوب]],'[1]النتائج م1'!$W$6:$X$8,2,TRUE)</f>
        <v>ناجح</v>
      </c>
      <c r="Q51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51" s="23">
        <f>RANK(الجدول1[[#This Row],[النسبة ]],الجدول1[[النسبة ]],0)</f>
        <v>49</v>
      </c>
    </row>
    <row r="52" spans="1:18" ht="34.200000000000003" x14ac:dyDescent="0.25">
      <c r="A52" s="15">
        <v>2023067</v>
      </c>
      <c r="B52" s="16" t="s">
        <v>43</v>
      </c>
      <c r="C52" s="17">
        <f>SUM('[1]م الثالث'!C37:D37)</f>
        <v>87</v>
      </c>
      <c r="D52" s="17">
        <f>SUM('[1]م الثالث'!E37:F37)</f>
        <v>65</v>
      </c>
      <c r="E52" s="17">
        <f>SUM('[1]م الثالث'!G37:H37)</f>
        <v>76</v>
      </c>
      <c r="F52" s="17">
        <f>SUM('[1]م الثالث'!I37:J37)</f>
        <v>89</v>
      </c>
      <c r="G52" s="17">
        <f>SUM('[1]م الثالث'!K37:L37)</f>
        <v>64</v>
      </c>
      <c r="H52" s="17">
        <f>SUM('[1]م الثالث'!M37:N37)</f>
        <v>52</v>
      </c>
      <c r="I52" s="17">
        <f>SUM('[1]م الثالث'!O37:P37)</f>
        <v>52</v>
      </c>
      <c r="J52" s="17">
        <f>SUM('[1]م الثالث'!Q37:R37)</f>
        <v>70</v>
      </c>
      <c r="K52" s="17">
        <f>SUM('[1]م الثالث'!S37:T37)</f>
        <v>64</v>
      </c>
      <c r="L52" s="17">
        <f>SUM('[1]م الثالث'!U37:V37)</f>
        <v>54</v>
      </c>
      <c r="M52" s="18">
        <f>SUM(الجدول1[[#This Row],[القرآن الكريم  ]:[English(3)]])</f>
        <v>673</v>
      </c>
      <c r="N52" s="19">
        <f>الجدول1[[#This Row],[المجموع]]/10</f>
        <v>67.3</v>
      </c>
      <c r="O52" s="20">
        <f>COUNTIF(الجدول1[[#This Row],[القرآن الكريم  ]:[English(3)]],"&lt;50")</f>
        <v>0</v>
      </c>
      <c r="P52" s="21" t="str">
        <f>VLOOKUP(الجدول1[[#This Row],[مواد الرسوب]],'[1]النتائج م1'!$W$6:$X$8,2,TRUE)</f>
        <v>ناجح</v>
      </c>
      <c r="Q52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52" s="23">
        <f>RANK(الجدول1[[#This Row],[النسبة ]],الجدول1[[النسبة ]],0)</f>
        <v>50</v>
      </c>
    </row>
    <row r="53" spans="1:18" ht="34.200000000000003" x14ac:dyDescent="0.25">
      <c r="A53" s="15">
        <v>2023091</v>
      </c>
      <c r="B53" s="16" t="s">
        <v>42</v>
      </c>
      <c r="C53" s="17">
        <f>SUM('[1]م الثالث'!C51:D51)</f>
        <v>90</v>
      </c>
      <c r="D53" s="17">
        <f>SUM('[1]م الثالث'!E51:F51)</f>
        <v>50</v>
      </c>
      <c r="E53" s="17">
        <f>SUM('[1]م الثالث'!G51:H51)</f>
        <v>52</v>
      </c>
      <c r="F53" s="17">
        <f>SUM('[1]م الثالث'!I51:J51)</f>
        <v>90</v>
      </c>
      <c r="G53" s="17">
        <f>SUM('[1]م الثالث'!K51:L51)</f>
        <v>60</v>
      </c>
      <c r="H53" s="17">
        <f>SUM('[1]م الثالث'!M51:N51)</f>
        <v>70</v>
      </c>
      <c r="I53" s="17">
        <f>SUM('[1]م الثالث'!O51:P51)</f>
        <v>67</v>
      </c>
      <c r="J53" s="17">
        <f>SUM('[1]م الثالث'!Q51:R51)</f>
        <v>50</v>
      </c>
      <c r="K53" s="17">
        <f>SUM('[1]م الثالث'!S51:T51)</f>
        <v>77</v>
      </c>
      <c r="L53" s="17">
        <f>SUM('[1]م الثالث'!U51:V51)</f>
        <v>61</v>
      </c>
      <c r="M53" s="18">
        <f>SUM(الجدول1[[#This Row],[القرآن الكريم  ]:[English(3)]])</f>
        <v>667</v>
      </c>
      <c r="N53" s="19">
        <f>الجدول1[[#This Row],[المجموع]]/10</f>
        <v>66.7</v>
      </c>
      <c r="O53" s="20">
        <f>COUNTIF(الجدول1[[#This Row],[القرآن الكريم  ]:[English(3)]],"&lt;50")</f>
        <v>0</v>
      </c>
      <c r="P53" s="21" t="str">
        <f>VLOOKUP(الجدول1[[#This Row],[مواد الرسوب]],'[1]النتائج م1'!$W$6:$X$8,2,TRUE)</f>
        <v>ناجح</v>
      </c>
      <c r="Q53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53" s="23">
        <f>RANK(الجدول1[[#This Row],[النسبة ]],الجدول1[[النسبة ]],0)</f>
        <v>51</v>
      </c>
    </row>
    <row r="54" spans="1:18" ht="34.200000000000003" x14ac:dyDescent="0.25">
      <c r="A54" s="15">
        <v>2023025</v>
      </c>
      <c r="B54" s="16" t="s">
        <v>69</v>
      </c>
      <c r="C54" s="17">
        <f>SUM('[1]م الثالث'!C70:D70)</f>
        <v>72</v>
      </c>
      <c r="D54" s="17">
        <f>SUM('[1]م الثالث'!E70:F70)</f>
        <v>78</v>
      </c>
      <c r="E54" s="17">
        <f>SUM('[1]م الثالث'!G70:H70)</f>
        <v>53</v>
      </c>
      <c r="F54" s="17">
        <f>SUM('[1]م الثالث'!I70:J70)</f>
        <v>65</v>
      </c>
      <c r="G54" s="17">
        <f>SUM('[1]م الثالث'!K70:L70)</f>
        <v>92</v>
      </c>
      <c r="H54" s="17">
        <f>SUM('[1]م الثالث'!M70:N70)</f>
        <v>50</v>
      </c>
      <c r="I54" s="17">
        <f>SUM('[1]م الثالث'!O70:P70)</f>
        <v>50</v>
      </c>
      <c r="J54" s="17">
        <f>SUM('[1]م الثالث'!Q70:R70)</f>
        <v>55</v>
      </c>
      <c r="K54" s="17">
        <f>SUM('[1]م الثالث'!S70:T70)</f>
        <v>63</v>
      </c>
      <c r="L54" s="17">
        <f>SUM('[1]م الثالث'!U70:V70)</f>
        <v>86</v>
      </c>
      <c r="M54" s="18">
        <f>SUM(الجدول1[[#This Row],[القرآن الكريم  ]:[English(3)]])</f>
        <v>664</v>
      </c>
      <c r="N54" s="19">
        <f>الجدول1[[#This Row],[المجموع]]/10</f>
        <v>66.400000000000006</v>
      </c>
      <c r="O54" s="20">
        <f>COUNTIF(الجدول1[[#This Row],[القرآن الكريم  ]:[English(3)]],"&lt;50")</f>
        <v>0</v>
      </c>
      <c r="P54" s="21" t="str">
        <f>VLOOKUP(الجدول1[[#This Row],[مواد الرسوب]],'[1]النتائج م1'!$W$6:$X$8,2,TRUE)</f>
        <v>ناجح</v>
      </c>
      <c r="Q54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54" s="23">
        <f>RANK(الجدول1[[#This Row],[النسبة ]],الجدول1[[النسبة ]],0)</f>
        <v>52</v>
      </c>
    </row>
    <row r="55" spans="1:18" ht="34.200000000000003" x14ac:dyDescent="0.25">
      <c r="A55" s="15">
        <v>2023100</v>
      </c>
      <c r="B55" s="16" t="s">
        <v>44</v>
      </c>
      <c r="C55" s="17">
        <v>71</v>
      </c>
      <c r="D55" s="17">
        <f>SUM('[1]م الثالث'!E58:F58)</f>
        <v>73</v>
      </c>
      <c r="E55" s="17">
        <f>SUM('[1]م الثالث'!G58:H58)</f>
        <v>50</v>
      </c>
      <c r="F55" s="17">
        <f>SUM('[1]م الثالث'!I58:J58)</f>
        <v>80</v>
      </c>
      <c r="G55" s="17">
        <f>SUM('[1]م الثالث'!K58:L58)</f>
        <v>69</v>
      </c>
      <c r="H55" s="17">
        <v>50</v>
      </c>
      <c r="I55" s="17">
        <v>51</v>
      </c>
      <c r="J55" s="17">
        <f>SUM('[1]م الثالث'!Q58:R58)</f>
        <v>55</v>
      </c>
      <c r="K55" s="17">
        <v>80</v>
      </c>
      <c r="L55" s="17">
        <f>SUM('[1]م الثالث'!U58:V58)</f>
        <v>74</v>
      </c>
      <c r="M55" s="18">
        <f>SUM(الجدول1[[#This Row],[القرآن الكريم  ]:[English(3)]])</f>
        <v>653</v>
      </c>
      <c r="N55" s="19">
        <f>الجدول1[[#This Row],[المجموع]]/10</f>
        <v>65.3</v>
      </c>
      <c r="O55" s="20">
        <f>COUNTIF(الجدول1[[#This Row],[القرآن الكريم  ]:[English(3)]],"&lt;50")</f>
        <v>0</v>
      </c>
      <c r="P55" s="21" t="str">
        <f>VLOOKUP(الجدول1[[#This Row],[مواد الرسوب]],'[1]النتائج م1'!$W$6:$X$8,2,TRUE)</f>
        <v>ناجح</v>
      </c>
      <c r="Q55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55" s="23">
        <f>RANK(الجدول1[[#This Row],[النسبة ]],الجدول1[[النسبة ]],0)</f>
        <v>53</v>
      </c>
    </row>
    <row r="56" spans="1:18" ht="34.200000000000003" x14ac:dyDescent="0.25">
      <c r="A56" s="15">
        <v>2023108</v>
      </c>
      <c r="B56" s="16" t="s">
        <v>40</v>
      </c>
      <c r="C56" s="17">
        <v>80</v>
      </c>
      <c r="D56" s="17">
        <f>SUM('[1]م الثالث'!E62:F62)</f>
        <v>89</v>
      </c>
      <c r="E56" s="17">
        <f>SUM('[1]م الثالث'!G62:H62)</f>
        <v>59</v>
      </c>
      <c r="F56" s="17">
        <f>SUM('[1]م الثالث'!I62:J62)</f>
        <v>87</v>
      </c>
      <c r="G56" s="17">
        <f>SUM('[1]م الثالث'!K62:L62)</f>
        <v>42</v>
      </c>
      <c r="H56" s="17">
        <f>SUM('[1]م الثالث'!M62:N62)</f>
        <v>60</v>
      </c>
      <c r="I56" s="17">
        <f>SUM('[1]م الثالث'!O62:P62)</f>
        <v>50</v>
      </c>
      <c r="J56" s="17">
        <f>SUM('[1]م الثالث'!Q62:R62)</f>
        <v>62</v>
      </c>
      <c r="K56" s="17">
        <f>SUM('[1]م الثالث'!S62:T62)</f>
        <v>70</v>
      </c>
      <c r="L56" s="17">
        <v>51</v>
      </c>
      <c r="M56" s="18">
        <f>SUM(الجدول1[[#This Row],[القرآن الكريم  ]:[English(3)]])</f>
        <v>650</v>
      </c>
      <c r="N56" s="19">
        <f>الجدول1[[#This Row],[المجموع]]/10</f>
        <v>65</v>
      </c>
      <c r="O56" s="20">
        <f>COUNTIF(الجدول1[[#This Row],[القرآن الكريم  ]:[English(3)]],"&lt;50")</f>
        <v>1</v>
      </c>
      <c r="P56" s="21" t="str">
        <f>VLOOKUP(الجدول1[[#This Row],[مواد الرسوب]],'[1]النتائج م1'!$W$6:$X$8,2,TRUE)</f>
        <v>دور ثاني</v>
      </c>
      <c r="Q56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جيد</v>
      </c>
      <c r="R56" s="23">
        <f>RANK(الجدول1[[#This Row],[النسبة ]],الجدول1[[النسبة ]],0)</f>
        <v>54</v>
      </c>
    </row>
    <row r="57" spans="1:18" ht="34.200000000000003" x14ac:dyDescent="0.25">
      <c r="A57" s="15">
        <v>2023099</v>
      </c>
      <c r="B57" s="16" t="s">
        <v>41</v>
      </c>
      <c r="C57" s="17">
        <f>SUM('[1]م الثالث'!C57:D57)</f>
        <v>63</v>
      </c>
      <c r="D57" s="17">
        <f>SUM('[1]م الثالث'!E57:F57)</f>
        <v>84</v>
      </c>
      <c r="E57" s="17">
        <f>SUM('[1]م الثالث'!G57:H57)</f>
        <v>59</v>
      </c>
      <c r="F57" s="17">
        <f>SUM('[1]م الثالث'!I57:J57)</f>
        <v>80</v>
      </c>
      <c r="G57" s="17">
        <f>SUM('[1]م الثالث'!K57:L57)</f>
        <v>69</v>
      </c>
      <c r="H57" s="17">
        <f>SUM('[1]م الثالث'!M57:N57)</f>
        <v>52</v>
      </c>
      <c r="I57" s="17">
        <f>SUM('[1]م الثالث'!O57:P57)</f>
        <v>50</v>
      </c>
      <c r="J57" s="17">
        <f>SUM('[1]م الثالث'!Q57:R57)</f>
        <v>60</v>
      </c>
      <c r="K57" s="17">
        <f>SUM('[1]م الثالث'!S57:T57)</f>
        <v>75</v>
      </c>
      <c r="L57" s="17">
        <f>SUM('[1]م الثالث'!U57:V57)</f>
        <v>50</v>
      </c>
      <c r="M57" s="18">
        <f>SUM(الجدول1[[#This Row],[القرآن الكريم  ]:[English(3)]])</f>
        <v>642</v>
      </c>
      <c r="N57" s="19">
        <f>الجدول1[[#This Row],[المجموع]]/10</f>
        <v>64.2</v>
      </c>
      <c r="O57" s="20">
        <f>COUNTIF(الجدول1[[#This Row],[القرآن الكريم  ]:[English(3)]],"&lt;50")</f>
        <v>0</v>
      </c>
      <c r="P57" s="21" t="str">
        <f>VLOOKUP(الجدول1[[#This Row],[مواد الرسوب]],'[1]النتائج م1'!$W$6:$X$8,2,TRUE)</f>
        <v>ناجح</v>
      </c>
      <c r="Q57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57" s="23">
        <f>RANK(الجدول1[[#This Row],[النسبة ]],الجدول1[[النسبة ]],0)</f>
        <v>55</v>
      </c>
    </row>
    <row r="58" spans="1:18" ht="34.200000000000003" x14ac:dyDescent="0.25">
      <c r="A58" s="15">
        <v>2023094</v>
      </c>
      <c r="B58" s="16" t="s">
        <v>47</v>
      </c>
      <c r="C58" s="17">
        <v>74</v>
      </c>
      <c r="D58" s="17">
        <f>SUM('[1]م الثالث'!E53:F53)</f>
        <v>70</v>
      </c>
      <c r="E58" s="17">
        <v>50</v>
      </c>
      <c r="F58" s="17">
        <f>SUM('[1]م الثالث'!I53:J53)</f>
        <v>95</v>
      </c>
      <c r="G58" s="17">
        <f>SUM('[1]م الثالث'!K53:L53)</f>
        <v>69</v>
      </c>
      <c r="H58" s="17">
        <f>SUM('[1]م الثالث'!M53:N53)</f>
        <v>50</v>
      </c>
      <c r="I58" s="17">
        <f>SUM('[1]م الثالث'!O53:P53)</f>
        <v>50</v>
      </c>
      <c r="J58" s="17">
        <f>SUM('[1]م الثالث'!Q53:R53)</f>
        <v>60</v>
      </c>
      <c r="K58" s="17">
        <f>SUM('[1]م الثالث'!S53:T53)</f>
        <v>70</v>
      </c>
      <c r="L58" s="17">
        <f>SUM('[1]م الثالث'!U53:V53)</f>
        <v>50</v>
      </c>
      <c r="M58" s="18">
        <f>SUM(الجدول1[[#This Row],[القرآن الكريم  ]:[English(3)]])</f>
        <v>638</v>
      </c>
      <c r="N58" s="19">
        <f>الجدول1[[#This Row],[المجموع]]/10</f>
        <v>63.8</v>
      </c>
      <c r="O58" s="20">
        <f>COUNTIF(الجدول1[[#This Row],[القرآن الكريم  ]:[English(3)]],"&lt;50")</f>
        <v>0</v>
      </c>
      <c r="P58" s="21" t="str">
        <f>VLOOKUP(الجدول1[[#This Row],[مواد الرسوب]],'[1]النتائج م1'!$W$6:$X$8,2,TRUE)</f>
        <v>ناجح</v>
      </c>
      <c r="Q58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58" s="23">
        <f>RANK(الجدول1[[#This Row],[النسبة ]],الجدول1[[النسبة ]],0)</f>
        <v>56</v>
      </c>
    </row>
    <row r="59" spans="1:18" ht="34.200000000000003" x14ac:dyDescent="0.25">
      <c r="A59" s="15">
        <v>2023007</v>
      </c>
      <c r="B59" s="16" t="s">
        <v>110</v>
      </c>
      <c r="C59" s="17">
        <v>90</v>
      </c>
      <c r="D59" s="17">
        <f>SUM('[1]م الثالث'!E9:F9)</f>
        <v>60</v>
      </c>
      <c r="E59" s="17">
        <f>SUM('[1]م الثالث'!G9:H9)</f>
        <v>52</v>
      </c>
      <c r="F59" s="17">
        <f>SUM('[1]م الثالث'!I9:J9)</f>
        <v>93</v>
      </c>
      <c r="G59" s="17">
        <f>SUM('[1]م الثالث'!K9:L9)</f>
        <v>70</v>
      </c>
      <c r="H59" s="17">
        <v>52</v>
      </c>
      <c r="I59" s="17">
        <f>SUM('[1]م الثالث'!O9:P9)</f>
        <v>50</v>
      </c>
      <c r="J59" s="17">
        <f>SUM('[1]م الثالث'!Q9:R9)</f>
        <v>60</v>
      </c>
      <c r="K59" s="17">
        <f>SUM('[1]م الثالث'!S9:T9)</f>
        <v>60</v>
      </c>
      <c r="L59" s="17">
        <f>SUM('[1]م الثالث'!U9:V9)</f>
        <v>50</v>
      </c>
      <c r="M59" s="18">
        <f>SUM(الجدول1[[#This Row],[القرآن الكريم  ]:[English(3)]])</f>
        <v>637</v>
      </c>
      <c r="N59" s="19">
        <f>الجدول1[[#This Row],[المجموع]]/10</f>
        <v>63.7</v>
      </c>
      <c r="O59" s="20">
        <f>COUNTIF(الجدول1[[#This Row],[القرآن الكريم  ]:[English(3)]],"&lt;50")</f>
        <v>0</v>
      </c>
      <c r="P59" s="21" t="str">
        <f>VLOOKUP(الجدول1[[#This Row],[مواد الرسوب]],'[1]النتائج م1'!$W$6:$X$8,2,TRUE)</f>
        <v>ناجح</v>
      </c>
      <c r="Q59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59" s="23">
        <f>RANK(الجدول1[[#This Row],[النسبة ]],الجدول1[[النسبة ]],0)</f>
        <v>57</v>
      </c>
    </row>
    <row r="60" spans="1:18" ht="34.200000000000003" x14ac:dyDescent="0.25">
      <c r="A60" s="15">
        <v>2023070</v>
      </c>
      <c r="B60" s="16" t="s">
        <v>34</v>
      </c>
      <c r="C60" s="17">
        <f>SUM('[1]م الثالث'!C40:D40)</f>
        <v>79</v>
      </c>
      <c r="D60" s="17">
        <f>SUM('[1]م الثالث'!E40:F40)</f>
        <v>55</v>
      </c>
      <c r="E60" s="17">
        <f>SUM('[1]م الثالث'!G40:H40)</f>
        <v>50</v>
      </c>
      <c r="F60" s="17">
        <f>SUM('[1]م الثالث'!I40:J40)</f>
        <v>85</v>
      </c>
      <c r="G60" s="17">
        <f>SUM('[1]م الثالث'!K40:L40)</f>
        <v>55</v>
      </c>
      <c r="H60" s="17">
        <f>SUM('[1]م الثالث'!M40:N40)</f>
        <v>50</v>
      </c>
      <c r="I60" s="17">
        <f>SUM('[1]م الثالث'!O40:P40)</f>
        <v>50</v>
      </c>
      <c r="J60" s="17">
        <f>SUM('[1]م الثالث'!Q40:R40)</f>
        <v>55</v>
      </c>
      <c r="K60" s="17">
        <f>SUM('[1]م الثالث'!S40:T40)</f>
        <v>67</v>
      </c>
      <c r="L60" s="17">
        <f>SUM('[1]م الثالث'!U40:V40)</f>
        <v>79</v>
      </c>
      <c r="M60" s="18">
        <f>SUM(الجدول1[[#This Row],[القرآن الكريم  ]:[English(3)]])</f>
        <v>625</v>
      </c>
      <c r="N60" s="19">
        <f>الجدول1[[#This Row],[المجموع]]/10</f>
        <v>62.5</v>
      </c>
      <c r="O60" s="20">
        <f>COUNTIF(الجدول1[[#This Row],[القرآن الكريم  ]:[English(3)]],"&lt;50")</f>
        <v>0</v>
      </c>
      <c r="P60" s="21" t="str">
        <f>VLOOKUP(الجدول1[[#This Row],[مواد الرسوب]],'[1]النتائج م1'!$W$6:$X$8,2,TRUE)</f>
        <v>ناجح</v>
      </c>
      <c r="Q60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60" s="23">
        <f>RANK(الجدول1[[#This Row],[النسبة ]],الجدول1[[النسبة ]],0)</f>
        <v>58</v>
      </c>
    </row>
    <row r="61" spans="1:18" ht="34.200000000000003" x14ac:dyDescent="0.25">
      <c r="A61" s="15">
        <v>2023064</v>
      </c>
      <c r="B61" s="16" t="s">
        <v>50</v>
      </c>
      <c r="C61" s="17">
        <f>SUM('[1]م الثالث'!C35:D35)</f>
        <v>87</v>
      </c>
      <c r="D61" s="17">
        <v>50</v>
      </c>
      <c r="E61" s="17">
        <f>SUM('[1]م الثالث'!G35:H35)</f>
        <v>35</v>
      </c>
      <c r="F61" s="17">
        <v>80</v>
      </c>
      <c r="G61" s="17">
        <f>SUM('[1]م الثالث'!K35:L35)</f>
        <v>65</v>
      </c>
      <c r="H61" s="17">
        <f>SUM('[1]م الثالث'!M35:N35)</f>
        <v>50</v>
      </c>
      <c r="I61" s="17">
        <f>SUM('[1]م الثالث'!O35:P35)</f>
        <v>51</v>
      </c>
      <c r="J61" s="17">
        <f>SUM('[1]م الثالث'!Q35:R35)</f>
        <v>50</v>
      </c>
      <c r="K61" s="17">
        <f>SUM('[1]م الثالث'!S35:T35)</f>
        <v>76</v>
      </c>
      <c r="L61" s="17">
        <f>SUM('[1]م الثالث'!U35:V35)</f>
        <v>72</v>
      </c>
      <c r="M61" s="18">
        <f>SUM(الجدول1[[#This Row],[القرآن الكريم  ]:[English(3)]])</f>
        <v>616</v>
      </c>
      <c r="N61" s="19">
        <f>الجدول1[[#This Row],[المجموع]]/10</f>
        <v>61.6</v>
      </c>
      <c r="O61" s="20">
        <f>COUNTIF(الجدول1[[#This Row],[القرآن الكريم  ]:[English(3)]],"&lt;50")</f>
        <v>1</v>
      </c>
      <c r="P61" s="21" t="str">
        <f>VLOOKUP(الجدول1[[#This Row],[مواد الرسوب]],'[1]النتائج م1'!$W$6:$X$8,2,TRUE)</f>
        <v>دور ثاني</v>
      </c>
      <c r="Q61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61" s="23">
        <f>RANK(الجدول1[[#This Row],[النسبة ]],الجدول1[[النسبة ]],0)</f>
        <v>59</v>
      </c>
    </row>
    <row r="62" spans="1:18" ht="34.200000000000003" x14ac:dyDescent="0.25">
      <c r="A62" s="15">
        <v>2023013</v>
      </c>
      <c r="B62" s="16" t="s">
        <v>111</v>
      </c>
      <c r="C62" s="17">
        <f>SUM('[1]م الثالث'!C11:D11)</f>
        <v>87</v>
      </c>
      <c r="D62" s="17">
        <f>SUM('[1]م الثالث'!E11:F11)</f>
        <v>56</v>
      </c>
      <c r="E62" s="17">
        <f>SUM('[1]م الثالث'!G11:H11)</f>
        <v>54</v>
      </c>
      <c r="F62" s="17">
        <v>85</v>
      </c>
      <c r="G62" s="17">
        <f>SUM('[1]م الثالث'!K11:L11)</f>
        <v>65</v>
      </c>
      <c r="H62" s="17">
        <f>SUM('[1]م الثالث'!M11:N11)</f>
        <v>50</v>
      </c>
      <c r="I62" s="17">
        <f>SUM('[1]م الثالث'!O11:P11)</f>
        <v>50</v>
      </c>
      <c r="J62" s="17">
        <v>50</v>
      </c>
      <c r="K62" s="17">
        <f>SUM('[1]م الثالث'!S11:T11)</f>
        <v>66</v>
      </c>
      <c r="L62" s="17">
        <f>SUM('[1]م الثالث'!U11:V11)</f>
        <v>50</v>
      </c>
      <c r="M62" s="18">
        <f>SUM(الجدول1[[#This Row],[القرآن الكريم  ]:[English(3)]])</f>
        <v>613</v>
      </c>
      <c r="N62" s="19">
        <f>الجدول1[[#This Row],[المجموع]]/10</f>
        <v>61.3</v>
      </c>
      <c r="O62" s="20">
        <f>COUNTIF(الجدول1[[#This Row],[القرآن الكريم  ]:[English(3)]],"&lt;50")</f>
        <v>0</v>
      </c>
      <c r="P62" s="21" t="str">
        <f>VLOOKUP(الجدول1[[#This Row],[مواد الرسوب]],'[1]النتائج م1'!$W$6:$X$8,2,TRUE)</f>
        <v>ناجح</v>
      </c>
      <c r="Q62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62" s="23">
        <f>RANK(الجدول1[[#This Row],[النسبة ]],الجدول1[[النسبة ]],0)</f>
        <v>60</v>
      </c>
    </row>
    <row r="63" spans="1:18" ht="34.200000000000003" x14ac:dyDescent="0.25">
      <c r="A63" s="15">
        <v>2023068</v>
      </c>
      <c r="B63" s="16" t="s">
        <v>35</v>
      </c>
      <c r="C63" s="17">
        <f>SUM('[1]م الثالث'!C38:D38)</f>
        <v>86</v>
      </c>
      <c r="D63" s="17">
        <f>SUM('[1]م الثالث'!E38:F38)</f>
        <v>69</v>
      </c>
      <c r="E63" s="17">
        <f>SUM('[1]م الثالث'!G38:H38)</f>
        <v>55</v>
      </c>
      <c r="F63" s="17">
        <f>SUM('[1]م الثالث'!I38:J38)</f>
        <v>55</v>
      </c>
      <c r="G63" s="17">
        <f>SUM('[1]م الثالث'!K38:L38)</f>
        <v>70</v>
      </c>
      <c r="H63" s="17">
        <f>SUM('[1]م الثالث'!M38:N38)</f>
        <v>50</v>
      </c>
      <c r="I63" s="17">
        <f>SUM('[1]م الثالث'!O38:P38)</f>
        <v>55</v>
      </c>
      <c r="J63" s="17">
        <f>SUM('[1]م الثالث'!Q38:R38)</f>
        <v>50</v>
      </c>
      <c r="K63" s="17">
        <f>SUM('[1]م الثالث'!S38:T38)</f>
        <v>64</v>
      </c>
      <c r="L63" s="17">
        <f>SUM('[1]م الثالث'!U38:V38)</f>
        <v>57</v>
      </c>
      <c r="M63" s="18">
        <f>SUM(الجدول1[[#This Row],[القرآن الكريم  ]:[English(3)]])</f>
        <v>611</v>
      </c>
      <c r="N63" s="19">
        <f>الجدول1[[#This Row],[المجموع]]/10</f>
        <v>61.1</v>
      </c>
      <c r="O63" s="20">
        <f>COUNTIF(الجدول1[[#This Row],[القرآن الكريم  ]:[English(3)]],"&lt;50")</f>
        <v>0</v>
      </c>
      <c r="P63" s="21" t="str">
        <f>VLOOKUP(الجدول1[[#This Row],[مواد الرسوب]],'[1]النتائج م1'!$W$6:$X$8,2,TRUE)</f>
        <v>ناجح</v>
      </c>
      <c r="Q63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63" s="23">
        <f>RANK(الجدول1[[#This Row],[النسبة ]],الجدول1[[النسبة ]],0)</f>
        <v>61</v>
      </c>
    </row>
    <row r="64" spans="1:18" ht="34.200000000000003" x14ac:dyDescent="0.25">
      <c r="A64" s="15">
        <v>2023106</v>
      </c>
      <c r="B64" s="16" t="s">
        <v>53</v>
      </c>
      <c r="C64" s="17">
        <f>SUM('[1]م الثالث'!C61:D61)</f>
        <v>77</v>
      </c>
      <c r="D64" s="17">
        <f>SUM('[1]م الثالث'!E61:F61)</f>
        <v>55</v>
      </c>
      <c r="E64" s="17">
        <f>SUM('[1]م الثالث'!G61:H61)</f>
        <v>50</v>
      </c>
      <c r="F64" s="17">
        <f>SUM('[1]م الثالث'!I61:J61)</f>
        <v>91</v>
      </c>
      <c r="G64" s="17">
        <f>SUM('[1]م الثالث'!K61:L61)</f>
        <v>57</v>
      </c>
      <c r="H64" s="17">
        <f>SUM('[1]م الثالث'!M61:N61)</f>
        <v>50</v>
      </c>
      <c r="I64" s="17">
        <f>SUM('[1]م الثالث'!O61:P61)</f>
        <v>46</v>
      </c>
      <c r="J64" s="17">
        <f>SUM('[1]م الثالث'!Q61:R61)</f>
        <v>55</v>
      </c>
      <c r="K64" s="17">
        <f>SUM('[1]م الثالث'!S61:T61)</f>
        <v>72</v>
      </c>
      <c r="L64" s="17">
        <f>SUM('[1]م الثالث'!U61:V61)</f>
        <v>58</v>
      </c>
      <c r="M64" s="18">
        <f>SUM(الجدول1[[#This Row],[القرآن الكريم  ]:[English(3)]])</f>
        <v>611</v>
      </c>
      <c r="N64" s="19">
        <f>الجدول1[[#This Row],[المجموع]]/10</f>
        <v>61.1</v>
      </c>
      <c r="O64" s="20">
        <f>COUNTIF(الجدول1[[#This Row],[القرآن الكريم  ]:[English(3)]],"&lt;50")</f>
        <v>1</v>
      </c>
      <c r="P64" s="21" t="str">
        <f>VLOOKUP(الجدول1[[#This Row],[مواد الرسوب]],'[1]النتائج م1'!$W$6:$X$8,2,TRUE)</f>
        <v>دور ثاني</v>
      </c>
      <c r="Q64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64" s="23">
        <f>RANK(الجدول1[[#This Row],[النسبة ]],الجدول1[[النسبة ]],0)</f>
        <v>61</v>
      </c>
    </row>
    <row r="65" spans="1:18" ht="34.200000000000003" x14ac:dyDescent="0.25">
      <c r="A65" s="15">
        <v>2023052</v>
      </c>
      <c r="B65" s="16" t="s">
        <v>113</v>
      </c>
      <c r="C65" s="17">
        <f>SUM('[1]م الثالث'!C31:D31)</f>
        <v>30</v>
      </c>
      <c r="D65" s="17">
        <f>SUM('[1]م الثالث'!E31:F31)</f>
        <v>86</v>
      </c>
      <c r="E65" s="17">
        <f>SUM('[1]م الثالث'!G31:H31)</f>
        <v>62</v>
      </c>
      <c r="F65" s="17">
        <f>SUM('[1]م الثالث'!I31:J31)</f>
        <v>91</v>
      </c>
      <c r="G65" s="17">
        <f>SUM('[1]م الثالث'!K31:L31)</f>
        <v>69</v>
      </c>
      <c r="H65" s="17">
        <f>SUM('[1]م الثالث'!M31:N31)</f>
        <v>47</v>
      </c>
      <c r="I65" s="17">
        <f>SUM('[1]م الثالث'!O31:P31)</f>
        <v>50</v>
      </c>
      <c r="J65" s="17">
        <f>SUM('[1]م الثالث'!Q31:R31)</f>
        <v>55</v>
      </c>
      <c r="K65" s="17">
        <f>SUM('[1]م الثالث'!S31:T31)</f>
        <v>67</v>
      </c>
      <c r="L65" s="17">
        <f>SUM('[1]م الثالث'!U31:V31)</f>
        <v>53</v>
      </c>
      <c r="M65" s="18">
        <f>SUM(الجدول1[[#This Row],[القرآن الكريم  ]:[English(3)]])</f>
        <v>610</v>
      </c>
      <c r="N65" s="19">
        <f>الجدول1[[#This Row],[المجموع]]/10</f>
        <v>61</v>
      </c>
      <c r="O65" s="20">
        <f>COUNTIF(الجدول1[[#This Row],[القرآن الكريم  ]:[English(3)]],"&lt;50")</f>
        <v>2</v>
      </c>
      <c r="P65" s="21" t="str">
        <f>VLOOKUP(الجدول1[[#This Row],[مواد الرسوب]],'[1]النتائج م1'!$W$6:$X$8,2,TRUE)</f>
        <v>دور ثاني</v>
      </c>
      <c r="Q65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65" s="23">
        <f>RANK(الجدول1[[#This Row],[النسبة ]],الجدول1[[النسبة ]],0)</f>
        <v>63</v>
      </c>
    </row>
    <row r="66" spans="1:18" ht="34.200000000000003" x14ac:dyDescent="0.25">
      <c r="A66" s="15">
        <v>2023024</v>
      </c>
      <c r="B66" s="16" t="s">
        <v>117</v>
      </c>
      <c r="C66" s="17">
        <f>SUM('[1]م الثالث'!C18:D18)</f>
        <v>22</v>
      </c>
      <c r="D66" s="17">
        <f>SUM('[1]م الثالث'!E18:F18)</f>
        <v>65</v>
      </c>
      <c r="E66" s="17">
        <f>SUM('[1]م الثالث'!G18:H18)</f>
        <v>58</v>
      </c>
      <c r="F66" s="17">
        <v>83</v>
      </c>
      <c r="G66" s="17">
        <f>SUM('[1]م الثالث'!K18:L18)</f>
        <v>65</v>
      </c>
      <c r="H66" s="17">
        <f>SUM('[1]م الثالث'!M18:N18)</f>
        <v>50</v>
      </c>
      <c r="I66" s="17">
        <f>SUM('[1]م الثالث'!O18:P18)</f>
        <v>50</v>
      </c>
      <c r="J66" s="17">
        <v>50</v>
      </c>
      <c r="K66" s="17">
        <f>SUM('[1]م الثالث'!S18:T18)</f>
        <v>77</v>
      </c>
      <c r="L66" s="17">
        <f>SUM('[1]م الثالث'!U18:V18)</f>
        <v>88</v>
      </c>
      <c r="M66" s="18">
        <f>SUM(الجدول1[[#This Row],[القرآن الكريم  ]:[English(3)]])</f>
        <v>608</v>
      </c>
      <c r="N66" s="19">
        <f>الجدول1[[#This Row],[المجموع]]/10</f>
        <v>60.8</v>
      </c>
      <c r="O66" s="20">
        <f>COUNTIF(الجدول1[[#This Row],[القرآن الكريم  ]:[English(3)]],"&lt;50")</f>
        <v>1</v>
      </c>
      <c r="P66" s="21" t="str">
        <f>VLOOKUP(الجدول1[[#This Row],[مواد الرسوب]],'[1]النتائج م1'!$W$6:$X$8,2,TRUE)</f>
        <v>دور ثاني</v>
      </c>
      <c r="Q66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66" s="23">
        <f>RANK(الجدول1[[#This Row],[النسبة ]],الجدول1[[النسبة ]],0)</f>
        <v>64</v>
      </c>
    </row>
    <row r="67" spans="1:18" ht="34.200000000000003" x14ac:dyDescent="0.25">
      <c r="A67" s="15">
        <v>2023003</v>
      </c>
      <c r="B67" s="16" t="s">
        <v>116</v>
      </c>
      <c r="C67" s="17">
        <f>SUM('[1]م الثالث'!C8:D8)</f>
        <v>74</v>
      </c>
      <c r="D67" s="17">
        <f>SUM('[1]م الثالث'!E8:F8)</f>
        <v>60</v>
      </c>
      <c r="E67" s="17">
        <f>SUM('[1]م الثالث'!G8:H8)</f>
        <v>50</v>
      </c>
      <c r="F67" s="17">
        <v>86</v>
      </c>
      <c r="G67" s="17">
        <f>SUM('[1]م الثالث'!K8:L8)</f>
        <v>50</v>
      </c>
      <c r="H67" s="17">
        <f>SUM('[1]م الثالث'!M8:N8)</f>
        <v>35</v>
      </c>
      <c r="I67" s="17">
        <f>SUM('[1]م الثالث'!O8:P8)</f>
        <v>45</v>
      </c>
      <c r="J67" s="17">
        <v>50</v>
      </c>
      <c r="K67" s="17">
        <f>SUM('[1]م الثالث'!S8:T8)</f>
        <v>64</v>
      </c>
      <c r="L67" s="17">
        <f>SUM('[1]م الثالث'!U8:V8)</f>
        <v>84</v>
      </c>
      <c r="M67" s="18">
        <f>SUM(الجدول1[[#This Row],[القرآن الكريم  ]:[English(3)]])</f>
        <v>598</v>
      </c>
      <c r="N67" s="19">
        <f>الجدول1[[#This Row],[المجموع]]/10</f>
        <v>59.8</v>
      </c>
      <c r="O67" s="20">
        <f>COUNTIF(الجدول1[[#This Row],[القرآن الكريم  ]:[English(3)]],"&lt;50")</f>
        <v>2</v>
      </c>
      <c r="P67" s="21" t="str">
        <f>VLOOKUP(الجدول1[[#This Row],[مواد الرسوب]],'[1]النتائج م1'!$W$6:$X$8,2,TRUE)</f>
        <v>دور ثاني</v>
      </c>
      <c r="Q67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67" s="23">
        <f>RANK(الجدول1[[#This Row],[النسبة ]],الجدول1[[النسبة ]],0)</f>
        <v>65</v>
      </c>
    </row>
    <row r="68" spans="1:18" ht="34.200000000000003" x14ac:dyDescent="0.25">
      <c r="A68" s="15">
        <v>2023111</v>
      </c>
      <c r="B68" s="16" t="s">
        <v>52</v>
      </c>
      <c r="C68" s="17">
        <f>SUM('[1]م الثالث'!C64:D64)</f>
        <v>84</v>
      </c>
      <c r="D68" s="17">
        <v>85</v>
      </c>
      <c r="E68" s="17">
        <f>SUM('[1]م الثالث'!G64:H64)</f>
        <v>55</v>
      </c>
      <c r="F68" s="17">
        <f>SUM('[1]م الثالث'!I64:J64)</f>
        <v>90</v>
      </c>
      <c r="G68" s="17">
        <f>SUM('[1]م الثالث'!K64:L64)</f>
        <v>68</v>
      </c>
      <c r="H68" s="17">
        <f>SUM('[1]م الثالث'!M64:N64)</f>
        <v>27</v>
      </c>
      <c r="I68" s="17">
        <f>SUM('[1]م الثالث'!O64:P64)</f>
        <v>36</v>
      </c>
      <c r="J68" s="17">
        <v>50</v>
      </c>
      <c r="K68" s="17">
        <f>SUM('[1]م الثالث'!S64:T64)</f>
        <v>66</v>
      </c>
      <c r="L68" s="17">
        <f>SUM('[1]م الثالث'!U64:V64)</f>
        <v>33</v>
      </c>
      <c r="M68" s="18">
        <f>SUM(الجدول1[[#This Row],[القرآن الكريم  ]:[English(3)]])</f>
        <v>594</v>
      </c>
      <c r="N68" s="19">
        <f>الجدول1[[#This Row],[المجموع]]/10</f>
        <v>59.4</v>
      </c>
      <c r="O68" s="20">
        <f>COUNTIF(الجدول1[[#This Row],[القرآن الكريم  ]:[English(3)]],"&lt;50")</f>
        <v>3</v>
      </c>
      <c r="P68" s="21" t="str">
        <f>VLOOKUP(الجدول1[[#This Row],[مواد الرسوب]],'[1]النتائج م1'!$W$6:$X$8,2,TRUE)</f>
        <v>دور ثاني</v>
      </c>
      <c r="Q68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68" s="23">
        <f>RANK(الجدول1[[#This Row],[النسبة ]],الجدول1[[النسبة ]],0)</f>
        <v>66</v>
      </c>
    </row>
    <row r="69" spans="1:18" ht="34.200000000000003" x14ac:dyDescent="0.25">
      <c r="A69" s="15">
        <v>2023060</v>
      </c>
      <c r="B69" s="16" t="s">
        <v>49</v>
      </c>
      <c r="C69" s="17">
        <f>SUM('[1]م الثالث'!C33:D33)</f>
        <v>91</v>
      </c>
      <c r="D69" s="17">
        <f>SUM('[1]م الثالث'!E33:F33)</f>
        <v>79</v>
      </c>
      <c r="E69" s="17">
        <f>SUM('[1]م الثالث'!G33:H33)</f>
        <v>36</v>
      </c>
      <c r="F69" s="17">
        <v>85</v>
      </c>
      <c r="G69" s="17">
        <f>SUM('[1]م الثالث'!K33:L33)</f>
        <v>70</v>
      </c>
      <c r="H69" s="17">
        <f>SUM('[1]م الثالث'!M33:N33)</f>
        <v>38</v>
      </c>
      <c r="I69" s="17">
        <f>SUM('[1]م الثالث'!O33:P33)</f>
        <v>43</v>
      </c>
      <c r="J69" s="17">
        <v>50</v>
      </c>
      <c r="K69" s="17">
        <f>SUM('[1]م الثالث'!S33:T33)</f>
        <v>67</v>
      </c>
      <c r="L69" s="17">
        <f>SUM('[1]م الثالث'!U33:V33)</f>
        <v>23</v>
      </c>
      <c r="M69" s="18">
        <f>SUM(الجدول1[[#This Row],[القرآن الكريم  ]:[English(3)]])</f>
        <v>582</v>
      </c>
      <c r="N69" s="19">
        <f>الجدول1[[#This Row],[المجموع]]/10</f>
        <v>58.2</v>
      </c>
      <c r="O69" s="20">
        <f>COUNTIF(الجدول1[[#This Row],[القرآن الكريم  ]:[English(3)]],"&lt;50")</f>
        <v>4</v>
      </c>
      <c r="P69" s="21" t="str">
        <f>VLOOKUP(الجدول1[[#This Row],[مواد الرسوب]],'[1]النتائج م1'!$W$6:$X$8,2,TRUE)</f>
        <v>الإعادة</v>
      </c>
      <c r="Q69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69" s="23">
        <f>RANK(الجدول1[[#This Row],[النسبة ]],الجدول1[[النسبة ]],0)</f>
        <v>67</v>
      </c>
    </row>
    <row r="70" spans="1:18" ht="34.200000000000003" x14ac:dyDescent="0.25">
      <c r="A70" s="15">
        <v>2023032</v>
      </c>
      <c r="B70" s="16" t="s">
        <v>115</v>
      </c>
      <c r="C70" s="17">
        <f>SUM('[1]م الثالث'!C21:D21)</f>
        <v>64</v>
      </c>
      <c r="D70" s="17">
        <f>SUM('[1]م الثالث'!E21:F21)</f>
        <v>67</v>
      </c>
      <c r="E70" s="17">
        <f>SUM('[1]م الثالث'!G21:H21)</f>
        <v>50</v>
      </c>
      <c r="F70" s="17">
        <v>82</v>
      </c>
      <c r="G70" s="17">
        <f>SUM('[1]م الثالث'!K21:L21)</f>
        <v>50</v>
      </c>
      <c r="H70" s="17">
        <f>SUM('[1]م الثالث'!M21:N21)</f>
        <v>33</v>
      </c>
      <c r="I70" s="17">
        <f>SUM('[1]م الثالث'!O21:P21)</f>
        <v>50</v>
      </c>
      <c r="J70" s="17">
        <v>50</v>
      </c>
      <c r="K70" s="17">
        <f>SUM('[1]م الثالث'!S21:T21)</f>
        <v>54</v>
      </c>
      <c r="L70" s="17">
        <f>SUM('[1]م الثالث'!U21:V21)</f>
        <v>81</v>
      </c>
      <c r="M70" s="18">
        <f>SUM(الجدول1[[#This Row],[القرآن الكريم  ]:[English(3)]])</f>
        <v>581</v>
      </c>
      <c r="N70" s="19">
        <f>الجدول1[[#This Row],[المجموع]]/10</f>
        <v>58.1</v>
      </c>
      <c r="O70" s="20">
        <f>COUNTIF(الجدول1[[#This Row],[القرآن الكريم  ]:[English(3)]],"&lt;50")</f>
        <v>1</v>
      </c>
      <c r="P70" s="21" t="str">
        <f>VLOOKUP(الجدول1[[#This Row],[مواد الرسوب]],'[1]النتائج م1'!$W$6:$X$8,2,TRUE)</f>
        <v>دور ثاني</v>
      </c>
      <c r="Q70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70" s="23">
        <f>RANK(الجدول1[[#This Row],[النسبة ]],الجدول1[[النسبة ]],0)</f>
        <v>68</v>
      </c>
    </row>
    <row r="71" spans="1:18" ht="34.200000000000003" x14ac:dyDescent="0.25">
      <c r="A71" s="15">
        <v>2023093</v>
      </c>
      <c r="B71" s="16" t="s">
        <v>51</v>
      </c>
      <c r="C71" s="17">
        <v>87</v>
      </c>
      <c r="D71" s="17">
        <v>50</v>
      </c>
      <c r="E71" s="17">
        <f>SUM('[1]م الثالث'!G52:H52)</f>
        <v>51</v>
      </c>
      <c r="F71" s="17">
        <v>80</v>
      </c>
      <c r="G71" s="17">
        <f>SUM('[1]م الثالث'!K52:L52)</f>
        <v>69</v>
      </c>
      <c r="H71" s="17">
        <f>SUM('[1]م الثالث'!M52:N52)</f>
        <v>25</v>
      </c>
      <c r="I71" s="17">
        <f>SUM('[1]م الثالث'!O52:P52)</f>
        <v>50</v>
      </c>
      <c r="J71" s="17">
        <v>50</v>
      </c>
      <c r="K71" s="17">
        <f>SUM('[1]م الثالث'!S52:T52)</f>
        <v>68</v>
      </c>
      <c r="L71" s="17">
        <f>SUM('[1]م الثالث'!U52:V52)</f>
        <v>50</v>
      </c>
      <c r="M71" s="18">
        <f>SUM(الجدول1[[#This Row],[القرآن الكريم  ]:[English(3)]])</f>
        <v>580</v>
      </c>
      <c r="N71" s="19">
        <f>الجدول1[[#This Row],[المجموع]]/10</f>
        <v>58</v>
      </c>
      <c r="O71" s="20">
        <f>COUNTIF(الجدول1[[#This Row],[القرآن الكريم  ]:[English(3)]],"&lt;50")</f>
        <v>1</v>
      </c>
      <c r="P71" s="21" t="str">
        <f>VLOOKUP(الجدول1[[#This Row],[مواد الرسوب]],'[1]النتائج م1'!$W$6:$X$8,2,TRUE)</f>
        <v>دور ثاني</v>
      </c>
      <c r="Q71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71" s="23">
        <f>RANK(الجدول1[[#This Row],[النسبة ]],الجدول1[[النسبة ]],0)</f>
        <v>69</v>
      </c>
    </row>
    <row r="72" spans="1:18" ht="34.200000000000003" x14ac:dyDescent="0.25">
      <c r="A72" s="15">
        <v>2023095</v>
      </c>
      <c r="B72" s="16" t="s">
        <v>55</v>
      </c>
      <c r="C72" s="17">
        <f>SUM('[1]م الثالث'!C54:D54)</f>
        <v>38</v>
      </c>
      <c r="D72" s="17">
        <v>80</v>
      </c>
      <c r="E72" s="17">
        <v>52</v>
      </c>
      <c r="F72" s="17">
        <v>83</v>
      </c>
      <c r="G72" s="17">
        <f>SUM('[1]م الثالث'!K54:L54)</f>
        <v>70</v>
      </c>
      <c r="H72" s="17">
        <f>SUM('[1]م الثالث'!M54:N54)</f>
        <v>38</v>
      </c>
      <c r="I72" s="17">
        <v>50</v>
      </c>
      <c r="J72" s="17">
        <f>SUM('[1]م الثالث'!Q54:R54)</f>
        <v>55</v>
      </c>
      <c r="K72" s="17">
        <f>SUM('[1]م الثالث'!S54:T54)</f>
        <v>80</v>
      </c>
      <c r="L72" s="17">
        <f>SUM('[1]م الثالث'!U54:V54)</f>
        <v>18</v>
      </c>
      <c r="M72" s="18">
        <f>SUM(الجدول1[[#This Row],[القرآن الكريم  ]:[English(3)]])</f>
        <v>564</v>
      </c>
      <c r="N72" s="19">
        <f>الجدول1[[#This Row],[المجموع]]/10</f>
        <v>56.4</v>
      </c>
      <c r="O72" s="20">
        <f>COUNTIF(الجدول1[[#This Row],[القرآن الكريم  ]:[English(3)]],"&lt;50")</f>
        <v>3</v>
      </c>
      <c r="P72" s="21" t="str">
        <f>VLOOKUP(الجدول1[[#This Row],[مواد الرسوب]],'[1]النتائج م1'!$W$6:$X$8,2,TRUE)</f>
        <v>دور ثاني</v>
      </c>
      <c r="Q72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72" s="23">
        <f>RANK(الجدول1[[#This Row],[النسبة ]],الجدول1[[النسبة ]],0)</f>
        <v>70</v>
      </c>
    </row>
    <row r="73" spans="1:18" ht="34.200000000000003" x14ac:dyDescent="0.25">
      <c r="A73" s="15">
        <v>2023048</v>
      </c>
      <c r="B73" s="16" t="s">
        <v>112</v>
      </c>
      <c r="C73" s="17">
        <f>SUM('[1]م الثالث'!C30:D30)</f>
        <v>82</v>
      </c>
      <c r="D73" s="17">
        <v>50</v>
      </c>
      <c r="E73" s="17">
        <f>SUM('[1]م الثالث'!G30:H30)</f>
        <v>50</v>
      </c>
      <c r="F73" s="17">
        <v>80</v>
      </c>
      <c r="G73" s="17">
        <f>SUM('[1]م الثالث'!K30:L30)</f>
        <v>68</v>
      </c>
      <c r="H73" s="17">
        <f>SUM('[1]م الثالث'!M30:N30)</f>
        <v>28</v>
      </c>
      <c r="I73" s="17">
        <f>SUM('[1]م الثالث'!O30:P30)</f>
        <v>27</v>
      </c>
      <c r="J73" s="17">
        <f>SUM('[1]م الثالث'!Q30:R30)</f>
        <v>50</v>
      </c>
      <c r="K73" s="17">
        <v>60</v>
      </c>
      <c r="L73" s="17">
        <v>51</v>
      </c>
      <c r="M73" s="18">
        <f>SUM(الجدول1[[#This Row],[القرآن الكريم  ]:[English(3)]])</f>
        <v>546</v>
      </c>
      <c r="N73" s="19">
        <f>الجدول1[[#This Row],[المجموع]]/10</f>
        <v>54.6</v>
      </c>
      <c r="O73" s="20">
        <f>COUNTIF(الجدول1[[#This Row],[القرآن الكريم  ]:[English(3)]],"&lt;50")</f>
        <v>2</v>
      </c>
      <c r="P73" s="21" t="str">
        <f>VLOOKUP(الجدول1[[#This Row],[مواد الرسوب]],'[1]النتائج م1'!$W$6:$X$8,2,TRUE)</f>
        <v>دور ثاني</v>
      </c>
      <c r="Q73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73" s="23">
        <f>RANK(الجدول1[[#This Row],[النسبة ]],الجدول1[[النسبة ]],0)</f>
        <v>71</v>
      </c>
    </row>
    <row r="74" spans="1:18" ht="34.200000000000003" x14ac:dyDescent="0.25">
      <c r="A74" s="15">
        <v>2023073</v>
      </c>
      <c r="B74" s="16" t="s">
        <v>57</v>
      </c>
      <c r="C74" s="17">
        <f>SUM('[1]م الثالث'!C42:D42)</f>
        <v>84</v>
      </c>
      <c r="D74" s="17">
        <f>SUM('[1]م الثالث'!E42:F42)</f>
        <v>40</v>
      </c>
      <c r="E74" s="17">
        <f>SUM('[1]م الثالث'!G42:H42)</f>
        <v>40</v>
      </c>
      <c r="F74" s="17">
        <f>SUM('[1]م الثالث'!I42:J42)</f>
        <v>89</v>
      </c>
      <c r="G74" s="17">
        <f>SUM('[1]م الثالث'!K42:L42)</f>
        <v>70</v>
      </c>
      <c r="H74" s="17">
        <f>SUM('[1]م الثالث'!M42:N42)</f>
        <v>10</v>
      </c>
      <c r="I74" s="17">
        <f>SUM('[1]م الثالث'!O42:P42)</f>
        <v>10</v>
      </c>
      <c r="J74" s="17">
        <f>SUM('[1]م الثالث'!Q42:R42)</f>
        <v>50</v>
      </c>
      <c r="K74" s="17">
        <f>SUM('[1]م الثالث'!S42:T42)</f>
        <v>69</v>
      </c>
      <c r="L74" s="17">
        <f>SUM('[1]م الثالث'!U42:V42)</f>
        <v>52</v>
      </c>
      <c r="M74" s="18">
        <f>SUM(الجدول1[[#This Row],[القرآن الكريم  ]:[English(3)]])</f>
        <v>514</v>
      </c>
      <c r="N74" s="19">
        <f>الجدول1[[#This Row],[المجموع]]/10</f>
        <v>51.4</v>
      </c>
      <c r="O74" s="20">
        <f>COUNTIF(الجدول1[[#This Row],[القرآن الكريم  ]:[English(3)]],"&lt;50")</f>
        <v>4</v>
      </c>
      <c r="P74" s="21" t="str">
        <f>VLOOKUP(الجدول1[[#This Row],[مواد الرسوب]],'[1]النتائج م1'!$W$6:$X$8,2,TRUE)</f>
        <v>الإعادة</v>
      </c>
      <c r="Q74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74" s="23">
        <f>RANK(الجدول1[[#This Row],[النسبة ]],الجدول1[[النسبة ]],0)</f>
        <v>72</v>
      </c>
    </row>
    <row r="75" spans="1:18" ht="34.200000000000003" x14ac:dyDescent="0.25">
      <c r="A75" s="15">
        <v>2023133</v>
      </c>
      <c r="B75" s="16" t="s">
        <v>118</v>
      </c>
      <c r="C75" s="17">
        <f>SUM('[1]م الثالث'!C68:D68)</f>
        <v>65</v>
      </c>
      <c r="D75" s="17">
        <f>SUM('[1]م الثالث'!E68:F68)</f>
        <v>65</v>
      </c>
      <c r="E75" s="17">
        <f>SUM('[1]م الثالث'!G68:H68)</f>
        <v>39</v>
      </c>
      <c r="F75" s="17">
        <f>SUM('[1]م الثالث'!I68:J68)</f>
        <v>80</v>
      </c>
      <c r="G75" s="17">
        <f>SUM('[1]م الثالث'!K68:L68)</f>
        <v>65</v>
      </c>
      <c r="H75" s="17">
        <f>SUM('[1]م الثالث'!M68:N68)</f>
        <v>19</v>
      </c>
      <c r="I75" s="17">
        <f>SUM('[1]م الثالث'!O68:P68)</f>
        <v>35</v>
      </c>
      <c r="J75" s="17">
        <f>SUM('[1]م الثالث'!Q68:R68)</f>
        <v>20</v>
      </c>
      <c r="K75" s="17">
        <f>SUM('[1]م الثالث'!S68:T68)</f>
        <v>56</v>
      </c>
      <c r="L75" s="17">
        <f>SUM('[1]م الثالث'!U68:V68)</f>
        <v>63</v>
      </c>
      <c r="M75" s="18">
        <f>SUM(الجدول1[[#This Row],[القرآن الكريم  ]:[English(3)]])</f>
        <v>507</v>
      </c>
      <c r="N75" s="19">
        <f>الجدول1[[#This Row],[المجموع]]/10</f>
        <v>50.7</v>
      </c>
      <c r="O75" s="20">
        <f>COUNTIF(الجدول1[[#This Row],[القرآن الكريم  ]:[English(3)]],"&lt;50")</f>
        <v>4</v>
      </c>
      <c r="P75" s="21" t="str">
        <f>VLOOKUP(الجدول1[[#This Row],[مواد الرسوب]],'[1]النتائج م1'!$W$6:$X$8,2,TRUE)</f>
        <v>الإعادة</v>
      </c>
      <c r="Q75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مقبول</v>
      </c>
      <c r="R75" s="23">
        <f>RANK(الجدول1[[#This Row],[النسبة ]],الجدول1[[النسبة ]],0)</f>
        <v>73</v>
      </c>
    </row>
    <row r="76" spans="1:18" ht="34.200000000000003" x14ac:dyDescent="0.25">
      <c r="A76" s="15">
        <v>2023076</v>
      </c>
      <c r="B76" s="16" t="s">
        <v>56</v>
      </c>
      <c r="C76" s="17">
        <f>SUM('[1]م الثالث'!C43:D43)</f>
        <v>87</v>
      </c>
      <c r="D76" s="17">
        <f>SUM('[1]م الثالث'!E43:F43)</f>
        <v>50</v>
      </c>
      <c r="E76" s="17">
        <f>SUM('[1]م الثالث'!G43:H43)</f>
        <v>31</v>
      </c>
      <c r="F76" s="17">
        <f>SUM('[1]م الثالث'!I43:J43)</f>
        <v>85</v>
      </c>
      <c r="G76" s="17">
        <f>SUM('[1]م الثالث'!K43:L43)</f>
        <v>64</v>
      </c>
      <c r="H76" s="17">
        <f>SUM('[1]م الثالث'!M43:N43)</f>
        <v>17</v>
      </c>
      <c r="I76" s="17">
        <f>SUM('[1]م الثالث'!O43:P43)</f>
        <v>10</v>
      </c>
      <c r="J76" s="17">
        <f>SUM('[1]م الثالث'!Q43:R43)</f>
        <v>45</v>
      </c>
      <c r="K76" s="17">
        <f>SUM('[1]م الثالث'!S43:T43)</f>
        <v>66</v>
      </c>
      <c r="L76" s="17">
        <f>SUM('[1]م الثالث'!U43:V43)</f>
        <v>34</v>
      </c>
      <c r="M76" s="18">
        <f>SUM(الجدول1[[#This Row],[القرآن الكريم  ]:[English(3)]])</f>
        <v>489</v>
      </c>
      <c r="N76" s="19">
        <f>الجدول1[[#This Row],[المجموع]]/10</f>
        <v>48.9</v>
      </c>
      <c r="O76" s="28">
        <f>COUNTIF(الجدول1[[#This Row],[القرآن الكريم  ]:[English(3)]],"&lt;50")</f>
        <v>5</v>
      </c>
      <c r="P76" s="21" t="str">
        <f>VLOOKUP(الجدول1[[#This Row],[مواد الرسوب]],'[1]النتائج م1'!$W$6:$X$8,2,TRUE)</f>
        <v>الإعادة</v>
      </c>
      <c r="Q76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راسب</v>
      </c>
      <c r="R76" s="23">
        <f>RANK(الجدول1[[#This Row],[النسبة ]],الجدول1[[النسبة ]],0)</f>
        <v>74</v>
      </c>
    </row>
    <row r="77" spans="1:18" ht="34.200000000000003" x14ac:dyDescent="0.25">
      <c r="A77" s="15">
        <v>2023037</v>
      </c>
      <c r="B77" s="16" t="s">
        <v>119</v>
      </c>
      <c r="C77" s="17">
        <f>SUM('[1]م الثالث'!C23:D23)</f>
        <v>58</v>
      </c>
      <c r="D77" s="17">
        <f>SUM('[1]م الثالث'!E23:F23)</f>
        <v>76</v>
      </c>
      <c r="E77" s="17">
        <f>SUM('[1]م الثالث'!G23:H23)</f>
        <v>33</v>
      </c>
      <c r="F77" s="17">
        <f>SUM('[1]م الثالث'!I23:J23)</f>
        <v>85</v>
      </c>
      <c r="G77" s="17">
        <f>SUM('[1]م الثالث'!K23:L23)</f>
        <v>40</v>
      </c>
      <c r="H77" s="17">
        <f>SUM('[1]م الثالث'!M23:N23)</f>
        <v>26</v>
      </c>
      <c r="I77" s="17">
        <f>SUM('[1]م الثالث'!O23:P23)</f>
        <v>18</v>
      </c>
      <c r="J77" s="17">
        <f>SUM('[1]م الثالث'!Q23:R23)</f>
        <v>45</v>
      </c>
      <c r="K77" s="17">
        <f>SUM('[1]م الثالث'!S23:T23)</f>
        <v>79</v>
      </c>
      <c r="L77" s="17">
        <f>SUM('[1]م الثالث'!U23:V23)</f>
        <v>16</v>
      </c>
      <c r="M77" s="18">
        <f>SUM(الجدول1[[#This Row],[القرآن الكريم  ]:[English(3)]])</f>
        <v>476</v>
      </c>
      <c r="N77" s="19">
        <f>الجدول1[[#This Row],[المجموع]]/10</f>
        <v>47.6</v>
      </c>
      <c r="O77" s="20">
        <f>COUNTIF(الجدول1[[#This Row],[القرآن الكريم  ]:[English(3)]],"&lt;50")</f>
        <v>6</v>
      </c>
      <c r="P77" s="21" t="str">
        <f>VLOOKUP(الجدول1[[#This Row],[مواد الرسوب]],'[1]النتائج م1'!$W$6:$X$8,2,TRUE)</f>
        <v>الإعادة</v>
      </c>
      <c r="Q77" s="22" t="str">
        <f>IF(الجدول1[[#This Row],[النسبة ]]&gt;=85," ممتاز",IF(الجدول1[[#This Row],[النسبة ]]&gt;=75," جيدجدا",IF(الجدول1[[#This Row],[النسبة ]]&gt;=65," جيد",IF(الجدول1[[#This Row],[النسبة ]]&gt;=50," مقبول",IF(الجدول1[[#This Row],[النسبة ]]&gt;=0," راسب",)))))</f>
        <v xml:space="preserve"> راسب</v>
      </c>
      <c r="R77" s="23">
        <f>RANK(الجدول1[[#This Row],[النسبة ]],الجدول1[[النسبة ]],0)</f>
        <v>75</v>
      </c>
    </row>
    <row r="78" spans="1:18" ht="15" x14ac:dyDescent="0.25">
      <c r="M78" s="7"/>
    </row>
  </sheetData>
  <conditionalFormatting sqref="C3:C77">
    <cfRule type="cellIs" dxfId="30" priority="10" operator="lessThan">
      <formula>50</formula>
    </cfRule>
  </conditionalFormatting>
  <conditionalFormatting sqref="C3:L77">
    <cfRule type="containsText" dxfId="29" priority="6" operator="containsText" text="100">
      <formula>NOT(ISERROR(SEARCH("100",C3)))</formula>
    </cfRule>
  </conditionalFormatting>
  <conditionalFormatting sqref="D3:L77">
    <cfRule type="cellIs" dxfId="28" priority="12" operator="lessThan">
      <formula>50</formula>
    </cfRule>
  </conditionalFormatting>
  <conditionalFormatting sqref="M3:M77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{C9B82018-96A0-4A6E-A271-70DEA4DA10AC}</x14:id>
        </ext>
      </extLst>
    </cfRule>
  </conditionalFormatting>
  <conditionalFormatting sqref="N1:N78">
    <cfRule type="colorScale" priority="4">
      <colorScale>
        <cfvo type="min"/>
        <cfvo type="max"/>
        <color rgb="FF63BE7B"/>
        <color rgb="FFFFEF9C"/>
      </colorScale>
    </cfRule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{1C19C91B-506D-4C02-A8A5-DEF48EC3A350}</x14:id>
        </ext>
      </extLst>
    </cfRule>
  </conditionalFormatting>
  <conditionalFormatting sqref="N3:N7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{05D4BF5F-3837-4BA3-B15B-3173B1ED3FD5}</x14:id>
        </ext>
      </extLst>
    </cfRule>
  </conditionalFormatting>
  <conditionalFormatting sqref="O3:O77">
    <cfRule type="cellIs" dxfId="27" priority="7" operator="greaterThan">
      <formula>0</formula>
    </cfRule>
  </conditionalFormatting>
  <conditionalFormatting sqref="O1:Q77">
    <cfRule type="containsText" dxfId="26" priority="2" operator="containsText" text="راسب">
      <formula>NOT(ISERROR(SEARCH("راسب",O1)))</formula>
    </cfRule>
  </conditionalFormatting>
  <conditionalFormatting sqref="P1:P78">
    <cfRule type="containsText" dxfId="25" priority="1" operator="containsText" text="ناجح">
      <formula>NOT(ISERROR(SEARCH("ناجح",P1)))</formula>
    </cfRule>
  </conditionalFormatting>
  <conditionalFormatting sqref="P3:P77">
    <cfRule type="containsText" dxfId="24" priority="8" operator="containsText" text="دور ثاني">
      <formula>NOT(ISERROR(SEARCH("دور ثاني",P3)))</formula>
    </cfRule>
    <cfRule type="containsText" dxfId="23" priority="9" operator="containsText" text="ناجح">
      <formula>NOT(ISERROR(SEARCH("ناجح",P3)))</formula>
    </cfRule>
  </conditionalFormatting>
  <conditionalFormatting sqref="Q1:Q78">
    <cfRule type="containsText" dxfId="22" priority="3" operator="containsText" text="ممتاز">
      <formula>NOT(ISERROR(SEARCH("ممتاز",Q1)))</formula>
    </cfRule>
  </conditionalFormatting>
  <conditionalFormatting sqref="R1:R78">
    <cfRule type="duplicateValues" dxfId="21" priority="11"/>
  </conditionalFormatting>
  <conditionalFormatting sqref="R3:R77">
    <cfRule type="duplicateValues" dxfId="20" priority="15"/>
  </conditionalFormatting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B82018-96A0-4A6E-A271-70DEA4DA10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M3:M77</xm:sqref>
        </x14:conditionalFormatting>
        <x14:conditionalFormatting xmlns:xm="http://schemas.microsoft.com/office/excel/2006/main">
          <x14:cfRule type="dataBar" id="{1C19C91B-506D-4C02-A8A5-DEF48EC3A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N1:N78</xm:sqref>
        </x14:conditionalFormatting>
        <x14:conditionalFormatting xmlns:xm="http://schemas.microsoft.com/office/excel/2006/main">
          <x14:cfRule type="dataBar" id="{05D4BF5F-3837-4BA3-B15B-3173B1ED3F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N3:N77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B4AA-09E3-4CE9-8ED6-EA4D39244F6E}">
  <sheetPr>
    <tabColor rgb="FF00B050"/>
  </sheetPr>
  <dimension ref="A1:R78"/>
  <sheetViews>
    <sheetView rightToLeft="1" tabSelected="1" topLeftCell="A69" workbookViewId="0">
      <selection activeCell="Q6" sqref="Q6"/>
    </sheetView>
  </sheetViews>
  <sheetFormatPr defaultRowHeight="13.8" x14ac:dyDescent="0.25"/>
  <cols>
    <col min="2" max="2" width="22.09765625" bestFit="1" customWidth="1"/>
    <col min="3" max="6" width="7.69921875" customWidth="1"/>
    <col min="7" max="7" width="6.19921875" customWidth="1"/>
    <col min="8" max="14" width="7.69921875" customWidth="1"/>
    <col min="15" max="15" width="4.3984375" customWidth="1"/>
    <col min="16" max="16" width="8.59765625" customWidth="1"/>
    <col min="17" max="17" width="9.3984375" customWidth="1"/>
    <col min="18" max="18" width="6.296875" customWidth="1"/>
  </cols>
  <sheetData>
    <row r="1" spans="1:18" ht="49.5" customHeight="1" x14ac:dyDescent="0.25"/>
    <row r="2" spans="1:18" s="43" customFormat="1" ht="112.2" x14ac:dyDescent="0.25">
      <c r="A2" s="46" t="s">
        <v>120</v>
      </c>
      <c r="B2" s="46" t="s">
        <v>90</v>
      </c>
      <c r="C2" s="46" t="s">
        <v>91</v>
      </c>
      <c r="D2" s="46" t="s">
        <v>121</v>
      </c>
      <c r="E2" s="46" t="s">
        <v>122</v>
      </c>
      <c r="F2" s="46" t="s">
        <v>123</v>
      </c>
      <c r="G2" s="46" t="s">
        <v>124</v>
      </c>
      <c r="H2" s="46" t="s">
        <v>125</v>
      </c>
      <c r="I2" s="46" t="s">
        <v>126</v>
      </c>
      <c r="J2" s="46" t="s">
        <v>127</v>
      </c>
      <c r="K2" s="46" t="s">
        <v>128</v>
      </c>
      <c r="L2" s="46" t="s">
        <v>129</v>
      </c>
      <c r="M2" s="46" t="s">
        <v>13</v>
      </c>
      <c r="N2" s="46" t="s">
        <v>101</v>
      </c>
      <c r="O2" s="46" t="s">
        <v>102</v>
      </c>
      <c r="P2" s="46" t="s">
        <v>103</v>
      </c>
      <c r="Q2" s="46" t="s">
        <v>16</v>
      </c>
      <c r="R2" s="46" t="s">
        <v>104</v>
      </c>
    </row>
    <row r="3" spans="1:18" ht="17.399999999999999" x14ac:dyDescent="0.3">
      <c r="A3" s="44">
        <v>2023085</v>
      </c>
      <c r="B3" s="44" t="s">
        <v>59</v>
      </c>
      <c r="C3" s="47">
        <v>97</v>
      </c>
      <c r="D3" s="47">
        <v>100</v>
      </c>
      <c r="E3" s="47">
        <v>93</v>
      </c>
      <c r="F3" s="47">
        <v>100</v>
      </c>
      <c r="G3" s="47">
        <v>100</v>
      </c>
      <c r="H3" s="47">
        <v>94</v>
      </c>
      <c r="I3" s="47">
        <v>94</v>
      </c>
      <c r="J3" s="47">
        <v>95</v>
      </c>
      <c r="K3" s="47">
        <v>100</v>
      </c>
      <c r="L3" s="47">
        <v>94</v>
      </c>
      <c r="M3" s="47">
        <v>967</v>
      </c>
      <c r="N3" s="47">
        <v>96.7</v>
      </c>
      <c r="O3" s="48">
        <v>0</v>
      </c>
      <c r="P3" s="49" t="s">
        <v>130</v>
      </c>
      <c r="Q3" s="49" t="s">
        <v>131</v>
      </c>
      <c r="R3" s="49">
        <v>1</v>
      </c>
    </row>
    <row r="4" spans="1:18" ht="17.399999999999999" x14ac:dyDescent="0.3">
      <c r="A4" s="44">
        <v>2023041</v>
      </c>
      <c r="B4" s="44" t="s">
        <v>64</v>
      </c>
      <c r="C4" s="47">
        <v>96</v>
      </c>
      <c r="D4" s="47">
        <v>95</v>
      </c>
      <c r="E4" s="47">
        <v>96</v>
      </c>
      <c r="F4" s="47">
        <v>100</v>
      </c>
      <c r="G4" s="47">
        <v>100</v>
      </c>
      <c r="H4" s="47">
        <v>91</v>
      </c>
      <c r="I4" s="47">
        <v>97</v>
      </c>
      <c r="J4" s="47">
        <v>95</v>
      </c>
      <c r="K4" s="47">
        <v>100</v>
      </c>
      <c r="L4" s="47">
        <v>77</v>
      </c>
      <c r="M4" s="47">
        <v>947</v>
      </c>
      <c r="N4" s="47">
        <v>94.7</v>
      </c>
      <c r="O4" s="48">
        <v>0</v>
      </c>
      <c r="P4" s="49" t="s">
        <v>130</v>
      </c>
      <c r="Q4" s="49" t="s">
        <v>131</v>
      </c>
      <c r="R4" s="49">
        <v>2</v>
      </c>
    </row>
    <row r="5" spans="1:18" ht="17.399999999999999" x14ac:dyDescent="0.3">
      <c r="A5" s="44">
        <v>2023097</v>
      </c>
      <c r="B5" s="44" t="s">
        <v>19</v>
      </c>
      <c r="C5" s="47">
        <v>98</v>
      </c>
      <c r="D5" s="47">
        <v>100</v>
      </c>
      <c r="E5" s="47">
        <v>96</v>
      </c>
      <c r="F5" s="47">
        <v>100</v>
      </c>
      <c r="G5" s="47">
        <v>100</v>
      </c>
      <c r="H5" s="47">
        <v>100</v>
      </c>
      <c r="I5" s="47">
        <v>100</v>
      </c>
      <c r="J5" s="47">
        <v>100</v>
      </c>
      <c r="K5" s="47">
        <v>94</v>
      </c>
      <c r="L5" s="47">
        <v>55</v>
      </c>
      <c r="M5" s="47">
        <v>943</v>
      </c>
      <c r="N5" s="47">
        <v>94.3</v>
      </c>
      <c r="O5" s="48">
        <v>0</v>
      </c>
      <c r="P5" s="49" t="s">
        <v>130</v>
      </c>
      <c r="Q5" s="49" t="s">
        <v>131</v>
      </c>
      <c r="R5" s="49">
        <v>3</v>
      </c>
    </row>
    <row r="6" spans="1:18" ht="17.399999999999999" x14ac:dyDescent="0.3">
      <c r="A6" s="44">
        <v>2023053</v>
      </c>
      <c r="B6" s="44" t="s">
        <v>60</v>
      </c>
      <c r="C6" s="47">
        <v>90</v>
      </c>
      <c r="D6" s="47">
        <v>100</v>
      </c>
      <c r="E6" s="47">
        <v>78</v>
      </c>
      <c r="F6" s="47">
        <v>100</v>
      </c>
      <c r="G6" s="47">
        <v>100</v>
      </c>
      <c r="H6" s="47">
        <v>99</v>
      </c>
      <c r="I6" s="47">
        <v>98</v>
      </c>
      <c r="J6" s="47">
        <v>92</v>
      </c>
      <c r="K6" s="47">
        <v>95</v>
      </c>
      <c r="L6" s="47">
        <v>89</v>
      </c>
      <c r="M6" s="47">
        <v>941</v>
      </c>
      <c r="N6" s="47">
        <v>94.1</v>
      </c>
      <c r="O6" s="48">
        <v>0</v>
      </c>
      <c r="P6" s="49" t="s">
        <v>130</v>
      </c>
      <c r="Q6" s="49" t="s">
        <v>131</v>
      </c>
      <c r="R6" s="49">
        <v>4</v>
      </c>
    </row>
    <row r="7" spans="1:18" ht="17.399999999999999" x14ac:dyDescent="0.3">
      <c r="A7" s="44">
        <v>2023027</v>
      </c>
      <c r="B7" s="44" t="s">
        <v>73</v>
      </c>
      <c r="C7" s="47">
        <v>100</v>
      </c>
      <c r="D7" s="47">
        <v>100</v>
      </c>
      <c r="E7" s="47">
        <v>97</v>
      </c>
      <c r="F7" s="47">
        <v>65</v>
      </c>
      <c r="G7" s="47">
        <v>100</v>
      </c>
      <c r="H7" s="47">
        <v>98</v>
      </c>
      <c r="I7" s="47">
        <v>99</v>
      </c>
      <c r="J7" s="47">
        <v>100</v>
      </c>
      <c r="K7" s="47">
        <v>90</v>
      </c>
      <c r="L7" s="47">
        <v>84</v>
      </c>
      <c r="M7" s="47">
        <v>933</v>
      </c>
      <c r="N7" s="47">
        <v>93.3</v>
      </c>
      <c r="O7" s="48">
        <v>0</v>
      </c>
      <c r="P7" s="49" t="s">
        <v>130</v>
      </c>
      <c r="Q7" s="49" t="s">
        <v>131</v>
      </c>
      <c r="R7" s="49">
        <v>5</v>
      </c>
    </row>
    <row r="8" spans="1:18" ht="17.399999999999999" x14ac:dyDescent="0.3">
      <c r="A8" s="44">
        <v>2023113</v>
      </c>
      <c r="B8" s="44" t="s">
        <v>25</v>
      </c>
      <c r="C8" s="47">
        <v>98</v>
      </c>
      <c r="D8" s="47">
        <v>100</v>
      </c>
      <c r="E8" s="47">
        <v>94</v>
      </c>
      <c r="F8" s="47">
        <v>100</v>
      </c>
      <c r="G8" s="47">
        <v>100</v>
      </c>
      <c r="H8" s="47">
        <v>97</v>
      </c>
      <c r="I8" s="47">
        <v>97</v>
      </c>
      <c r="J8" s="47">
        <v>93</v>
      </c>
      <c r="K8" s="47">
        <v>86</v>
      </c>
      <c r="L8" s="47">
        <v>67</v>
      </c>
      <c r="M8" s="47">
        <v>932</v>
      </c>
      <c r="N8" s="47">
        <v>93.2</v>
      </c>
      <c r="O8" s="48">
        <v>0</v>
      </c>
      <c r="P8" s="49" t="s">
        <v>130</v>
      </c>
      <c r="Q8" s="49" t="s">
        <v>131</v>
      </c>
      <c r="R8" s="49">
        <v>6</v>
      </c>
    </row>
    <row r="9" spans="1:18" ht="17.399999999999999" x14ac:dyDescent="0.3">
      <c r="A9" s="44">
        <v>2023056</v>
      </c>
      <c r="B9" s="44" t="s">
        <v>74</v>
      </c>
      <c r="C9" s="47">
        <v>96</v>
      </c>
      <c r="D9" s="47">
        <v>100</v>
      </c>
      <c r="E9" s="47">
        <v>77</v>
      </c>
      <c r="F9" s="47">
        <v>100</v>
      </c>
      <c r="G9" s="47">
        <v>100</v>
      </c>
      <c r="H9" s="47">
        <v>82</v>
      </c>
      <c r="I9" s="47">
        <v>95</v>
      </c>
      <c r="J9" s="47">
        <v>100</v>
      </c>
      <c r="K9" s="47">
        <v>97</v>
      </c>
      <c r="L9" s="47">
        <v>83</v>
      </c>
      <c r="M9" s="47">
        <v>930</v>
      </c>
      <c r="N9" s="47">
        <v>93</v>
      </c>
      <c r="O9" s="48">
        <v>0</v>
      </c>
      <c r="P9" s="49" t="s">
        <v>130</v>
      </c>
      <c r="Q9" s="49" t="s">
        <v>131</v>
      </c>
      <c r="R9" s="49">
        <v>7</v>
      </c>
    </row>
    <row r="10" spans="1:18" ht="17.399999999999999" x14ac:dyDescent="0.3">
      <c r="A10" s="44">
        <v>2023069</v>
      </c>
      <c r="B10" s="44" t="s">
        <v>21</v>
      </c>
      <c r="C10" s="47">
        <v>89</v>
      </c>
      <c r="D10" s="47">
        <v>100</v>
      </c>
      <c r="E10" s="47">
        <v>82</v>
      </c>
      <c r="F10" s="47">
        <v>99</v>
      </c>
      <c r="G10" s="47">
        <v>100</v>
      </c>
      <c r="H10" s="47">
        <v>100</v>
      </c>
      <c r="I10" s="47">
        <v>98</v>
      </c>
      <c r="J10" s="47">
        <v>93</v>
      </c>
      <c r="K10" s="47">
        <v>86</v>
      </c>
      <c r="L10" s="47">
        <v>79</v>
      </c>
      <c r="M10" s="47">
        <v>926</v>
      </c>
      <c r="N10" s="47">
        <v>92.6</v>
      </c>
      <c r="O10" s="48">
        <v>0</v>
      </c>
      <c r="P10" s="49" t="s">
        <v>130</v>
      </c>
      <c r="Q10" s="49" t="s">
        <v>131</v>
      </c>
      <c r="R10" s="49">
        <v>8</v>
      </c>
    </row>
    <row r="11" spans="1:18" ht="17.399999999999999" x14ac:dyDescent="0.3">
      <c r="A11" s="44">
        <v>2023110</v>
      </c>
      <c r="B11" s="44" t="s">
        <v>28</v>
      </c>
      <c r="C11" s="47">
        <v>97</v>
      </c>
      <c r="D11" s="47">
        <v>93</v>
      </c>
      <c r="E11" s="47">
        <v>84</v>
      </c>
      <c r="F11" s="47">
        <v>90</v>
      </c>
      <c r="G11" s="47">
        <v>100</v>
      </c>
      <c r="H11" s="47">
        <v>92</v>
      </c>
      <c r="I11" s="47">
        <v>94</v>
      </c>
      <c r="J11" s="47">
        <v>80</v>
      </c>
      <c r="K11" s="47">
        <v>96</v>
      </c>
      <c r="L11" s="47">
        <v>96</v>
      </c>
      <c r="M11" s="47">
        <v>922</v>
      </c>
      <c r="N11" s="47">
        <v>92.2</v>
      </c>
      <c r="O11" s="48">
        <v>0</v>
      </c>
      <c r="P11" s="49" t="s">
        <v>130</v>
      </c>
      <c r="Q11" s="49" t="s">
        <v>131</v>
      </c>
      <c r="R11" s="49">
        <v>9</v>
      </c>
    </row>
    <row r="12" spans="1:18" ht="17.399999999999999" x14ac:dyDescent="0.3">
      <c r="A12" s="44">
        <v>2023001</v>
      </c>
      <c r="B12" s="44" t="s">
        <v>72</v>
      </c>
      <c r="C12" s="47">
        <v>93</v>
      </c>
      <c r="D12" s="47">
        <v>100</v>
      </c>
      <c r="E12" s="47">
        <v>72</v>
      </c>
      <c r="F12" s="47">
        <v>98</v>
      </c>
      <c r="G12" s="47">
        <v>100</v>
      </c>
      <c r="H12" s="47">
        <v>80</v>
      </c>
      <c r="I12" s="47">
        <v>95</v>
      </c>
      <c r="J12" s="47">
        <v>98</v>
      </c>
      <c r="K12" s="47">
        <v>87</v>
      </c>
      <c r="L12" s="47">
        <v>96</v>
      </c>
      <c r="M12" s="47">
        <v>919</v>
      </c>
      <c r="N12" s="47">
        <v>91.9</v>
      </c>
      <c r="O12" s="48">
        <v>0</v>
      </c>
      <c r="P12" s="49" t="s">
        <v>130</v>
      </c>
      <c r="Q12" s="49" t="s">
        <v>131</v>
      </c>
      <c r="R12" s="49">
        <v>10</v>
      </c>
    </row>
    <row r="13" spans="1:18" ht="17.399999999999999" x14ac:dyDescent="0.3">
      <c r="A13" s="44">
        <v>2023045</v>
      </c>
      <c r="B13" s="44" t="s">
        <v>81</v>
      </c>
      <c r="C13" s="47">
        <v>92</v>
      </c>
      <c r="D13" s="47">
        <v>100</v>
      </c>
      <c r="E13" s="47">
        <v>83</v>
      </c>
      <c r="F13" s="47">
        <v>100</v>
      </c>
      <c r="G13" s="47">
        <v>99</v>
      </c>
      <c r="H13" s="47">
        <v>79</v>
      </c>
      <c r="I13" s="47">
        <v>94</v>
      </c>
      <c r="J13" s="47">
        <v>91</v>
      </c>
      <c r="K13" s="47">
        <v>89</v>
      </c>
      <c r="L13" s="47">
        <v>91</v>
      </c>
      <c r="M13" s="47">
        <v>918</v>
      </c>
      <c r="N13" s="47">
        <v>91.8</v>
      </c>
      <c r="O13" s="48">
        <v>0</v>
      </c>
      <c r="P13" s="49" t="s">
        <v>130</v>
      </c>
      <c r="Q13" s="49" t="s">
        <v>131</v>
      </c>
      <c r="R13" s="49">
        <v>11</v>
      </c>
    </row>
    <row r="14" spans="1:18" ht="17.399999999999999" x14ac:dyDescent="0.3">
      <c r="A14" s="44">
        <v>2023019</v>
      </c>
      <c r="B14" s="44" t="s">
        <v>106</v>
      </c>
      <c r="C14" s="47">
        <v>100</v>
      </c>
      <c r="D14" s="47">
        <v>98</v>
      </c>
      <c r="E14" s="47">
        <v>82</v>
      </c>
      <c r="F14" s="47">
        <v>95</v>
      </c>
      <c r="G14" s="47">
        <v>100</v>
      </c>
      <c r="H14" s="47">
        <v>99</v>
      </c>
      <c r="I14" s="47">
        <v>90</v>
      </c>
      <c r="J14" s="47">
        <v>78</v>
      </c>
      <c r="K14" s="47">
        <v>93</v>
      </c>
      <c r="L14" s="47">
        <v>71</v>
      </c>
      <c r="M14" s="47">
        <v>906</v>
      </c>
      <c r="N14" s="47">
        <v>90.6</v>
      </c>
      <c r="O14" s="48">
        <v>0</v>
      </c>
      <c r="P14" s="49" t="s">
        <v>130</v>
      </c>
      <c r="Q14" s="49" t="s">
        <v>131</v>
      </c>
      <c r="R14" s="49">
        <v>12</v>
      </c>
    </row>
    <row r="15" spans="1:18" ht="17.399999999999999" x14ac:dyDescent="0.3">
      <c r="A15" s="44">
        <v>2023129</v>
      </c>
      <c r="B15" s="44" t="s">
        <v>66</v>
      </c>
      <c r="C15" s="47">
        <v>80</v>
      </c>
      <c r="D15" s="47">
        <v>100</v>
      </c>
      <c r="E15" s="47">
        <v>66</v>
      </c>
      <c r="F15" s="47">
        <v>100</v>
      </c>
      <c r="G15" s="47">
        <v>100</v>
      </c>
      <c r="H15" s="47">
        <v>88</v>
      </c>
      <c r="I15" s="47">
        <v>97</v>
      </c>
      <c r="J15" s="47">
        <v>93</v>
      </c>
      <c r="K15" s="47">
        <v>100</v>
      </c>
      <c r="L15" s="47">
        <v>78</v>
      </c>
      <c r="M15" s="47">
        <v>902</v>
      </c>
      <c r="N15" s="47">
        <v>90.2</v>
      </c>
      <c r="O15" s="48">
        <v>0</v>
      </c>
      <c r="P15" s="49" t="s">
        <v>130</v>
      </c>
      <c r="Q15" s="49" t="s">
        <v>131</v>
      </c>
      <c r="R15" s="49">
        <v>13</v>
      </c>
    </row>
    <row r="16" spans="1:18" ht="17.399999999999999" x14ac:dyDescent="0.3">
      <c r="A16" s="44">
        <v>2023038</v>
      </c>
      <c r="B16" s="44" t="s">
        <v>76</v>
      </c>
      <c r="C16" s="47">
        <v>95</v>
      </c>
      <c r="D16" s="47">
        <v>100</v>
      </c>
      <c r="E16" s="47">
        <v>94</v>
      </c>
      <c r="F16" s="47">
        <v>100</v>
      </c>
      <c r="G16" s="47">
        <v>100</v>
      </c>
      <c r="H16" s="47">
        <v>84</v>
      </c>
      <c r="I16" s="47">
        <v>99</v>
      </c>
      <c r="J16" s="47">
        <v>77</v>
      </c>
      <c r="K16" s="47">
        <v>76</v>
      </c>
      <c r="L16" s="47">
        <v>73</v>
      </c>
      <c r="M16" s="47">
        <v>898</v>
      </c>
      <c r="N16" s="47">
        <v>89.8</v>
      </c>
      <c r="O16" s="48">
        <v>0</v>
      </c>
      <c r="P16" s="49" t="s">
        <v>130</v>
      </c>
      <c r="Q16" s="49" t="s">
        <v>132</v>
      </c>
      <c r="R16" s="49">
        <v>14</v>
      </c>
    </row>
    <row r="17" spans="1:18" ht="17.399999999999999" x14ac:dyDescent="0.3">
      <c r="A17" s="44">
        <v>2023062</v>
      </c>
      <c r="B17" s="44" t="s">
        <v>17</v>
      </c>
      <c r="C17" s="47">
        <v>96</v>
      </c>
      <c r="D17" s="47">
        <v>100</v>
      </c>
      <c r="E17" s="47">
        <v>98</v>
      </c>
      <c r="F17" s="47">
        <v>88</v>
      </c>
      <c r="G17" s="47">
        <v>100</v>
      </c>
      <c r="H17" s="47">
        <v>94</v>
      </c>
      <c r="I17" s="47">
        <v>98</v>
      </c>
      <c r="J17" s="47">
        <v>85</v>
      </c>
      <c r="K17" s="47">
        <v>88</v>
      </c>
      <c r="L17" s="47">
        <v>50</v>
      </c>
      <c r="M17" s="47">
        <v>897</v>
      </c>
      <c r="N17" s="47">
        <v>89.7</v>
      </c>
      <c r="O17" s="48">
        <v>0</v>
      </c>
      <c r="P17" s="49" t="s">
        <v>130</v>
      </c>
      <c r="Q17" s="49" t="s">
        <v>132</v>
      </c>
      <c r="R17" s="49">
        <v>15</v>
      </c>
    </row>
    <row r="18" spans="1:18" ht="17.399999999999999" x14ac:dyDescent="0.3">
      <c r="A18" s="44">
        <v>2023046</v>
      </c>
      <c r="B18" s="44" t="s">
        <v>83</v>
      </c>
      <c r="C18" s="47">
        <v>97</v>
      </c>
      <c r="D18" s="47">
        <v>98</v>
      </c>
      <c r="E18" s="47">
        <v>54</v>
      </c>
      <c r="F18" s="47">
        <v>94</v>
      </c>
      <c r="G18" s="47">
        <v>99</v>
      </c>
      <c r="H18" s="47">
        <v>96</v>
      </c>
      <c r="I18" s="47">
        <v>99</v>
      </c>
      <c r="J18" s="47">
        <v>95</v>
      </c>
      <c r="K18" s="47">
        <v>87</v>
      </c>
      <c r="L18" s="47">
        <v>66</v>
      </c>
      <c r="M18" s="47">
        <v>885</v>
      </c>
      <c r="N18" s="47">
        <v>88.5</v>
      </c>
      <c r="O18" s="48">
        <v>0</v>
      </c>
      <c r="P18" s="49" t="s">
        <v>130</v>
      </c>
      <c r="Q18" s="49" t="s">
        <v>132</v>
      </c>
      <c r="R18" s="49">
        <v>17</v>
      </c>
    </row>
    <row r="19" spans="1:18" ht="17.399999999999999" x14ac:dyDescent="0.3">
      <c r="A19" s="44">
        <v>2023087</v>
      </c>
      <c r="B19" s="44" t="s">
        <v>22</v>
      </c>
      <c r="C19" s="47">
        <v>88</v>
      </c>
      <c r="D19" s="47">
        <v>100</v>
      </c>
      <c r="E19" s="47">
        <v>76</v>
      </c>
      <c r="F19" s="47">
        <v>100</v>
      </c>
      <c r="G19" s="47">
        <v>100</v>
      </c>
      <c r="H19" s="47">
        <v>86</v>
      </c>
      <c r="I19" s="47">
        <v>95</v>
      </c>
      <c r="J19" s="47">
        <v>83</v>
      </c>
      <c r="K19" s="47">
        <v>96</v>
      </c>
      <c r="L19" s="47">
        <v>61</v>
      </c>
      <c r="M19" s="47">
        <v>885</v>
      </c>
      <c r="N19" s="47">
        <v>88.5</v>
      </c>
      <c r="O19" s="48">
        <v>0</v>
      </c>
      <c r="P19" s="49" t="s">
        <v>130</v>
      </c>
      <c r="Q19" s="49" t="s">
        <v>132</v>
      </c>
      <c r="R19" s="49">
        <v>17</v>
      </c>
    </row>
    <row r="20" spans="1:18" ht="17.399999999999999" x14ac:dyDescent="0.3">
      <c r="A20" s="44">
        <v>2023084</v>
      </c>
      <c r="B20" s="44" t="s">
        <v>62</v>
      </c>
      <c r="C20" s="47">
        <v>95</v>
      </c>
      <c r="D20" s="47">
        <v>100</v>
      </c>
      <c r="E20" s="47">
        <v>65</v>
      </c>
      <c r="F20" s="47">
        <v>100</v>
      </c>
      <c r="G20" s="47">
        <v>100</v>
      </c>
      <c r="H20" s="47">
        <v>65</v>
      </c>
      <c r="I20" s="47">
        <v>94</v>
      </c>
      <c r="J20" s="47">
        <v>80</v>
      </c>
      <c r="K20" s="47">
        <v>100</v>
      </c>
      <c r="L20" s="47">
        <v>86</v>
      </c>
      <c r="M20" s="47">
        <v>885</v>
      </c>
      <c r="N20" s="47">
        <v>88.5</v>
      </c>
      <c r="O20" s="48">
        <v>0</v>
      </c>
      <c r="P20" s="49" t="s">
        <v>130</v>
      </c>
      <c r="Q20" s="49" t="s">
        <v>132</v>
      </c>
      <c r="R20" s="49">
        <v>17</v>
      </c>
    </row>
    <row r="21" spans="1:18" ht="17.399999999999999" x14ac:dyDescent="0.3">
      <c r="A21" s="44">
        <v>2023015</v>
      </c>
      <c r="B21" s="44" t="s">
        <v>86</v>
      </c>
      <c r="C21" s="47">
        <v>97</v>
      </c>
      <c r="D21" s="47">
        <v>97</v>
      </c>
      <c r="E21" s="47">
        <v>72</v>
      </c>
      <c r="F21" s="47">
        <v>97</v>
      </c>
      <c r="G21" s="47">
        <v>99</v>
      </c>
      <c r="H21" s="47">
        <v>93</v>
      </c>
      <c r="I21" s="47">
        <v>96</v>
      </c>
      <c r="J21" s="47">
        <v>92</v>
      </c>
      <c r="K21" s="47">
        <v>79</v>
      </c>
      <c r="L21" s="47">
        <v>60</v>
      </c>
      <c r="M21" s="47">
        <v>882</v>
      </c>
      <c r="N21" s="47">
        <v>88.2</v>
      </c>
      <c r="O21" s="48">
        <v>0</v>
      </c>
      <c r="P21" s="49" t="s">
        <v>130</v>
      </c>
      <c r="Q21" s="49" t="s">
        <v>132</v>
      </c>
      <c r="R21" s="49">
        <v>20</v>
      </c>
    </row>
    <row r="22" spans="1:18" ht="17.399999999999999" x14ac:dyDescent="0.3">
      <c r="A22" s="44">
        <v>2023089</v>
      </c>
      <c r="B22" s="44" t="s">
        <v>27</v>
      </c>
      <c r="C22" s="47">
        <v>98</v>
      </c>
      <c r="D22" s="47">
        <v>100</v>
      </c>
      <c r="E22" s="47">
        <v>63</v>
      </c>
      <c r="F22" s="47">
        <v>95</v>
      </c>
      <c r="G22" s="47">
        <v>100</v>
      </c>
      <c r="H22" s="47">
        <v>91</v>
      </c>
      <c r="I22" s="47">
        <v>91</v>
      </c>
      <c r="J22" s="47">
        <v>80</v>
      </c>
      <c r="K22" s="47">
        <v>96</v>
      </c>
      <c r="L22" s="47">
        <v>64</v>
      </c>
      <c r="M22" s="47">
        <v>878</v>
      </c>
      <c r="N22" s="47">
        <v>87.8</v>
      </c>
      <c r="O22" s="48">
        <v>0</v>
      </c>
      <c r="P22" s="49" t="s">
        <v>130</v>
      </c>
      <c r="Q22" s="49" t="s">
        <v>132</v>
      </c>
      <c r="R22" s="49">
        <v>21</v>
      </c>
    </row>
    <row r="23" spans="1:18" ht="17.399999999999999" x14ac:dyDescent="0.3">
      <c r="A23" s="44">
        <v>2023065</v>
      </c>
      <c r="B23" s="44" t="s">
        <v>29</v>
      </c>
      <c r="C23" s="47">
        <v>94</v>
      </c>
      <c r="D23" s="47">
        <v>90</v>
      </c>
      <c r="E23" s="47">
        <v>62</v>
      </c>
      <c r="F23" s="47">
        <v>89</v>
      </c>
      <c r="G23" s="47">
        <v>100</v>
      </c>
      <c r="H23" s="47">
        <v>83</v>
      </c>
      <c r="I23" s="47">
        <v>91</v>
      </c>
      <c r="J23" s="47">
        <v>84</v>
      </c>
      <c r="K23" s="47">
        <v>88</v>
      </c>
      <c r="L23" s="47">
        <v>91</v>
      </c>
      <c r="M23" s="47">
        <v>872</v>
      </c>
      <c r="N23" s="47">
        <v>87.2</v>
      </c>
      <c r="O23" s="48">
        <v>0</v>
      </c>
      <c r="P23" s="49" t="s">
        <v>130</v>
      </c>
      <c r="Q23" s="49" t="s">
        <v>132</v>
      </c>
      <c r="R23" s="49">
        <v>22</v>
      </c>
    </row>
    <row r="24" spans="1:18" ht="17.399999999999999" x14ac:dyDescent="0.3">
      <c r="A24" s="44">
        <v>2023055</v>
      </c>
      <c r="B24" s="44" t="s">
        <v>65</v>
      </c>
      <c r="C24" s="47">
        <v>92</v>
      </c>
      <c r="D24" s="47">
        <v>97</v>
      </c>
      <c r="E24" s="47">
        <v>51</v>
      </c>
      <c r="F24" s="47">
        <v>95</v>
      </c>
      <c r="G24" s="47">
        <v>100</v>
      </c>
      <c r="H24" s="47">
        <v>65</v>
      </c>
      <c r="I24" s="47">
        <v>89</v>
      </c>
      <c r="J24" s="47">
        <v>89</v>
      </c>
      <c r="K24" s="47">
        <v>100</v>
      </c>
      <c r="L24" s="47">
        <v>93</v>
      </c>
      <c r="M24" s="47">
        <v>871</v>
      </c>
      <c r="N24" s="47">
        <v>87.1</v>
      </c>
      <c r="O24" s="48">
        <v>0</v>
      </c>
      <c r="P24" s="49" t="s">
        <v>130</v>
      </c>
      <c r="Q24" s="49" t="s">
        <v>132</v>
      </c>
      <c r="R24" s="49">
        <v>23</v>
      </c>
    </row>
    <row r="25" spans="1:18" ht="17.399999999999999" x14ac:dyDescent="0.3">
      <c r="A25" s="44">
        <v>2023041</v>
      </c>
      <c r="B25" s="44" t="s">
        <v>85</v>
      </c>
      <c r="C25" s="47">
        <v>89</v>
      </c>
      <c r="D25" s="47">
        <v>98</v>
      </c>
      <c r="E25" s="47">
        <v>71</v>
      </c>
      <c r="F25" s="47">
        <v>94</v>
      </c>
      <c r="G25" s="47">
        <v>97</v>
      </c>
      <c r="H25" s="47">
        <v>89</v>
      </c>
      <c r="I25" s="47">
        <v>94</v>
      </c>
      <c r="J25" s="47">
        <v>79</v>
      </c>
      <c r="K25" s="47">
        <v>90</v>
      </c>
      <c r="L25" s="47">
        <v>69</v>
      </c>
      <c r="M25" s="47">
        <v>870</v>
      </c>
      <c r="N25" s="47">
        <v>87</v>
      </c>
      <c r="O25" s="48">
        <v>0</v>
      </c>
      <c r="P25" s="49" t="s">
        <v>130</v>
      </c>
      <c r="Q25" s="49" t="s">
        <v>132</v>
      </c>
      <c r="R25" s="49">
        <v>24</v>
      </c>
    </row>
    <row r="26" spans="1:18" ht="17.399999999999999" x14ac:dyDescent="0.3">
      <c r="A26" s="44">
        <v>202357</v>
      </c>
      <c r="B26" s="44" t="s">
        <v>79</v>
      </c>
      <c r="C26" s="47">
        <v>93</v>
      </c>
      <c r="D26" s="47">
        <v>97</v>
      </c>
      <c r="E26" s="47">
        <v>70</v>
      </c>
      <c r="F26" s="47">
        <v>91</v>
      </c>
      <c r="G26" s="47">
        <v>100</v>
      </c>
      <c r="H26" s="47">
        <v>85</v>
      </c>
      <c r="I26" s="47">
        <v>88</v>
      </c>
      <c r="J26" s="47">
        <v>98</v>
      </c>
      <c r="K26" s="47">
        <v>77</v>
      </c>
      <c r="L26" s="47">
        <v>68</v>
      </c>
      <c r="M26" s="47">
        <v>867</v>
      </c>
      <c r="N26" s="47">
        <v>86.7</v>
      </c>
      <c r="O26" s="48">
        <v>0</v>
      </c>
      <c r="P26" s="49" t="s">
        <v>130</v>
      </c>
      <c r="Q26" s="49" t="s">
        <v>132</v>
      </c>
      <c r="R26" s="49">
        <v>25</v>
      </c>
    </row>
    <row r="27" spans="1:18" ht="17.399999999999999" x14ac:dyDescent="0.3">
      <c r="A27" s="44">
        <v>2023009</v>
      </c>
      <c r="B27" s="44" t="s">
        <v>109</v>
      </c>
      <c r="C27" s="47">
        <v>100</v>
      </c>
      <c r="D27" s="47">
        <v>99</v>
      </c>
      <c r="E27" s="47">
        <v>64</v>
      </c>
      <c r="F27" s="47">
        <v>100</v>
      </c>
      <c r="G27" s="47">
        <v>90</v>
      </c>
      <c r="H27" s="47">
        <v>96</v>
      </c>
      <c r="I27" s="47">
        <v>94</v>
      </c>
      <c r="J27" s="47">
        <v>88</v>
      </c>
      <c r="K27" s="47">
        <v>80</v>
      </c>
      <c r="L27" s="47">
        <v>56</v>
      </c>
      <c r="M27" s="47">
        <v>867</v>
      </c>
      <c r="N27" s="47">
        <v>86.7</v>
      </c>
      <c r="O27" s="48">
        <v>0</v>
      </c>
      <c r="P27" s="49" t="s">
        <v>130</v>
      </c>
      <c r="Q27" s="49" t="s">
        <v>132</v>
      </c>
      <c r="R27" s="49">
        <v>25</v>
      </c>
    </row>
    <row r="28" spans="1:18" ht="17.399999999999999" x14ac:dyDescent="0.3">
      <c r="A28" s="44">
        <v>2023039</v>
      </c>
      <c r="B28" s="44" t="s">
        <v>63</v>
      </c>
      <c r="C28" s="47">
        <v>80</v>
      </c>
      <c r="D28" s="47">
        <v>97</v>
      </c>
      <c r="E28" s="47">
        <v>69</v>
      </c>
      <c r="F28" s="47">
        <v>100</v>
      </c>
      <c r="G28" s="47">
        <v>100</v>
      </c>
      <c r="H28" s="47">
        <v>73</v>
      </c>
      <c r="I28" s="47">
        <v>91</v>
      </c>
      <c r="J28" s="47">
        <v>91</v>
      </c>
      <c r="K28" s="47">
        <v>95</v>
      </c>
      <c r="L28" s="47">
        <v>68</v>
      </c>
      <c r="M28" s="47">
        <v>864</v>
      </c>
      <c r="N28" s="47">
        <v>86.4</v>
      </c>
      <c r="O28" s="48">
        <v>0</v>
      </c>
      <c r="P28" s="49" t="s">
        <v>130</v>
      </c>
      <c r="Q28" s="49" t="s">
        <v>132</v>
      </c>
      <c r="R28" s="49">
        <v>27</v>
      </c>
    </row>
    <row r="29" spans="1:18" ht="17.399999999999999" x14ac:dyDescent="0.3">
      <c r="A29" s="44">
        <v>2023082</v>
      </c>
      <c r="B29" s="44" t="s">
        <v>31</v>
      </c>
      <c r="C29" s="47">
        <v>94</v>
      </c>
      <c r="D29" s="47">
        <v>90</v>
      </c>
      <c r="E29" s="47">
        <v>90</v>
      </c>
      <c r="F29" s="47">
        <v>100</v>
      </c>
      <c r="G29" s="47">
        <v>100</v>
      </c>
      <c r="H29" s="47">
        <v>96</v>
      </c>
      <c r="I29" s="47">
        <v>72</v>
      </c>
      <c r="J29" s="47">
        <v>82</v>
      </c>
      <c r="K29" s="47">
        <v>92</v>
      </c>
      <c r="L29" s="47">
        <v>42</v>
      </c>
      <c r="M29" s="47">
        <v>858</v>
      </c>
      <c r="N29" s="47">
        <v>85.8</v>
      </c>
      <c r="O29" s="48">
        <v>1</v>
      </c>
      <c r="P29" s="49" t="s">
        <v>133</v>
      </c>
      <c r="Q29" s="49" t="s">
        <v>132</v>
      </c>
      <c r="R29" s="49">
        <v>28</v>
      </c>
    </row>
    <row r="30" spans="1:18" ht="17.399999999999999" x14ac:dyDescent="0.3">
      <c r="A30" s="44">
        <v>2023090</v>
      </c>
      <c r="B30" s="44" t="s">
        <v>20</v>
      </c>
      <c r="C30" s="47">
        <v>96</v>
      </c>
      <c r="D30" s="47">
        <v>100</v>
      </c>
      <c r="E30" s="47">
        <v>58</v>
      </c>
      <c r="F30" s="47">
        <v>94</v>
      </c>
      <c r="G30" s="47">
        <v>100</v>
      </c>
      <c r="H30" s="47">
        <v>93</v>
      </c>
      <c r="I30" s="47">
        <v>92</v>
      </c>
      <c r="J30" s="47">
        <v>74</v>
      </c>
      <c r="K30" s="47">
        <v>90</v>
      </c>
      <c r="L30" s="47">
        <v>60</v>
      </c>
      <c r="M30" s="47">
        <v>857</v>
      </c>
      <c r="N30" s="47">
        <v>85.7</v>
      </c>
      <c r="O30" s="48">
        <v>0</v>
      </c>
      <c r="P30" s="49" t="s">
        <v>130</v>
      </c>
      <c r="Q30" s="49" t="s">
        <v>132</v>
      </c>
      <c r="R30" s="49">
        <v>29</v>
      </c>
    </row>
    <row r="31" spans="1:18" ht="17.399999999999999" x14ac:dyDescent="0.3">
      <c r="A31" s="44">
        <v>2023130</v>
      </c>
      <c r="B31" s="44" t="s">
        <v>32</v>
      </c>
      <c r="C31" s="47">
        <v>90</v>
      </c>
      <c r="D31" s="47">
        <v>100</v>
      </c>
      <c r="E31" s="47">
        <v>74</v>
      </c>
      <c r="F31" s="47">
        <v>96</v>
      </c>
      <c r="G31" s="47">
        <v>100</v>
      </c>
      <c r="H31" s="47">
        <v>91</v>
      </c>
      <c r="I31" s="47">
        <v>80</v>
      </c>
      <c r="J31" s="47">
        <v>98</v>
      </c>
      <c r="K31" s="47">
        <v>78</v>
      </c>
      <c r="L31" s="47">
        <v>50</v>
      </c>
      <c r="M31" s="47">
        <v>857</v>
      </c>
      <c r="N31" s="47">
        <v>85.7</v>
      </c>
      <c r="O31" s="48">
        <v>0</v>
      </c>
      <c r="P31" s="49" t="s">
        <v>130</v>
      </c>
      <c r="Q31" s="49" t="s">
        <v>132</v>
      </c>
      <c r="R31" s="49">
        <v>29</v>
      </c>
    </row>
    <row r="32" spans="1:18" ht="17.399999999999999" x14ac:dyDescent="0.3">
      <c r="A32" s="44">
        <v>2023124</v>
      </c>
      <c r="B32" s="44" t="s">
        <v>80</v>
      </c>
      <c r="C32" s="47">
        <v>60</v>
      </c>
      <c r="D32" s="47">
        <v>100</v>
      </c>
      <c r="E32" s="47">
        <v>50</v>
      </c>
      <c r="F32" s="47">
        <v>89</v>
      </c>
      <c r="G32" s="47">
        <v>100</v>
      </c>
      <c r="H32" s="47">
        <v>96</v>
      </c>
      <c r="I32" s="47">
        <v>93</v>
      </c>
      <c r="J32" s="47">
        <v>93</v>
      </c>
      <c r="K32" s="47">
        <v>81</v>
      </c>
      <c r="L32" s="47">
        <v>92</v>
      </c>
      <c r="M32" s="47">
        <v>854</v>
      </c>
      <c r="N32" s="47">
        <v>85.4</v>
      </c>
      <c r="O32" s="48">
        <v>0</v>
      </c>
      <c r="P32" s="49" t="s">
        <v>130</v>
      </c>
      <c r="Q32" s="49" t="s">
        <v>132</v>
      </c>
      <c r="R32" s="49">
        <v>31</v>
      </c>
    </row>
    <row r="33" spans="1:18" ht="17.399999999999999" x14ac:dyDescent="0.3">
      <c r="A33" s="44">
        <v>2023081</v>
      </c>
      <c r="B33" s="44" t="s">
        <v>23</v>
      </c>
      <c r="C33" s="47">
        <v>95</v>
      </c>
      <c r="D33" s="47">
        <v>100</v>
      </c>
      <c r="E33" s="47">
        <v>61</v>
      </c>
      <c r="F33" s="47">
        <v>90</v>
      </c>
      <c r="G33" s="47">
        <v>100</v>
      </c>
      <c r="H33" s="47">
        <v>76</v>
      </c>
      <c r="I33" s="47">
        <v>53</v>
      </c>
      <c r="J33" s="47">
        <v>93</v>
      </c>
      <c r="K33" s="47">
        <v>97</v>
      </c>
      <c r="L33" s="47">
        <v>86</v>
      </c>
      <c r="M33" s="47">
        <v>851</v>
      </c>
      <c r="N33" s="47">
        <v>85.1</v>
      </c>
      <c r="O33" s="48">
        <v>0</v>
      </c>
      <c r="P33" s="49" t="s">
        <v>130</v>
      </c>
      <c r="Q33" s="49" t="s">
        <v>132</v>
      </c>
      <c r="R33" s="49">
        <v>32</v>
      </c>
    </row>
    <row r="34" spans="1:18" ht="17.399999999999999" x14ac:dyDescent="0.3">
      <c r="A34" s="44">
        <v>2023030</v>
      </c>
      <c r="B34" s="44" t="s">
        <v>77</v>
      </c>
      <c r="C34" s="47">
        <v>96</v>
      </c>
      <c r="D34" s="47">
        <v>100</v>
      </c>
      <c r="E34" s="47">
        <v>58</v>
      </c>
      <c r="F34" s="47">
        <v>100</v>
      </c>
      <c r="G34" s="47">
        <v>100</v>
      </c>
      <c r="H34" s="47">
        <v>62</v>
      </c>
      <c r="I34" s="47">
        <v>91</v>
      </c>
      <c r="J34" s="47">
        <v>90</v>
      </c>
      <c r="K34" s="47">
        <v>75</v>
      </c>
      <c r="L34" s="47">
        <v>77</v>
      </c>
      <c r="M34" s="47">
        <v>849</v>
      </c>
      <c r="N34" s="47">
        <v>84.9</v>
      </c>
      <c r="O34" s="48">
        <v>0</v>
      </c>
      <c r="P34" s="49" t="s">
        <v>130</v>
      </c>
      <c r="Q34" s="49" t="s">
        <v>132</v>
      </c>
      <c r="R34" s="49">
        <v>33</v>
      </c>
    </row>
    <row r="35" spans="1:18" ht="17.399999999999999" x14ac:dyDescent="0.3">
      <c r="A35" s="44">
        <v>2023101</v>
      </c>
      <c r="B35" s="44" t="s">
        <v>37</v>
      </c>
      <c r="C35" s="47">
        <v>99</v>
      </c>
      <c r="D35" s="47">
        <v>100</v>
      </c>
      <c r="E35" s="47">
        <v>70</v>
      </c>
      <c r="F35" s="47">
        <v>100</v>
      </c>
      <c r="G35" s="47">
        <v>100</v>
      </c>
      <c r="H35" s="47">
        <v>78</v>
      </c>
      <c r="I35" s="47">
        <v>68</v>
      </c>
      <c r="J35" s="47">
        <v>75</v>
      </c>
      <c r="K35" s="47">
        <v>89</v>
      </c>
      <c r="L35" s="47">
        <v>69</v>
      </c>
      <c r="M35" s="47">
        <v>848</v>
      </c>
      <c r="N35" s="47">
        <v>84.8</v>
      </c>
      <c r="O35" s="48">
        <v>0</v>
      </c>
      <c r="P35" s="49" t="s">
        <v>130</v>
      </c>
      <c r="Q35" s="49" t="s">
        <v>132</v>
      </c>
      <c r="R35" s="49">
        <v>34</v>
      </c>
    </row>
    <row r="36" spans="1:18" ht="17.399999999999999" x14ac:dyDescent="0.3">
      <c r="A36" s="44">
        <v>2023060</v>
      </c>
      <c r="B36" s="44" t="s">
        <v>49</v>
      </c>
      <c r="C36" s="47">
        <v>98</v>
      </c>
      <c r="D36" s="47">
        <v>85</v>
      </c>
      <c r="E36" s="47">
        <v>50</v>
      </c>
      <c r="F36" s="47">
        <v>75</v>
      </c>
      <c r="G36" s="47">
        <v>100</v>
      </c>
      <c r="H36" s="47">
        <v>91</v>
      </c>
      <c r="I36" s="47">
        <v>93</v>
      </c>
      <c r="J36" s="47">
        <v>85</v>
      </c>
      <c r="K36" s="47">
        <v>84</v>
      </c>
      <c r="L36" s="47">
        <v>71</v>
      </c>
      <c r="M36" s="47">
        <v>832</v>
      </c>
      <c r="N36" s="47">
        <v>83.2</v>
      </c>
      <c r="O36" s="48">
        <v>0</v>
      </c>
      <c r="P36" s="49" t="s">
        <v>130</v>
      </c>
      <c r="Q36" s="49" t="s">
        <v>132</v>
      </c>
      <c r="R36" s="49">
        <v>35</v>
      </c>
    </row>
    <row r="37" spans="1:18" ht="17.399999999999999" x14ac:dyDescent="0.3">
      <c r="A37" s="44">
        <v>2023047</v>
      </c>
      <c r="B37" s="44" t="s">
        <v>107</v>
      </c>
      <c r="C37" s="47">
        <v>88</v>
      </c>
      <c r="D37" s="47">
        <v>97</v>
      </c>
      <c r="E37" s="47">
        <v>72</v>
      </c>
      <c r="F37" s="47">
        <v>85</v>
      </c>
      <c r="G37" s="47">
        <v>99</v>
      </c>
      <c r="H37" s="47">
        <v>64</v>
      </c>
      <c r="I37" s="47">
        <v>85</v>
      </c>
      <c r="J37" s="47">
        <v>90</v>
      </c>
      <c r="K37" s="47">
        <v>85</v>
      </c>
      <c r="L37" s="47">
        <v>56</v>
      </c>
      <c r="M37" s="47">
        <v>821</v>
      </c>
      <c r="N37" s="47">
        <v>82.1</v>
      </c>
      <c r="O37" s="48">
        <v>0</v>
      </c>
      <c r="P37" s="49" t="s">
        <v>130</v>
      </c>
      <c r="Q37" s="49" t="s">
        <v>132</v>
      </c>
      <c r="R37" s="49">
        <v>36</v>
      </c>
    </row>
    <row r="38" spans="1:18" ht="17.399999999999999" x14ac:dyDescent="0.3">
      <c r="A38" s="44">
        <v>2023033</v>
      </c>
      <c r="B38" s="44" t="s">
        <v>78</v>
      </c>
      <c r="C38" s="47">
        <v>88</v>
      </c>
      <c r="D38" s="47">
        <v>97</v>
      </c>
      <c r="E38" s="47">
        <v>56</v>
      </c>
      <c r="F38" s="47">
        <v>40</v>
      </c>
      <c r="G38" s="47">
        <v>100</v>
      </c>
      <c r="H38" s="47">
        <v>87</v>
      </c>
      <c r="I38" s="47">
        <v>97</v>
      </c>
      <c r="J38" s="47">
        <v>92</v>
      </c>
      <c r="K38" s="47">
        <v>83</v>
      </c>
      <c r="L38" s="47">
        <v>75</v>
      </c>
      <c r="M38" s="47">
        <v>815</v>
      </c>
      <c r="N38" s="47">
        <v>81.5</v>
      </c>
      <c r="O38" s="48">
        <v>1</v>
      </c>
      <c r="P38" s="49" t="s">
        <v>133</v>
      </c>
      <c r="Q38" s="49" t="s">
        <v>132</v>
      </c>
      <c r="R38" s="49">
        <v>38</v>
      </c>
    </row>
    <row r="39" spans="1:18" ht="17.399999999999999" x14ac:dyDescent="0.3">
      <c r="A39" s="44">
        <v>2023079</v>
      </c>
      <c r="B39" s="44" t="s">
        <v>38</v>
      </c>
      <c r="C39" s="47">
        <v>83</v>
      </c>
      <c r="D39" s="47">
        <v>95</v>
      </c>
      <c r="E39" s="47">
        <v>37</v>
      </c>
      <c r="F39" s="47">
        <v>75</v>
      </c>
      <c r="G39" s="47">
        <v>100</v>
      </c>
      <c r="H39" s="47">
        <v>77</v>
      </c>
      <c r="I39" s="47">
        <v>86</v>
      </c>
      <c r="J39" s="47">
        <v>87</v>
      </c>
      <c r="K39" s="47">
        <v>88</v>
      </c>
      <c r="L39" s="47">
        <v>83</v>
      </c>
      <c r="M39" s="47">
        <v>811</v>
      </c>
      <c r="N39" s="47">
        <v>81.099999999999994</v>
      </c>
      <c r="O39" s="48">
        <v>1</v>
      </c>
      <c r="P39" s="49" t="s">
        <v>133</v>
      </c>
      <c r="Q39" s="49" t="s">
        <v>132</v>
      </c>
      <c r="R39" s="49">
        <v>39</v>
      </c>
    </row>
    <row r="40" spans="1:18" ht="17.399999999999999" x14ac:dyDescent="0.3">
      <c r="A40" s="44">
        <v>2023088</v>
      </c>
      <c r="B40" s="44" t="s">
        <v>46</v>
      </c>
      <c r="C40" s="47">
        <v>87</v>
      </c>
      <c r="D40" s="47">
        <v>100</v>
      </c>
      <c r="E40" s="47">
        <v>60</v>
      </c>
      <c r="F40" s="47">
        <v>75</v>
      </c>
      <c r="G40" s="47">
        <v>95</v>
      </c>
      <c r="H40" s="47">
        <v>85</v>
      </c>
      <c r="I40" s="47">
        <v>88</v>
      </c>
      <c r="J40" s="47">
        <v>58</v>
      </c>
      <c r="K40" s="47">
        <v>82</v>
      </c>
      <c r="L40" s="47">
        <v>78</v>
      </c>
      <c r="M40" s="47">
        <v>808</v>
      </c>
      <c r="N40" s="47">
        <v>80.8</v>
      </c>
      <c r="O40" s="48">
        <v>0</v>
      </c>
      <c r="P40" s="49" t="s">
        <v>130</v>
      </c>
      <c r="Q40" s="49" t="s">
        <v>132</v>
      </c>
      <c r="R40" s="49">
        <v>40</v>
      </c>
    </row>
    <row r="41" spans="1:18" ht="17.399999999999999" x14ac:dyDescent="0.3">
      <c r="A41" s="44">
        <v>2023018</v>
      </c>
      <c r="B41" s="44" t="s">
        <v>105</v>
      </c>
      <c r="C41" s="47">
        <v>76</v>
      </c>
      <c r="D41" s="47">
        <v>94</v>
      </c>
      <c r="E41" s="47">
        <v>71</v>
      </c>
      <c r="F41" s="47">
        <v>75</v>
      </c>
      <c r="G41" s="47">
        <v>100</v>
      </c>
      <c r="H41" s="47">
        <v>90</v>
      </c>
      <c r="I41" s="47">
        <v>58</v>
      </c>
      <c r="J41" s="47">
        <v>80</v>
      </c>
      <c r="K41" s="47">
        <v>91</v>
      </c>
      <c r="L41" s="47">
        <v>69</v>
      </c>
      <c r="M41" s="47">
        <v>804</v>
      </c>
      <c r="N41" s="47">
        <v>80.400000000000006</v>
      </c>
      <c r="O41" s="48">
        <v>0</v>
      </c>
      <c r="P41" s="49" t="s">
        <v>130</v>
      </c>
      <c r="Q41" s="49" t="s">
        <v>132</v>
      </c>
      <c r="R41" s="49">
        <v>41</v>
      </c>
    </row>
    <row r="42" spans="1:18" ht="17.399999999999999" x14ac:dyDescent="0.3">
      <c r="A42" s="44">
        <v>2023042</v>
      </c>
      <c r="B42" s="44" t="s">
        <v>84</v>
      </c>
      <c r="C42" s="47">
        <v>83</v>
      </c>
      <c r="D42" s="47">
        <v>98</v>
      </c>
      <c r="E42" s="47">
        <v>68</v>
      </c>
      <c r="F42" s="47">
        <v>95</v>
      </c>
      <c r="G42" s="47">
        <v>100</v>
      </c>
      <c r="H42" s="47">
        <v>74</v>
      </c>
      <c r="I42" s="47">
        <v>60</v>
      </c>
      <c r="J42" s="47">
        <v>87</v>
      </c>
      <c r="K42" s="47">
        <v>92</v>
      </c>
      <c r="L42" s="47">
        <v>41</v>
      </c>
      <c r="M42" s="47">
        <v>798</v>
      </c>
      <c r="N42" s="47">
        <v>79.8</v>
      </c>
      <c r="O42" s="48">
        <v>1</v>
      </c>
      <c r="P42" s="49" t="s">
        <v>133</v>
      </c>
      <c r="Q42" s="49" t="s">
        <v>132</v>
      </c>
      <c r="R42" s="49">
        <v>42</v>
      </c>
    </row>
    <row r="43" spans="1:18" ht="17.399999999999999" x14ac:dyDescent="0.3">
      <c r="A43" s="44">
        <v>2023096</v>
      </c>
      <c r="B43" s="44" t="s">
        <v>36</v>
      </c>
      <c r="C43" s="47">
        <v>99</v>
      </c>
      <c r="D43" s="47">
        <v>90</v>
      </c>
      <c r="E43" s="47">
        <v>50</v>
      </c>
      <c r="F43" s="47">
        <v>75</v>
      </c>
      <c r="G43" s="47">
        <v>100</v>
      </c>
      <c r="H43" s="47">
        <v>78</v>
      </c>
      <c r="I43" s="47">
        <v>80</v>
      </c>
      <c r="J43" s="47">
        <v>73</v>
      </c>
      <c r="K43" s="47">
        <v>83</v>
      </c>
      <c r="L43" s="47">
        <v>70</v>
      </c>
      <c r="M43" s="47">
        <v>798</v>
      </c>
      <c r="N43" s="47">
        <v>79.8</v>
      </c>
      <c r="O43" s="48">
        <v>0</v>
      </c>
      <c r="P43" s="49" t="s">
        <v>130</v>
      </c>
      <c r="Q43" s="49" t="s">
        <v>132</v>
      </c>
      <c r="R43" s="49">
        <v>42</v>
      </c>
    </row>
    <row r="44" spans="1:18" ht="17.399999999999999" x14ac:dyDescent="0.3">
      <c r="A44" s="44">
        <v>2023107</v>
      </c>
      <c r="B44" s="44" t="s">
        <v>67</v>
      </c>
      <c r="C44" s="47">
        <v>71</v>
      </c>
      <c r="D44" s="47">
        <v>99</v>
      </c>
      <c r="E44" s="47">
        <v>51</v>
      </c>
      <c r="F44" s="47">
        <v>100</v>
      </c>
      <c r="G44" s="47">
        <v>100</v>
      </c>
      <c r="H44" s="47">
        <v>68</v>
      </c>
      <c r="I44" s="47">
        <v>73</v>
      </c>
      <c r="J44" s="47">
        <v>85</v>
      </c>
      <c r="K44" s="47">
        <v>95</v>
      </c>
      <c r="L44" s="47">
        <v>42</v>
      </c>
      <c r="M44" s="47">
        <v>784</v>
      </c>
      <c r="N44" s="47">
        <v>78.400000000000006</v>
      </c>
      <c r="O44" s="48">
        <v>1</v>
      </c>
      <c r="P44" s="49" t="s">
        <v>133</v>
      </c>
      <c r="Q44" s="49" t="s">
        <v>132</v>
      </c>
      <c r="R44" s="49">
        <v>44</v>
      </c>
    </row>
    <row r="45" spans="1:18" ht="17.399999999999999" x14ac:dyDescent="0.3">
      <c r="A45" s="44">
        <v>2023022</v>
      </c>
      <c r="B45" s="44" t="s">
        <v>87</v>
      </c>
      <c r="C45" s="47">
        <v>84</v>
      </c>
      <c r="D45" s="47">
        <v>100</v>
      </c>
      <c r="E45" s="47">
        <v>59</v>
      </c>
      <c r="F45" s="47">
        <v>60</v>
      </c>
      <c r="G45" s="47">
        <v>100</v>
      </c>
      <c r="H45" s="47">
        <v>74</v>
      </c>
      <c r="I45" s="47">
        <v>84</v>
      </c>
      <c r="J45" s="47">
        <v>74</v>
      </c>
      <c r="K45" s="47">
        <v>71</v>
      </c>
      <c r="L45" s="47">
        <v>72</v>
      </c>
      <c r="M45" s="47">
        <v>778</v>
      </c>
      <c r="N45" s="47">
        <v>77.8</v>
      </c>
      <c r="O45" s="48">
        <v>0</v>
      </c>
      <c r="P45" s="49" t="s">
        <v>130</v>
      </c>
      <c r="Q45" s="49" t="s">
        <v>132</v>
      </c>
      <c r="R45" s="49">
        <v>45</v>
      </c>
    </row>
    <row r="46" spans="1:18" ht="17.399999999999999" x14ac:dyDescent="0.3">
      <c r="A46" s="44">
        <v>2023067</v>
      </c>
      <c r="B46" s="44" t="s">
        <v>43</v>
      </c>
      <c r="C46" s="47">
        <v>38</v>
      </c>
      <c r="D46" s="47">
        <v>95</v>
      </c>
      <c r="E46" s="47">
        <v>57</v>
      </c>
      <c r="F46" s="47">
        <v>85</v>
      </c>
      <c r="G46" s="47">
        <v>100</v>
      </c>
      <c r="H46" s="47">
        <v>90</v>
      </c>
      <c r="I46" s="47">
        <v>79</v>
      </c>
      <c r="J46" s="47">
        <v>85</v>
      </c>
      <c r="K46" s="47">
        <v>85</v>
      </c>
      <c r="L46" s="47">
        <v>63</v>
      </c>
      <c r="M46" s="47">
        <v>777</v>
      </c>
      <c r="N46" s="47">
        <v>77.7</v>
      </c>
      <c r="O46" s="48">
        <v>1</v>
      </c>
      <c r="P46" s="49" t="s">
        <v>133</v>
      </c>
      <c r="Q46" s="49" t="s">
        <v>132</v>
      </c>
      <c r="R46" s="49">
        <v>46</v>
      </c>
    </row>
    <row r="47" spans="1:18" ht="17.399999999999999" x14ac:dyDescent="0.3">
      <c r="A47" s="44">
        <v>2023070</v>
      </c>
      <c r="B47" s="44" t="s">
        <v>34</v>
      </c>
      <c r="C47" s="47">
        <v>65</v>
      </c>
      <c r="D47" s="47">
        <v>87</v>
      </c>
      <c r="E47" s="47">
        <v>50</v>
      </c>
      <c r="F47" s="47">
        <v>80</v>
      </c>
      <c r="G47" s="47">
        <v>100</v>
      </c>
      <c r="H47" s="47">
        <v>66</v>
      </c>
      <c r="I47" s="47">
        <v>77</v>
      </c>
      <c r="J47" s="47">
        <v>78</v>
      </c>
      <c r="K47" s="47">
        <v>85</v>
      </c>
      <c r="L47" s="47">
        <v>69</v>
      </c>
      <c r="M47" s="47">
        <v>757</v>
      </c>
      <c r="N47" s="47">
        <v>75.7</v>
      </c>
      <c r="O47" s="48">
        <v>0</v>
      </c>
      <c r="P47" s="49" t="s">
        <v>130</v>
      </c>
      <c r="Q47" s="49" t="s">
        <v>132</v>
      </c>
      <c r="R47" s="49">
        <v>47</v>
      </c>
    </row>
    <row r="48" spans="1:18" ht="17.399999999999999" x14ac:dyDescent="0.3">
      <c r="A48" s="44">
        <v>2023100</v>
      </c>
      <c r="B48" s="44" t="s">
        <v>44</v>
      </c>
      <c r="C48" s="47">
        <v>58</v>
      </c>
      <c r="D48" s="47">
        <v>90</v>
      </c>
      <c r="E48" s="47">
        <v>26</v>
      </c>
      <c r="F48" s="47">
        <v>100</v>
      </c>
      <c r="G48" s="47">
        <v>99</v>
      </c>
      <c r="H48" s="47">
        <v>73</v>
      </c>
      <c r="I48" s="47">
        <v>82</v>
      </c>
      <c r="J48" s="47">
        <v>63</v>
      </c>
      <c r="K48" s="47">
        <v>90</v>
      </c>
      <c r="L48" s="47">
        <v>64</v>
      </c>
      <c r="M48" s="47">
        <v>745</v>
      </c>
      <c r="N48" s="47">
        <v>74.5</v>
      </c>
      <c r="O48" s="48">
        <v>1</v>
      </c>
      <c r="P48" s="49" t="s">
        <v>133</v>
      </c>
      <c r="Q48" s="49" t="s">
        <v>134</v>
      </c>
      <c r="R48" s="49">
        <v>48</v>
      </c>
    </row>
    <row r="49" spans="1:18" ht="17.399999999999999" x14ac:dyDescent="0.3">
      <c r="A49" s="44">
        <v>2023094</v>
      </c>
      <c r="B49" s="44" t="s">
        <v>47</v>
      </c>
      <c r="C49" s="47">
        <v>50</v>
      </c>
      <c r="D49" s="47">
        <v>90</v>
      </c>
      <c r="E49" s="47">
        <v>35</v>
      </c>
      <c r="F49" s="47">
        <v>85</v>
      </c>
      <c r="G49" s="47">
        <v>99</v>
      </c>
      <c r="H49" s="47">
        <v>72</v>
      </c>
      <c r="I49" s="47">
        <v>92</v>
      </c>
      <c r="J49" s="47">
        <v>65</v>
      </c>
      <c r="K49" s="47">
        <v>79</v>
      </c>
      <c r="L49" s="47">
        <v>58</v>
      </c>
      <c r="M49" s="47">
        <v>725</v>
      </c>
      <c r="N49" s="47">
        <v>72.5</v>
      </c>
      <c r="O49" s="48">
        <v>1</v>
      </c>
      <c r="P49" s="49" t="s">
        <v>133</v>
      </c>
      <c r="Q49" s="49" t="s">
        <v>134</v>
      </c>
      <c r="R49" s="49">
        <v>51</v>
      </c>
    </row>
    <row r="50" spans="1:18" ht="17.399999999999999" x14ac:dyDescent="0.3">
      <c r="A50" s="44">
        <v>2023035</v>
      </c>
      <c r="B50" s="44" t="s">
        <v>58</v>
      </c>
      <c r="C50" s="47">
        <v>95</v>
      </c>
      <c r="D50" s="47">
        <v>93</v>
      </c>
      <c r="E50" s="47">
        <v>93</v>
      </c>
      <c r="F50" s="47">
        <v>100</v>
      </c>
      <c r="G50" s="47">
        <v>100</v>
      </c>
      <c r="H50" s="47">
        <v>20</v>
      </c>
      <c r="I50" s="47">
        <v>99</v>
      </c>
      <c r="J50" s="47">
        <v>100</v>
      </c>
      <c r="K50" s="47">
        <v>100</v>
      </c>
      <c r="L50" s="47">
        <v>94</v>
      </c>
      <c r="M50" s="47">
        <v>894</v>
      </c>
      <c r="N50" s="47">
        <v>89.4</v>
      </c>
      <c r="O50" s="48">
        <v>1</v>
      </c>
      <c r="P50" s="49" t="s">
        <v>133</v>
      </c>
      <c r="Q50" s="49" t="s">
        <v>132</v>
      </c>
      <c r="R50" s="49">
        <v>16</v>
      </c>
    </row>
    <row r="51" spans="1:18" ht="17.399999999999999" x14ac:dyDescent="0.3">
      <c r="A51" s="44">
        <v>2023052</v>
      </c>
      <c r="B51" s="44" t="s">
        <v>113</v>
      </c>
      <c r="C51" s="47">
        <v>55</v>
      </c>
      <c r="D51" s="47">
        <v>75</v>
      </c>
      <c r="E51" s="47">
        <v>36</v>
      </c>
      <c r="F51" s="47">
        <v>95</v>
      </c>
      <c r="G51" s="47">
        <v>100</v>
      </c>
      <c r="H51" s="47">
        <v>76</v>
      </c>
      <c r="I51" s="47">
        <v>78</v>
      </c>
      <c r="J51" s="47">
        <v>64</v>
      </c>
      <c r="K51" s="47">
        <v>88</v>
      </c>
      <c r="L51" s="47">
        <v>55</v>
      </c>
      <c r="M51" s="47">
        <v>722</v>
      </c>
      <c r="N51" s="47">
        <v>72.2</v>
      </c>
      <c r="O51" s="48">
        <v>1</v>
      </c>
      <c r="P51" s="49" t="s">
        <v>133</v>
      </c>
      <c r="Q51" s="49" t="s">
        <v>134</v>
      </c>
      <c r="R51" s="49">
        <v>52</v>
      </c>
    </row>
    <row r="52" spans="1:18" ht="17.399999999999999" x14ac:dyDescent="0.3">
      <c r="A52" s="44">
        <v>2023032</v>
      </c>
      <c r="B52" s="44" t="s">
        <v>115</v>
      </c>
      <c r="C52" s="47">
        <v>88</v>
      </c>
      <c r="D52" s="47">
        <v>95</v>
      </c>
      <c r="E52" s="47">
        <v>36</v>
      </c>
      <c r="F52" s="47">
        <v>50</v>
      </c>
      <c r="G52" s="47">
        <v>90</v>
      </c>
      <c r="H52" s="47">
        <v>74</v>
      </c>
      <c r="I52" s="47">
        <v>77</v>
      </c>
      <c r="J52" s="47">
        <v>69</v>
      </c>
      <c r="K52" s="47">
        <v>83</v>
      </c>
      <c r="L52" s="47">
        <v>78</v>
      </c>
      <c r="M52" s="47">
        <v>740</v>
      </c>
      <c r="N52" s="47">
        <v>74</v>
      </c>
      <c r="O52" s="48">
        <v>1</v>
      </c>
      <c r="P52" s="49" t="s">
        <v>133</v>
      </c>
      <c r="Q52" s="49" t="s">
        <v>134</v>
      </c>
      <c r="R52" s="49">
        <v>49</v>
      </c>
    </row>
    <row r="53" spans="1:18" ht="17.399999999999999" x14ac:dyDescent="0.3">
      <c r="A53" s="44">
        <v>2023108</v>
      </c>
      <c r="B53" s="44" t="s">
        <v>40</v>
      </c>
      <c r="C53" s="47">
        <v>90</v>
      </c>
      <c r="D53" s="47">
        <v>100</v>
      </c>
      <c r="E53" s="47">
        <v>50</v>
      </c>
      <c r="F53" s="47">
        <v>40</v>
      </c>
      <c r="G53" s="47">
        <v>90</v>
      </c>
      <c r="H53" s="47">
        <v>90</v>
      </c>
      <c r="I53" s="47">
        <v>66</v>
      </c>
      <c r="J53" s="47">
        <v>60</v>
      </c>
      <c r="K53" s="47">
        <v>83</v>
      </c>
      <c r="L53" s="47">
        <v>50</v>
      </c>
      <c r="M53" s="47">
        <v>719</v>
      </c>
      <c r="N53" s="47">
        <v>71.900000000000006</v>
      </c>
      <c r="O53" s="48">
        <v>1</v>
      </c>
      <c r="P53" s="49" t="s">
        <v>133</v>
      </c>
      <c r="Q53" s="49" t="s">
        <v>134</v>
      </c>
      <c r="R53" s="49">
        <v>54</v>
      </c>
    </row>
    <row r="54" spans="1:18" ht="17.399999999999999" x14ac:dyDescent="0.3">
      <c r="A54" s="44">
        <v>2023017</v>
      </c>
      <c r="B54" s="44" t="s">
        <v>114</v>
      </c>
      <c r="C54" s="47">
        <v>50</v>
      </c>
      <c r="D54" s="47">
        <v>92</v>
      </c>
      <c r="E54" s="47">
        <v>67</v>
      </c>
      <c r="F54" s="47">
        <v>90</v>
      </c>
      <c r="G54" s="47">
        <v>95</v>
      </c>
      <c r="H54" s="47">
        <v>68</v>
      </c>
      <c r="I54" s="47">
        <v>74</v>
      </c>
      <c r="J54" s="47">
        <v>50</v>
      </c>
      <c r="K54" s="47">
        <v>75</v>
      </c>
      <c r="L54" s="47">
        <v>57</v>
      </c>
      <c r="M54" s="47">
        <v>718</v>
      </c>
      <c r="N54" s="47">
        <v>71.8</v>
      </c>
      <c r="O54" s="48">
        <v>0</v>
      </c>
      <c r="P54" s="49" t="s">
        <v>130</v>
      </c>
      <c r="Q54" s="49" t="s">
        <v>134</v>
      </c>
      <c r="R54" s="49">
        <v>55</v>
      </c>
    </row>
    <row r="55" spans="1:18" ht="17.399999999999999" x14ac:dyDescent="0.3">
      <c r="A55" s="44">
        <v>2023099</v>
      </c>
      <c r="B55" s="44" t="s">
        <v>41</v>
      </c>
      <c r="C55" s="47">
        <v>50</v>
      </c>
      <c r="D55" s="47">
        <v>96</v>
      </c>
      <c r="E55" s="47">
        <v>36</v>
      </c>
      <c r="F55" s="47">
        <v>80</v>
      </c>
      <c r="G55" s="47">
        <v>90</v>
      </c>
      <c r="H55" s="47">
        <v>80</v>
      </c>
      <c r="I55" s="47">
        <v>90</v>
      </c>
      <c r="J55" s="47">
        <v>65</v>
      </c>
      <c r="K55" s="47">
        <v>72</v>
      </c>
      <c r="L55" s="47">
        <v>52</v>
      </c>
      <c r="M55" s="47">
        <v>711</v>
      </c>
      <c r="N55" s="47">
        <v>71.099999999999994</v>
      </c>
      <c r="O55" s="48">
        <v>1</v>
      </c>
      <c r="P55" s="49" t="s">
        <v>133</v>
      </c>
      <c r="Q55" s="49" t="s">
        <v>134</v>
      </c>
      <c r="R55" s="49">
        <v>56</v>
      </c>
    </row>
    <row r="56" spans="1:18" ht="17.399999999999999" x14ac:dyDescent="0.3">
      <c r="A56" s="44">
        <v>2023007</v>
      </c>
      <c r="B56" s="44" t="s">
        <v>110</v>
      </c>
      <c r="C56" s="47">
        <v>98</v>
      </c>
      <c r="D56" s="47">
        <v>100</v>
      </c>
      <c r="E56" s="47">
        <v>33</v>
      </c>
      <c r="F56" s="47">
        <v>50</v>
      </c>
      <c r="G56" s="47">
        <v>70</v>
      </c>
      <c r="H56" s="47">
        <v>81</v>
      </c>
      <c r="I56" s="47">
        <v>72</v>
      </c>
      <c r="J56" s="47">
        <v>84</v>
      </c>
      <c r="K56" s="47">
        <v>79</v>
      </c>
      <c r="L56" s="47">
        <v>64</v>
      </c>
      <c r="M56" s="47">
        <v>731</v>
      </c>
      <c r="N56" s="47">
        <v>73.099999999999994</v>
      </c>
      <c r="O56" s="48">
        <v>1</v>
      </c>
      <c r="P56" s="49" t="s">
        <v>133</v>
      </c>
      <c r="Q56" s="49" t="s">
        <v>134</v>
      </c>
      <c r="R56" s="49">
        <v>50</v>
      </c>
    </row>
    <row r="57" spans="1:18" ht="17.399999999999999" x14ac:dyDescent="0.3">
      <c r="A57" s="44">
        <v>2023111</v>
      </c>
      <c r="B57" s="44" t="s">
        <v>52</v>
      </c>
      <c r="C57" s="47">
        <v>28</v>
      </c>
      <c r="D57" s="47">
        <v>100</v>
      </c>
      <c r="E57" s="47">
        <v>15</v>
      </c>
      <c r="F57" s="47">
        <v>85</v>
      </c>
      <c r="G57" s="47">
        <v>100</v>
      </c>
      <c r="H57" s="47">
        <v>79</v>
      </c>
      <c r="I57" s="47">
        <v>87</v>
      </c>
      <c r="J57" s="47">
        <v>54</v>
      </c>
      <c r="K57" s="47">
        <v>85</v>
      </c>
      <c r="L57" s="47">
        <v>57</v>
      </c>
      <c r="M57" s="47">
        <v>690</v>
      </c>
      <c r="N57" s="47">
        <v>69</v>
      </c>
      <c r="O57" s="48">
        <v>2</v>
      </c>
      <c r="P57" s="49" t="s">
        <v>133</v>
      </c>
      <c r="Q57" s="49" t="s">
        <v>134</v>
      </c>
      <c r="R57" s="49">
        <v>58</v>
      </c>
    </row>
    <row r="58" spans="1:18" ht="17.399999999999999" x14ac:dyDescent="0.3">
      <c r="A58" s="44">
        <v>2023013</v>
      </c>
      <c r="B58" s="44" t="s">
        <v>111</v>
      </c>
      <c r="C58" s="47">
        <v>90</v>
      </c>
      <c r="D58" s="47">
        <v>90</v>
      </c>
      <c r="E58" s="47">
        <v>34</v>
      </c>
      <c r="F58" s="47">
        <v>50</v>
      </c>
      <c r="G58" s="47">
        <v>85</v>
      </c>
      <c r="H58" s="47">
        <v>54</v>
      </c>
      <c r="I58" s="47">
        <v>87</v>
      </c>
      <c r="J58" s="47">
        <v>61</v>
      </c>
      <c r="K58" s="47">
        <v>87</v>
      </c>
      <c r="L58" s="47">
        <v>62</v>
      </c>
      <c r="M58" s="47">
        <v>700</v>
      </c>
      <c r="N58" s="47">
        <v>70</v>
      </c>
      <c r="O58" s="48">
        <v>1</v>
      </c>
      <c r="P58" s="49" t="s">
        <v>133</v>
      </c>
      <c r="Q58" s="49" t="s">
        <v>134</v>
      </c>
      <c r="R58" s="49">
        <v>57</v>
      </c>
    </row>
    <row r="59" spans="1:18" ht="17.399999999999999" x14ac:dyDescent="0.3">
      <c r="A59" s="44">
        <v>2023106</v>
      </c>
      <c r="B59" s="44" t="s">
        <v>53</v>
      </c>
      <c r="C59" s="47">
        <v>76</v>
      </c>
      <c r="D59" s="47">
        <v>85</v>
      </c>
      <c r="E59" s="47">
        <v>23</v>
      </c>
      <c r="F59" s="47">
        <v>50</v>
      </c>
      <c r="G59" s="47">
        <v>99</v>
      </c>
      <c r="H59" s="47">
        <v>69</v>
      </c>
      <c r="I59" s="47">
        <v>68</v>
      </c>
      <c r="J59" s="47">
        <v>63</v>
      </c>
      <c r="K59" s="47">
        <v>89</v>
      </c>
      <c r="L59" s="47">
        <v>58</v>
      </c>
      <c r="M59" s="47">
        <v>680</v>
      </c>
      <c r="N59" s="47">
        <v>68</v>
      </c>
      <c r="O59" s="48">
        <v>1</v>
      </c>
      <c r="P59" s="49" t="s">
        <v>133</v>
      </c>
      <c r="Q59" s="49" t="s">
        <v>134</v>
      </c>
      <c r="R59" s="49">
        <v>59</v>
      </c>
    </row>
    <row r="60" spans="1:18" ht="17.399999999999999" x14ac:dyDescent="0.3">
      <c r="A60" s="44">
        <v>2023024</v>
      </c>
      <c r="B60" s="44" t="s">
        <v>117</v>
      </c>
      <c r="C60" s="47">
        <v>28</v>
      </c>
      <c r="D60" s="47">
        <v>90</v>
      </c>
      <c r="E60" s="47">
        <v>30</v>
      </c>
      <c r="F60" s="47">
        <v>75</v>
      </c>
      <c r="G60" s="47">
        <v>95</v>
      </c>
      <c r="H60" s="47">
        <v>73</v>
      </c>
      <c r="I60" s="47">
        <v>86</v>
      </c>
      <c r="J60" s="47">
        <v>56</v>
      </c>
      <c r="K60" s="47">
        <v>73</v>
      </c>
      <c r="L60" s="47">
        <v>61</v>
      </c>
      <c r="M60" s="47">
        <v>667</v>
      </c>
      <c r="N60" s="47">
        <v>66.7</v>
      </c>
      <c r="O60" s="48">
        <v>2</v>
      </c>
      <c r="P60" s="49" t="s">
        <v>133</v>
      </c>
      <c r="Q60" s="49" t="s">
        <v>134</v>
      </c>
      <c r="R60" s="49">
        <v>60</v>
      </c>
    </row>
    <row r="61" spans="1:18" ht="17.399999999999999" x14ac:dyDescent="0.3">
      <c r="A61" s="44">
        <v>2023072</v>
      </c>
      <c r="B61" s="44" t="s">
        <v>30</v>
      </c>
      <c r="C61" s="47">
        <v>92</v>
      </c>
      <c r="D61" s="47">
        <v>50</v>
      </c>
      <c r="E61" s="47">
        <v>78</v>
      </c>
      <c r="F61" s="47">
        <v>75</v>
      </c>
      <c r="G61" s="47">
        <v>100</v>
      </c>
      <c r="H61" s="47">
        <v>77</v>
      </c>
      <c r="I61" s="47">
        <v>92</v>
      </c>
      <c r="J61" s="47">
        <v>76</v>
      </c>
      <c r="K61" s="47">
        <v>50</v>
      </c>
      <c r="L61" s="47">
        <v>31</v>
      </c>
      <c r="M61" s="47">
        <v>721</v>
      </c>
      <c r="N61" s="47">
        <v>72.099999999999994</v>
      </c>
      <c r="O61" s="48">
        <v>1</v>
      </c>
      <c r="P61" s="49" t="s">
        <v>133</v>
      </c>
      <c r="Q61" s="49" t="s">
        <v>134</v>
      </c>
      <c r="R61" s="49">
        <v>53</v>
      </c>
    </row>
    <row r="62" spans="1:18" ht="17.399999999999999" x14ac:dyDescent="0.3">
      <c r="A62" s="44">
        <v>2023037</v>
      </c>
      <c r="B62" s="44" t="s">
        <v>119</v>
      </c>
      <c r="C62" s="47">
        <v>37</v>
      </c>
      <c r="D62" s="47">
        <v>93</v>
      </c>
      <c r="E62" s="47">
        <v>25</v>
      </c>
      <c r="F62" s="47">
        <v>80</v>
      </c>
      <c r="G62" s="47">
        <v>75</v>
      </c>
      <c r="H62" s="47">
        <v>51</v>
      </c>
      <c r="I62" s="47">
        <v>60</v>
      </c>
      <c r="J62" s="47">
        <v>50</v>
      </c>
      <c r="K62" s="47">
        <v>79</v>
      </c>
      <c r="L62" s="47">
        <v>55</v>
      </c>
      <c r="M62" s="47">
        <v>605</v>
      </c>
      <c r="N62" s="47">
        <v>60.5</v>
      </c>
      <c r="O62" s="48">
        <v>2</v>
      </c>
      <c r="P62" s="49" t="s">
        <v>133</v>
      </c>
      <c r="Q62" s="49" t="s">
        <v>135</v>
      </c>
      <c r="R62" s="49">
        <v>64</v>
      </c>
    </row>
    <row r="63" spans="1:18" ht="17.399999999999999" x14ac:dyDescent="0.3">
      <c r="A63" s="44">
        <v>2023064</v>
      </c>
      <c r="B63" s="44" t="s">
        <v>50</v>
      </c>
      <c r="C63" s="47">
        <v>71</v>
      </c>
      <c r="D63" s="47">
        <v>95</v>
      </c>
      <c r="E63" s="47">
        <v>22</v>
      </c>
      <c r="F63" s="47">
        <v>89</v>
      </c>
      <c r="G63" s="47">
        <v>50</v>
      </c>
      <c r="H63" s="47">
        <v>71</v>
      </c>
      <c r="I63" s="47">
        <v>8</v>
      </c>
      <c r="J63" s="47">
        <v>55</v>
      </c>
      <c r="K63" s="47">
        <v>78</v>
      </c>
      <c r="L63" s="47">
        <v>61</v>
      </c>
      <c r="M63" s="47">
        <v>600</v>
      </c>
      <c r="N63" s="47">
        <v>60</v>
      </c>
      <c r="O63" s="48">
        <v>2</v>
      </c>
      <c r="P63" s="49" t="s">
        <v>133</v>
      </c>
      <c r="Q63" s="49" t="s">
        <v>135</v>
      </c>
      <c r="R63" s="49">
        <v>65</v>
      </c>
    </row>
    <row r="64" spans="1:18" ht="17.399999999999999" x14ac:dyDescent="0.3">
      <c r="A64" s="44">
        <v>2023093</v>
      </c>
      <c r="B64" s="44" t="s">
        <v>51</v>
      </c>
      <c r="C64" s="47">
        <v>91</v>
      </c>
      <c r="D64" s="47">
        <v>94</v>
      </c>
      <c r="E64" s="47">
        <v>12</v>
      </c>
      <c r="F64" s="47">
        <v>50</v>
      </c>
      <c r="G64" s="47">
        <v>90</v>
      </c>
      <c r="H64" s="47">
        <v>63</v>
      </c>
      <c r="I64" s="47">
        <v>60</v>
      </c>
      <c r="J64" s="47">
        <v>50</v>
      </c>
      <c r="K64" s="47">
        <v>74</v>
      </c>
      <c r="L64" s="47">
        <v>50</v>
      </c>
      <c r="M64" s="47">
        <v>634</v>
      </c>
      <c r="N64" s="47">
        <v>63.4</v>
      </c>
      <c r="O64" s="48">
        <v>1</v>
      </c>
      <c r="P64" s="49" t="s">
        <v>133</v>
      </c>
      <c r="Q64" s="49" t="s">
        <v>135</v>
      </c>
      <c r="R64" s="49">
        <v>61</v>
      </c>
    </row>
    <row r="65" spans="1:18" ht="17.399999999999999" x14ac:dyDescent="0.3">
      <c r="A65" s="44">
        <v>2023025</v>
      </c>
      <c r="B65" s="44" t="s">
        <v>69</v>
      </c>
      <c r="C65" s="47">
        <v>61</v>
      </c>
      <c r="D65" s="47">
        <v>80</v>
      </c>
      <c r="E65" s="47">
        <v>20</v>
      </c>
      <c r="F65" s="47">
        <v>50</v>
      </c>
      <c r="G65" s="47">
        <v>30</v>
      </c>
      <c r="H65" s="47">
        <v>39</v>
      </c>
      <c r="I65" s="47">
        <v>80</v>
      </c>
      <c r="J65" s="47">
        <v>41</v>
      </c>
      <c r="K65" s="47">
        <v>90</v>
      </c>
      <c r="L65" s="47">
        <v>82</v>
      </c>
      <c r="M65" s="47">
        <v>573</v>
      </c>
      <c r="N65" s="47">
        <v>57.3</v>
      </c>
      <c r="O65" s="48">
        <v>4</v>
      </c>
      <c r="P65" s="49" t="s">
        <v>136</v>
      </c>
      <c r="Q65" s="49" t="s">
        <v>135</v>
      </c>
      <c r="R65" s="49">
        <v>66</v>
      </c>
    </row>
    <row r="66" spans="1:18" ht="17.399999999999999" x14ac:dyDescent="0.3">
      <c r="A66" s="44">
        <v>2023103</v>
      </c>
      <c r="B66" s="44" t="s">
        <v>48</v>
      </c>
      <c r="C66" s="47">
        <v>90</v>
      </c>
      <c r="D66" s="47">
        <v>50</v>
      </c>
      <c r="E66" s="47">
        <v>50</v>
      </c>
      <c r="F66" s="47">
        <v>50</v>
      </c>
      <c r="G66" s="47">
        <v>90</v>
      </c>
      <c r="H66" s="47">
        <v>74</v>
      </c>
      <c r="I66" s="47">
        <v>84</v>
      </c>
      <c r="J66" s="47">
        <v>60</v>
      </c>
      <c r="K66" s="47">
        <v>50</v>
      </c>
      <c r="L66" s="47">
        <v>25</v>
      </c>
      <c r="M66" s="47">
        <v>623</v>
      </c>
      <c r="N66" s="47">
        <v>62.3</v>
      </c>
      <c r="O66" s="48">
        <v>1</v>
      </c>
      <c r="P66" s="49" t="s">
        <v>133</v>
      </c>
      <c r="Q66" s="49" t="s">
        <v>135</v>
      </c>
      <c r="R66" s="49">
        <v>63</v>
      </c>
    </row>
    <row r="67" spans="1:18" ht="17.399999999999999" x14ac:dyDescent="0.3">
      <c r="A67" s="44">
        <v>2023068</v>
      </c>
      <c r="B67" s="44" t="s">
        <v>35</v>
      </c>
      <c r="C67" s="47">
        <v>66</v>
      </c>
      <c r="D67" s="47">
        <v>0</v>
      </c>
      <c r="E67" s="47">
        <v>17</v>
      </c>
      <c r="F67" s="47">
        <v>93</v>
      </c>
      <c r="G67" s="47">
        <v>100</v>
      </c>
      <c r="H67" s="47">
        <v>73</v>
      </c>
      <c r="I67" s="47">
        <v>69</v>
      </c>
      <c r="J67" s="47">
        <v>88</v>
      </c>
      <c r="K67" s="47">
        <v>25</v>
      </c>
      <c r="L67" s="47">
        <v>16</v>
      </c>
      <c r="M67" s="47">
        <v>547</v>
      </c>
      <c r="N67" s="47">
        <v>54.7</v>
      </c>
      <c r="O67" s="48">
        <v>4</v>
      </c>
      <c r="P67" s="49" t="s">
        <v>136</v>
      </c>
      <c r="Q67" s="49" t="s">
        <v>135</v>
      </c>
      <c r="R67" s="49">
        <v>67</v>
      </c>
    </row>
    <row r="68" spans="1:18" ht="17.399999999999999" x14ac:dyDescent="0.3">
      <c r="A68" s="44">
        <v>2023076</v>
      </c>
      <c r="B68" s="44" t="s">
        <v>56</v>
      </c>
      <c r="C68" s="47">
        <v>56</v>
      </c>
      <c r="D68" s="47">
        <v>95</v>
      </c>
      <c r="E68" s="47">
        <v>16</v>
      </c>
      <c r="F68" s="47">
        <v>80</v>
      </c>
      <c r="G68" s="47">
        <v>60</v>
      </c>
      <c r="H68" s="47">
        <v>41</v>
      </c>
      <c r="I68" s="47">
        <v>51</v>
      </c>
      <c r="J68" s="47">
        <v>29</v>
      </c>
      <c r="K68" s="47">
        <v>62</v>
      </c>
      <c r="L68" s="47">
        <v>36</v>
      </c>
      <c r="M68" s="47">
        <v>526</v>
      </c>
      <c r="N68" s="47">
        <v>52.6</v>
      </c>
      <c r="O68" s="48">
        <v>4</v>
      </c>
      <c r="P68" s="49" t="s">
        <v>136</v>
      </c>
      <c r="Q68" s="49" t="s">
        <v>135</v>
      </c>
      <c r="R68" s="49">
        <v>68</v>
      </c>
    </row>
    <row r="69" spans="1:18" ht="17.399999999999999" x14ac:dyDescent="0.3">
      <c r="A69" s="44">
        <v>2023048</v>
      </c>
      <c r="B69" s="44" t="s">
        <v>112</v>
      </c>
      <c r="C69" s="47">
        <v>39</v>
      </c>
      <c r="D69" s="47">
        <v>80</v>
      </c>
      <c r="E69" s="47">
        <v>12</v>
      </c>
      <c r="F69" s="47">
        <v>60</v>
      </c>
      <c r="G69" s="47">
        <v>40</v>
      </c>
      <c r="H69" s="47">
        <v>36</v>
      </c>
      <c r="I69" s="47">
        <v>52</v>
      </c>
      <c r="J69" s="47">
        <v>50</v>
      </c>
      <c r="K69" s="47">
        <v>75</v>
      </c>
      <c r="L69" s="47">
        <v>63</v>
      </c>
      <c r="M69" s="47">
        <v>507</v>
      </c>
      <c r="N69" s="47">
        <v>50.7</v>
      </c>
      <c r="O69" s="48">
        <v>4</v>
      </c>
      <c r="P69" s="49" t="s">
        <v>136</v>
      </c>
      <c r="Q69" s="49" t="s">
        <v>135</v>
      </c>
      <c r="R69" s="49">
        <v>69</v>
      </c>
    </row>
    <row r="70" spans="1:18" ht="17.399999999999999" x14ac:dyDescent="0.3">
      <c r="A70" s="44">
        <v>2023091</v>
      </c>
      <c r="B70" s="44" t="s">
        <v>42</v>
      </c>
      <c r="C70" s="47">
        <v>70</v>
      </c>
      <c r="D70" s="47">
        <v>0</v>
      </c>
      <c r="E70" s="47">
        <v>58</v>
      </c>
      <c r="F70" s="47">
        <v>65</v>
      </c>
      <c r="G70" s="47">
        <v>98</v>
      </c>
      <c r="H70" s="47">
        <v>52</v>
      </c>
      <c r="I70" s="47">
        <v>51</v>
      </c>
      <c r="J70" s="47">
        <v>35</v>
      </c>
      <c r="K70" s="47">
        <v>25</v>
      </c>
      <c r="L70" s="47">
        <v>19</v>
      </c>
      <c r="M70" s="47">
        <v>473</v>
      </c>
      <c r="N70" s="47">
        <v>47.3</v>
      </c>
      <c r="O70" s="48">
        <v>4</v>
      </c>
      <c r="P70" s="49" t="s">
        <v>136</v>
      </c>
      <c r="Q70" s="49" t="s">
        <v>137</v>
      </c>
      <c r="R70" s="49">
        <v>70</v>
      </c>
    </row>
    <row r="71" spans="1:18" ht="17.399999999999999" x14ac:dyDescent="0.3">
      <c r="A71" s="44">
        <v>2023095</v>
      </c>
      <c r="B71" s="44" t="s">
        <v>55</v>
      </c>
      <c r="C71" s="47">
        <v>30</v>
      </c>
      <c r="D71" s="47">
        <v>0</v>
      </c>
      <c r="E71" s="47">
        <v>32</v>
      </c>
      <c r="F71" s="47">
        <v>50</v>
      </c>
      <c r="G71" s="47">
        <v>98</v>
      </c>
      <c r="H71" s="47">
        <v>81</v>
      </c>
      <c r="I71" s="47">
        <v>80</v>
      </c>
      <c r="J71" s="47">
        <v>52</v>
      </c>
      <c r="K71" s="47">
        <v>25</v>
      </c>
      <c r="L71" s="47">
        <v>17</v>
      </c>
      <c r="M71" s="47">
        <v>465</v>
      </c>
      <c r="N71" s="47">
        <v>46.5</v>
      </c>
      <c r="O71" s="48">
        <v>5</v>
      </c>
      <c r="P71" s="49" t="s">
        <v>136</v>
      </c>
      <c r="Q71" s="49" t="s">
        <v>137</v>
      </c>
      <c r="R71" s="49">
        <v>71</v>
      </c>
    </row>
    <row r="72" spans="1:18" ht="17.399999999999999" x14ac:dyDescent="0.3">
      <c r="A72" s="44">
        <v>2023003</v>
      </c>
      <c r="B72" s="44" t="s">
        <v>116</v>
      </c>
      <c r="C72" s="47">
        <v>41</v>
      </c>
      <c r="D72" s="47">
        <v>45</v>
      </c>
      <c r="E72" s="47">
        <v>4</v>
      </c>
      <c r="F72" s="47">
        <v>10</v>
      </c>
      <c r="G72" s="47">
        <v>0</v>
      </c>
      <c r="H72" s="47">
        <v>51</v>
      </c>
      <c r="I72" s="47">
        <v>42</v>
      </c>
      <c r="J72" s="47">
        <v>46</v>
      </c>
      <c r="K72" s="47">
        <v>80</v>
      </c>
      <c r="L72" s="47">
        <v>78</v>
      </c>
      <c r="M72" s="47">
        <v>397</v>
      </c>
      <c r="N72" s="47">
        <v>39.700000000000003</v>
      </c>
      <c r="O72" s="48">
        <v>7</v>
      </c>
      <c r="P72" s="49" t="s">
        <v>136</v>
      </c>
      <c r="Q72" s="49" t="s">
        <v>137</v>
      </c>
      <c r="R72" s="49">
        <v>72</v>
      </c>
    </row>
    <row r="73" spans="1:18" ht="17.399999999999999" x14ac:dyDescent="0.3">
      <c r="A73" s="44">
        <v>2023133</v>
      </c>
      <c r="B73" s="44" t="s">
        <v>118</v>
      </c>
      <c r="C73" s="47">
        <v>5</v>
      </c>
      <c r="D73" s="47">
        <v>0</v>
      </c>
      <c r="E73" s="47">
        <v>15</v>
      </c>
      <c r="F73" s="47">
        <v>90</v>
      </c>
      <c r="G73" s="47">
        <v>100</v>
      </c>
      <c r="H73" s="47">
        <v>31</v>
      </c>
      <c r="I73" s="47">
        <v>80</v>
      </c>
      <c r="J73" s="47">
        <v>30</v>
      </c>
      <c r="K73" s="47">
        <v>28</v>
      </c>
      <c r="L73" s="47">
        <v>18</v>
      </c>
      <c r="M73" s="47">
        <v>397</v>
      </c>
      <c r="N73" s="47">
        <v>39.700000000000003</v>
      </c>
      <c r="O73" s="48">
        <v>7</v>
      </c>
      <c r="P73" s="49" t="s">
        <v>136</v>
      </c>
      <c r="Q73" s="49" t="s">
        <v>137</v>
      </c>
      <c r="R73" s="49">
        <v>72</v>
      </c>
    </row>
    <row r="74" spans="1:18" ht="17.399999999999999" x14ac:dyDescent="0.3">
      <c r="A74" s="44">
        <v>2023023</v>
      </c>
      <c r="B74" s="44" t="s">
        <v>61</v>
      </c>
      <c r="C74" s="47">
        <v>85</v>
      </c>
      <c r="D74" s="47">
        <v>100</v>
      </c>
      <c r="E74" s="47">
        <v>30</v>
      </c>
      <c r="F74" s="47">
        <v>100</v>
      </c>
      <c r="G74" s="47">
        <v>100</v>
      </c>
      <c r="H74" s="47">
        <v>20</v>
      </c>
      <c r="I74" s="47">
        <v>99</v>
      </c>
      <c r="J74" s="47">
        <v>95</v>
      </c>
      <c r="K74" s="47">
        <v>100</v>
      </c>
      <c r="L74" s="47">
        <v>92</v>
      </c>
      <c r="M74" s="47">
        <v>821</v>
      </c>
      <c r="N74" s="47">
        <v>82.1</v>
      </c>
      <c r="O74" s="48">
        <v>2</v>
      </c>
      <c r="P74" s="49" t="s">
        <v>133</v>
      </c>
      <c r="Q74" s="49" t="s">
        <v>132</v>
      </c>
      <c r="R74" s="49">
        <v>36</v>
      </c>
    </row>
    <row r="75" spans="1:18" ht="17.399999999999999" x14ac:dyDescent="0.3">
      <c r="A75" s="44">
        <v>2023002</v>
      </c>
      <c r="B75" s="44" t="s">
        <v>71</v>
      </c>
      <c r="C75" s="47">
        <v>99</v>
      </c>
      <c r="D75" s="47">
        <v>100</v>
      </c>
      <c r="E75" s="47">
        <v>25</v>
      </c>
      <c r="F75" s="47">
        <v>0</v>
      </c>
      <c r="G75" s="47">
        <v>100</v>
      </c>
      <c r="H75" s="47">
        <v>0</v>
      </c>
      <c r="I75" s="47">
        <v>90</v>
      </c>
      <c r="J75" s="47">
        <v>90</v>
      </c>
      <c r="K75" s="47">
        <v>68</v>
      </c>
      <c r="L75" s="47">
        <v>62</v>
      </c>
      <c r="M75" s="47">
        <v>634</v>
      </c>
      <c r="N75" s="47">
        <v>63.4</v>
      </c>
      <c r="O75" s="48">
        <v>3</v>
      </c>
      <c r="P75" s="49" t="s">
        <v>133</v>
      </c>
      <c r="Q75" s="49" t="s">
        <v>135</v>
      </c>
      <c r="R75" s="49">
        <v>61</v>
      </c>
    </row>
    <row r="76" spans="1:18" ht="17.399999999999999" x14ac:dyDescent="0.3">
      <c r="A76" s="44">
        <v>2023021</v>
      </c>
      <c r="B76" s="44" t="s">
        <v>82</v>
      </c>
      <c r="C76" s="47">
        <v>22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25</v>
      </c>
      <c r="J76" s="47">
        <v>0</v>
      </c>
      <c r="K76" s="47">
        <v>27</v>
      </c>
      <c r="L76" s="47">
        <v>0</v>
      </c>
      <c r="M76" s="47">
        <v>74</v>
      </c>
      <c r="N76" s="47">
        <v>7.4</v>
      </c>
      <c r="O76" s="48">
        <v>10</v>
      </c>
      <c r="P76" s="49" t="s">
        <v>136</v>
      </c>
      <c r="Q76" s="49" t="s">
        <v>137</v>
      </c>
      <c r="R76" s="49">
        <v>74</v>
      </c>
    </row>
    <row r="77" spans="1:18" ht="17.399999999999999" x14ac:dyDescent="0.3">
      <c r="A77" s="44">
        <v>2023073</v>
      </c>
      <c r="B77" s="44" t="s">
        <v>57</v>
      </c>
      <c r="C77" s="47">
        <v>0</v>
      </c>
      <c r="D77" s="47">
        <v>0</v>
      </c>
      <c r="E77" s="47">
        <v>0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25</v>
      </c>
      <c r="L77" s="47">
        <v>0</v>
      </c>
      <c r="M77" s="47">
        <v>25</v>
      </c>
      <c r="N77" s="47">
        <v>2.5</v>
      </c>
      <c r="O77" s="48">
        <v>10</v>
      </c>
      <c r="P77" s="49" t="s">
        <v>136</v>
      </c>
      <c r="Q77" s="49" t="s">
        <v>137</v>
      </c>
      <c r="R77" s="49">
        <v>75</v>
      </c>
    </row>
    <row r="78" spans="1:18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</row>
  </sheetData>
  <conditionalFormatting sqref="C3:N77">
    <cfRule type="cellIs" dxfId="19" priority="1" operator="lessThan">
      <formula>50</formula>
    </cfRule>
  </conditionalFormatting>
  <conditionalFormatting sqref="J65">
    <cfRule type="cellIs" dxfId="18" priority="2" operator="lessThan">
      <formula>50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المستوى الثاني 2024-2023</vt:lpstr>
      <vt:lpstr>المستوى الثالث 2024-2025 ف 1</vt:lpstr>
      <vt:lpstr>المستوى الرابع 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Abdourhman Jeboo</cp:lastModifiedBy>
  <cp:lastPrinted>2025-10-29T00:17:40Z</cp:lastPrinted>
  <dcterms:created xsi:type="dcterms:W3CDTF">2015-06-05T18:17:20Z</dcterms:created>
  <dcterms:modified xsi:type="dcterms:W3CDTF">2026-03-01T12:41:18Z</dcterms:modified>
</cp:coreProperties>
</file>